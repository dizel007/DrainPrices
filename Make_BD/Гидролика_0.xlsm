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Серия DRIVE" sheetId="6" r:id="rId2"/>
    <sheet name="Стандартная серия" sheetId="5" r:id="rId3"/>
    <sheet name="Серия MAX" sheetId="7" r:id="rId4"/>
    <sheet name="Лист3" sheetId="3" r:id="rId5"/>
    <sheet name="Лист1 (2)" sheetId="4" r:id="rId6"/>
    <sheet name="Лист1 (3)" sheetId="8" r:id="rId7"/>
  </sheets>
  <functionGroups builtInGroupCount="18"/>
  <definedNames>
    <definedName name="_xlnm._FilterDatabase" localSheetId="0" hidden="1">Лист1!$C$1:$C$197</definedName>
    <definedName name="_xlnm._FilterDatabase" localSheetId="5" hidden="1">'Лист1 (2)'!$B$1:$B$1</definedName>
    <definedName name="_xlnm._FilterDatabase" localSheetId="6" hidden="1">'Лист1 (3)'!$B$1:$B$1</definedName>
    <definedName name="Z_848C72F6_3B15_45DC_8B99_AEEC65F930A0_.wvu.PrintArea" localSheetId="2" hidden="1">'Стандартная серия'!$C$1:$K$126</definedName>
    <definedName name="_xlnm.Print_Area" localSheetId="1">'Серия DRIVE'!$C$1:$L$16</definedName>
    <definedName name="_xlnm.Print_Area" localSheetId="2">'Стандартная серия'!$B$1:$M$188</definedName>
  </definedNames>
  <calcPr calcId="152511" refMode="R1C1"/>
</workbook>
</file>

<file path=xl/calcChain.xml><?xml version="1.0" encoding="utf-8"?>
<calcChain xmlns="http://schemas.openxmlformats.org/spreadsheetml/2006/main">
  <c r="M192" i="1" l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J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371" i="8"/>
  <c r="N371" i="8" s="1"/>
  <c r="L371" i="8"/>
  <c r="N370" i="8"/>
  <c r="M370" i="8"/>
  <c r="L370" i="8"/>
  <c r="M369" i="8"/>
  <c r="N369" i="8" s="1"/>
  <c r="L369" i="8"/>
  <c r="N367" i="8"/>
  <c r="M367" i="8"/>
  <c r="L367" i="8"/>
  <c r="M366" i="8"/>
  <c r="N366" i="8" s="1"/>
  <c r="L366" i="8"/>
  <c r="N365" i="8"/>
  <c r="M365" i="8"/>
  <c r="L365" i="8"/>
  <c r="M364" i="8"/>
  <c r="N364" i="8" s="1"/>
  <c r="L364" i="8"/>
  <c r="M363" i="8"/>
  <c r="N363" i="8" s="1"/>
  <c r="L363" i="8"/>
  <c r="M362" i="8"/>
  <c r="N362" i="8" s="1"/>
  <c r="L362" i="8"/>
  <c r="N361" i="8"/>
  <c r="M361" i="8"/>
  <c r="L361" i="8"/>
  <c r="M360" i="8"/>
  <c r="N360" i="8" s="1"/>
  <c r="L360" i="8"/>
  <c r="N359" i="8"/>
  <c r="M359" i="8"/>
  <c r="L359" i="8"/>
  <c r="M358" i="8"/>
  <c r="N358" i="8" s="1"/>
  <c r="L358" i="8"/>
  <c r="N357" i="8"/>
  <c r="M357" i="8"/>
  <c r="L357" i="8"/>
  <c r="M356" i="8"/>
  <c r="N356" i="8" s="1"/>
  <c r="L356" i="8"/>
  <c r="M355" i="8"/>
  <c r="N355" i="8" s="1"/>
  <c r="L355" i="8"/>
  <c r="M354" i="8"/>
  <c r="N354" i="8" s="1"/>
  <c r="L354" i="8"/>
  <c r="N352" i="8"/>
  <c r="M352" i="8"/>
  <c r="L352" i="8"/>
  <c r="M351" i="8"/>
  <c r="N351" i="8" s="1"/>
  <c r="L351" i="8"/>
  <c r="N350" i="8"/>
  <c r="M350" i="8"/>
  <c r="L350" i="8"/>
  <c r="M349" i="8"/>
  <c r="N349" i="8" s="1"/>
  <c r="L349" i="8"/>
  <c r="N348" i="8"/>
  <c r="M348" i="8"/>
  <c r="L348" i="8"/>
  <c r="M347" i="8"/>
  <c r="N347" i="8" s="1"/>
  <c r="L347" i="8"/>
  <c r="M346" i="8"/>
  <c r="N346" i="8" s="1"/>
  <c r="L346" i="8"/>
  <c r="M345" i="8"/>
  <c r="N345" i="8" s="1"/>
  <c r="L345" i="8"/>
  <c r="N344" i="8"/>
  <c r="M344" i="8"/>
  <c r="L344" i="8"/>
  <c r="M343" i="8"/>
  <c r="N343" i="8" s="1"/>
  <c r="L343" i="8"/>
  <c r="N342" i="8"/>
  <c r="M342" i="8"/>
  <c r="L342" i="8"/>
  <c r="M341" i="8"/>
  <c r="N341" i="8" s="1"/>
  <c r="L341" i="8"/>
  <c r="N340" i="8"/>
  <c r="M340" i="8"/>
  <c r="L340" i="8"/>
  <c r="M339" i="8"/>
  <c r="N339" i="8" s="1"/>
  <c r="L339" i="8"/>
  <c r="M337" i="8"/>
  <c r="N337" i="8" s="1"/>
  <c r="L337" i="8"/>
  <c r="N335" i="8"/>
  <c r="M335" i="8"/>
  <c r="L335" i="8"/>
  <c r="N334" i="8"/>
  <c r="M334" i="8"/>
  <c r="L334" i="8"/>
  <c r="M332" i="8"/>
  <c r="N332" i="8" s="1"/>
  <c r="L332" i="8"/>
  <c r="N329" i="8"/>
  <c r="M329" i="8"/>
  <c r="L329" i="8"/>
  <c r="M327" i="8"/>
  <c r="N327" i="8" s="1"/>
  <c r="L327" i="8"/>
  <c r="N326" i="8"/>
  <c r="M326" i="8"/>
  <c r="L326" i="8"/>
  <c r="M325" i="8"/>
  <c r="N325" i="8" s="1"/>
  <c r="L325" i="8"/>
  <c r="M323" i="8"/>
  <c r="N323" i="8" s="1"/>
  <c r="L323" i="8"/>
  <c r="M322" i="8"/>
  <c r="N322" i="8" s="1"/>
  <c r="L322" i="8"/>
  <c r="N320" i="8"/>
  <c r="M320" i="8"/>
  <c r="L320" i="8"/>
  <c r="M319" i="8"/>
  <c r="N319" i="8" s="1"/>
  <c r="L319" i="8"/>
  <c r="N318" i="8"/>
  <c r="M318" i="8"/>
  <c r="L318" i="8"/>
  <c r="M317" i="8"/>
  <c r="N317" i="8" s="1"/>
  <c r="L317" i="8"/>
  <c r="N315" i="8"/>
  <c r="M315" i="8"/>
  <c r="L315" i="8"/>
  <c r="M314" i="8"/>
  <c r="N314" i="8" s="1"/>
  <c r="L314" i="8"/>
  <c r="M311" i="8"/>
  <c r="N311" i="8" s="1"/>
  <c r="L311" i="8"/>
  <c r="M310" i="8"/>
  <c r="N310" i="8" s="1"/>
  <c r="L310" i="8"/>
  <c r="N309" i="8"/>
  <c r="M309" i="8"/>
  <c r="L309" i="8"/>
  <c r="M308" i="8"/>
  <c r="N308" i="8" s="1"/>
  <c r="L308" i="8"/>
  <c r="N307" i="8"/>
  <c r="M307" i="8"/>
  <c r="L307" i="8"/>
  <c r="M306" i="8"/>
  <c r="N306" i="8" s="1"/>
  <c r="L306" i="8"/>
  <c r="N304" i="8"/>
  <c r="M304" i="8"/>
  <c r="L304" i="8"/>
  <c r="M303" i="8"/>
  <c r="N303" i="8" s="1"/>
  <c r="L303" i="8"/>
  <c r="M301" i="8"/>
  <c r="N301" i="8" s="1"/>
  <c r="L301" i="8"/>
  <c r="M300" i="8"/>
  <c r="N300" i="8" s="1"/>
  <c r="L300" i="8"/>
  <c r="N298" i="8"/>
  <c r="M298" i="8"/>
  <c r="L298" i="8"/>
  <c r="M297" i="8"/>
  <c r="N297" i="8" s="1"/>
  <c r="L297" i="8"/>
  <c r="N294" i="8"/>
  <c r="M294" i="8"/>
  <c r="L294" i="8"/>
  <c r="M292" i="8"/>
  <c r="N292" i="8" s="1"/>
  <c r="L292" i="8"/>
  <c r="N291" i="8"/>
  <c r="M291" i="8"/>
  <c r="L291" i="8"/>
  <c r="M289" i="8"/>
  <c r="N289" i="8" s="1"/>
  <c r="L289" i="8"/>
  <c r="M288" i="8"/>
  <c r="N288" i="8" s="1"/>
  <c r="L288" i="8"/>
  <c r="M287" i="8"/>
  <c r="N287" i="8" s="1"/>
  <c r="L287" i="8"/>
  <c r="N285" i="8"/>
  <c r="M285" i="8"/>
  <c r="L285" i="8"/>
  <c r="M284" i="8"/>
  <c r="N284" i="8" s="1"/>
  <c r="L284" i="8"/>
  <c r="N283" i="8"/>
  <c r="M283" i="8"/>
  <c r="L283" i="8"/>
  <c r="M282" i="8"/>
  <c r="N282" i="8" s="1"/>
  <c r="L282" i="8"/>
  <c r="N281" i="8"/>
  <c r="M281" i="8"/>
  <c r="L281" i="8"/>
  <c r="M279" i="8"/>
  <c r="N279" i="8" s="1"/>
  <c r="L279" i="8"/>
  <c r="M278" i="8"/>
  <c r="N278" i="8" s="1"/>
  <c r="L278" i="8"/>
  <c r="M277" i="8"/>
  <c r="N277" i="8" s="1"/>
  <c r="L277" i="8"/>
  <c r="N275" i="8"/>
  <c r="M275" i="8"/>
  <c r="L275" i="8"/>
  <c r="M273" i="8"/>
  <c r="N273" i="8" s="1"/>
  <c r="L273" i="8"/>
  <c r="N272" i="8"/>
  <c r="M272" i="8"/>
  <c r="L272" i="8"/>
  <c r="M271" i="8"/>
  <c r="N271" i="8" s="1"/>
  <c r="L271" i="8"/>
  <c r="N268" i="8"/>
  <c r="M268" i="8"/>
  <c r="L268" i="8"/>
  <c r="M266" i="8"/>
  <c r="N266" i="8" s="1"/>
  <c r="L266" i="8"/>
  <c r="M264" i="8"/>
  <c r="N264" i="8" s="1"/>
  <c r="L264" i="8"/>
  <c r="N263" i="8"/>
  <c r="M263" i="8"/>
  <c r="L263" i="8"/>
  <c r="N262" i="8"/>
  <c r="M262" i="8"/>
  <c r="L262" i="8"/>
  <c r="M260" i="8"/>
  <c r="N260" i="8" s="1"/>
  <c r="L260" i="8"/>
  <c r="N258" i="8"/>
  <c r="M258" i="8"/>
  <c r="L258" i="8"/>
  <c r="M257" i="8"/>
  <c r="N257" i="8" s="1"/>
  <c r="L257" i="8"/>
  <c r="N255" i="8"/>
  <c r="M255" i="8"/>
  <c r="L255" i="8"/>
  <c r="M254" i="8"/>
  <c r="N254" i="8" s="1"/>
  <c r="L254" i="8"/>
  <c r="M252" i="8"/>
  <c r="N252" i="8" s="1"/>
  <c r="L252" i="8"/>
  <c r="N251" i="8"/>
  <c r="M251" i="8"/>
  <c r="L251" i="8"/>
  <c r="N249" i="8"/>
  <c r="M249" i="8"/>
  <c r="L249" i="8"/>
  <c r="M248" i="8"/>
  <c r="N248" i="8" s="1"/>
  <c r="L248" i="8"/>
  <c r="N246" i="8"/>
  <c r="M246" i="8"/>
  <c r="L246" i="8"/>
  <c r="M245" i="8"/>
  <c r="N245" i="8" s="1"/>
  <c r="L245" i="8"/>
  <c r="N244" i="8"/>
  <c r="M244" i="8"/>
  <c r="L244" i="8"/>
  <c r="M241" i="8"/>
  <c r="N241" i="8" s="1"/>
  <c r="L241" i="8"/>
  <c r="M239" i="8"/>
  <c r="N239" i="8" s="1"/>
  <c r="L239" i="8"/>
  <c r="N238" i="8"/>
  <c r="M238" i="8"/>
  <c r="L238" i="8"/>
  <c r="N237" i="8"/>
  <c r="M237" i="8"/>
  <c r="L237" i="8"/>
  <c r="M236" i="8"/>
  <c r="N236" i="8" s="1"/>
  <c r="L236" i="8"/>
  <c r="N234" i="8"/>
  <c r="M234" i="8"/>
  <c r="L234" i="8"/>
  <c r="M232" i="8"/>
  <c r="N232" i="8" s="1"/>
  <c r="L232" i="8"/>
  <c r="N231" i="8"/>
  <c r="M231" i="8"/>
  <c r="L231" i="8"/>
  <c r="M230" i="8"/>
  <c r="N230" i="8" s="1"/>
  <c r="L230" i="8"/>
  <c r="M228" i="8"/>
  <c r="N228" i="8" s="1"/>
  <c r="L228" i="8"/>
  <c r="N227" i="8"/>
  <c r="M227" i="8"/>
  <c r="L227" i="8"/>
  <c r="N226" i="8"/>
  <c r="M226" i="8"/>
  <c r="L226" i="8"/>
  <c r="M225" i="8"/>
  <c r="N225" i="8" s="1"/>
  <c r="L225" i="8"/>
  <c r="N224" i="8"/>
  <c r="M224" i="8"/>
  <c r="L224" i="8"/>
  <c r="M222" i="8"/>
  <c r="N222" i="8" s="1"/>
  <c r="L222" i="8"/>
  <c r="N221" i="8"/>
  <c r="M221" i="8"/>
  <c r="L221" i="8"/>
  <c r="M220" i="8"/>
  <c r="N220" i="8" s="1"/>
  <c r="L220" i="8"/>
  <c r="M219" i="8"/>
  <c r="N219" i="8" s="1"/>
  <c r="L219" i="8"/>
  <c r="N217" i="8"/>
  <c r="M217" i="8"/>
  <c r="L217" i="8"/>
  <c r="N215" i="8"/>
  <c r="M215" i="8"/>
  <c r="L215" i="8"/>
  <c r="M214" i="8"/>
  <c r="N214" i="8" s="1"/>
  <c r="L214" i="8"/>
  <c r="N213" i="8"/>
  <c r="M213" i="8"/>
  <c r="L213" i="8"/>
  <c r="M211" i="8"/>
  <c r="N211" i="8" s="1"/>
  <c r="L211" i="8"/>
  <c r="N209" i="8"/>
  <c r="M209" i="8"/>
  <c r="L209" i="8"/>
  <c r="M208" i="8"/>
  <c r="N208" i="8" s="1"/>
  <c r="L208" i="8"/>
  <c r="M207" i="8"/>
  <c r="N207" i="8" s="1"/>
  <c r="L207" i="8"/>
  <c r="N204" i="8"/>
  <c r="M204" i="8"/>
  <c r="L204" i="8"/>
  <c r="N202" i="8"/>
  <c r="M202" i="8"/>
  <c r="L202" i="8"/>
  <c r="M201" i="8"/>
  <c r="N201" i="8" s="1"/>
  <c r="L201" i="8"/>
  <c r="N200" i="8"/>
  <c r="M200" i="8"/>
  <c r="L200" i="8"/>
  <c r="M198" i="8"/>
  <c r="N198" i="8" s="1"/>
  <c r="L198" i="8"/>
  <c r="N197" i="8"/>
  <c r="M197" i="8"/>
  <c r="L197" i="8"/>
  <c r="M195" i="8"/>
  <c r="N195" i="8" s="1"/>
  <c r="L195" i="8"/>
  <c r="M193" i="8"/>
  <c r="N193" i="8" s="1"/>
  <c r="L193" i="8"/>
  <c r="N191" i="8"/>
  <c r="M191" i="8"/>
  <c r="L191" i="8"/>
  <c r="N189" i="8"/>
  <c r="M189" i="8"/>
  <c r="L189" i="8"/>
  <c r="M188" i="8"/>
  <c r="N188" i="8" s="1"/>
  <c r="L188" i="8"/>
  <c r="N187" i="8"/>
  <c r="M187" i="8"/>
  <c r="L187" i="8"/>
  <c r="M186" i="8"/>
  <c r="N186" i="8" s="1"/>
  <c r="L186" i="8"/>
  <c r="N184" i="8"/>
  <c r="M184" i="8"/>
  <c r="L184" i="8"/>
  <c r="M183" i="8"/>
  <c r="N183" i="8" s="1"/>
  <c r="L183" i="8"/>
  <c r="M182" i="8"/>
  <c r="N182" i="8" s="1"/>
  <c r="L182" i="8"/>
  <c r="N180" i="8"/>
  <c r="M180" i="8"/>
  <c r="L180" i="8"/>
  <c r="N179" i="8"/>
  <c r="M179" i="8"/>
  <c r="L179" i="8"/>
  <c r="M177" i="8"/>
  <c r="N177" i="8" s="1"/>
  <c r="L177" i="8"/>
  <c r="N176" i="8"/>
  <c r="M176" i="8"/>
  <c r="L176" i="8"/>
  <c r="M173" i="8"/>
  <c r="N173" i="8" s="1"/>
  <c r="L173" i="8"/>
  <c r="N171" i="8"/>
  <c r="M171" i="8"/>
  <c r="L171" i="8"/>
  <c r="M170" i="8"/>
  <c r="N170" i="8" s="1"/>
  <c r="L170" i="8"/>
  <c r="M169" i="8"/>
  <c r="N169" i="8" s="1"/>
  <c r="L169" i="8"/>
  <c r="N167" i="8"/>
  <c r="M167" i="8"/>
  <c r="L167" i="8"/>
  <c r="N165" i="8"/>
  <c r="M165" i="8"/>
  <c r="L165" i="8"/>
  <c r="M164" i="8"/>
  <c r="N164" i="8" s="1"/>
  <c r="L164" i="8"/>
  <c r="N163" i="8"/>
  <c r="M163" i="8"/>
  <c r="L163" i="8"/>
  <c r="M162" i="8"/>
  <c r="N162" i="8" s="1"/>
  <c r="L162" i="8"/>
  <c r="N161" i="8"/>
  <c r="M161" i="8"/>
  <c r="L161" i="8"/>
  <c r="M160" i="8"/>
  <c r="N160" i="8" s="1"/>
  <c r="L160" i="8"/>
  <c r="M158" i="8"/>
  <c r="N158" i="8" s="1"/>
  <c r="L158" i="8"/>
  <c r="N156" i="8"/>
  <c r="M156" i="8"/>
  <c r="L156" i="8"/>
  <c r="N154" i="8"/>
  <c r="M154" i="8"/>
  <c r="L154" i="8"/>
  <c r="M153" i="8"/>
  <c r="N153" i="8" s="1"/>
  <c r="L153" i="8"/>
  <c r="N152" i="8"/>
  <c r="M152" i="8"/>
  <c r="L152" i="8"/>
  <c r="M150" i="8"/>
  <c r="N150" i="8" s="1"/>
  <c r="L150" i="8"/>
  <c r="N148" i="8"/>
  <c r="M148" i="8"/>
  <c r="L148" i="8"/>
  <c r="M146" i="8"/>
  <c r="N146" i="8" s="1"/>
  <c r="L146" i="8"/>
  <c r="M145" i="8"/>
  <c r="N145" i="8" s="1"/>
  <c r="L145" i="8"/>
  <c r="N144" i="8"/>
  <c r="M144" i="8"/>
  <c r="L144" i="8"/>
  <c r="N143" i="8"/>
  <c r="M143" i="8"/>
  <c r="L143" i="8"/>
  <c r="M142" i="8"/>
  <c r="N142" i="8" s="1"/>
  <c r="L142" i="8"/>
  <c r="N140" i="8"/>
  <c r="M140" i="8"/>
  <c r="L140" i="8"/>
  <c r="M138" i="8"/>
  <c r="N138" i="8" s="1"/>
  <c r="M137" i="8"/>
  <c r="N137" i="8" s="1"/>
  <c r="M136" i="8"/>
  <c r="N136" i="8" s="1"/>
  <c r="L136" i="8"/>
  <c r="N135" i="8"/>
  <c r="M135" i="8"/>
  <c r="L135" i="8"/>
  <c r="M134" i="8"/>
  <c r="N134" i="8" s="1"/>
  <c r="L134" i="8"/>
  <c r="N133" i="8"/>
  <c r="M133" i="8"/>
  <c r="L133" i="8"/>
  <c r="M132" i="8"/>
  <c r="N132" i="8" s="1"/>
  <c r="L132" i="8"/>
  <c r="N131" i="8"/>
  <c r="M131" i="8"/>
  <c r="L131" i="8"/>
  <c r="M130" i="8"/>
  <c r="N130" i="8" s="1"/>
  <c r="L130" i="8"/>
  <c r="M129" i="8"/>
  <c r="N129" i="8" s="1"/>
  <c r="L129" i="8"/>
  <c r="N128" i="8"/>
  <c r="M128" i="8"/>
  <c r="L128" i="8"/>
  <c r="N127" i="8"/>
  <c r="M127" i="8"/>
  <c r="L127" i="8"/>
  <c r="M126" i="8"/>
  <c r="N126" i="8" s="1"/>
  <c r="L126" i="8"/>
  <c r="N125" i="8"/>
  <c r="M125" i="8"/>
  <c r="L125" i="8"/>
  <c r="M124" i="8"/>
  <c r="N124" i="8" s="1"/>
  <c r="L124" i="8"/>
  <c r="N123" i="8"/>
  <c r="M123" i="8"/>
  <c r="L123" i="8"/>
  <c r="M121" i="8"/>
  <c r="N121" i="8" s="1"/>
  <c r="L121" i="8"/>
  <c r="M120" i="8"/>
  <c r="N120" i="8" s="1"/>
  <c r="L120" i="8"/>
  <c r="N118" i="8"/>
  <c r="M118" i="8"/>
  <c r="L118" i="8"/>
  <c r="N117" i="8"/>
  <c r="M117" i="8"/>
  <c r="L117" i="8"/>
  <c r="M116" i="8"/>
  <c r="N116" i="8" s="1"/>
  <c r="L116" i="8"/>
  <c r="N115" i="8"/>
  <c r="M115" i="8"/>
  <c r="L115" i="8"/>
  <c r="M114" i="8"/>
  <c r="N114" i="8" s="1"/>
  <c r="L114" i="8"/>
  <c r="N113" i="8"/>
  <c r="M113" i="8"/>
  <c r="L113" i="8"/>
  <c r="M112" i="8"/>
  <c r="N112" i="8" s="1"/>
  <c r="L112" i="8"/>
  <c r="M110" i="8"/>
  <c r="N110" i="8" s="1"/>
  <c r="L110" i="8"/>
  <c r="N109" i="8"/>
  <c r="M109" i="8"/>
  <c r="L109" i="8"/>
  <c r="N107" i="8"/>
  <c r="M107" i="8"/>
  <c r="L107" i="8"/>
  <c r="M106" i="8"/>
  <c r="N106" i="8" s="1"/>
  <c r="L106" i="8"/>
  <c r="N104" i="8"/>
  <c r="M104" i="8"/>
  <c r="L104" i="8"/>
  <c r="M103" i="8"/>
  <c r="N103" i="8" s="1"/>
  <c r="L103" i="8"/>
  <c r="N102" i="8"/>
  <c r="M102" i="8"/>
  <c r="L102" i="8"/>
  <c r="M101" i="8"/>
  <c r="N101" i="8" s="1"/>
  <c r="L101" i="8"/>
  <c r="M99" i="8"/>
  <c r="N99" i="8" s="1"/>
  <c r="L99" i="8"/>
  <c r="N98" i="8"/>
  <c r="M98" i="8"/>
  <c r="L98" i="8"/>
  <c r="N97" i="8"/>
  <c r="M97" i="8"/>
  <c r="L97" i="8"/>
  <c r="M96" i="8"/>
  <c r="N96" i="8" s="1"/>
  <c r="L96" i="8"/>
  <c r="N95" i="8"/>
  <c r="M95" i="8"/>
  <c r="L95" i="8"/>
  <c r="M93" i="8"/>
  <c r="N93" i="8" s="1"/>
  <c r="L93" i="8"/>
  <c r="N91" i="8"/>
  <c r="M91" i="8"/>
  <c r="L91" i="8"/>
  <c r="M90" i="8"/>
  <c r="N90" i="8" s="1"/>
  <c r="L90" i="8"/>
  <c r="M88" i="8"/>
  <c r="N88" i="8" s="1"/>
  <c r="L88" i="8"/>
  <c r="N87" i="8"/>
  <c r="M87" i="8"/>
  <c r="L87" i="8"/>
  <c r="N86" i="8"/>
  <c r="M86" i="8"/>
  <c r="L86" i="8"/>
  <c r="M85" i="8"/>
  <c r="N85" i="8" s="1"/>
  <c r="L85" i="8"/>
  <c r="N84" i="8"/>
  <c r="M84" i="8"/>
  <c r="L84" i="8"/>
  <c r="M83" i="8"/>
  <c r="N83" i="8" s="1"/>
  <c r="L83" i="8"/>
  <c r="N82" i="8"/>
  <c r="M82" i="8"/>
  <c r="L82" i="8"/>
  <c r="M81" i="8"/>
  <c r="N81" i="8" s="1"/>
  <c r="L81" i="8"/>
  <c r="M80" i="8"/>
  <c r="N80" i="8" s="1"/>
  <c r="L80" i="8"/>
  <c r="N79" i="8"/>
  <c r="M79" i="8"/>
  <c r="L79" i="8"/>
  <c r="N78" i="8"/>
  <c r="M78" i="8"/>
  <c r="L78" i="8"/>
  <c r="M77" i="8"/>
  <c r="N77" i="8" s="1"/>
  <c r="L77" i="8"/>
  <c r="N76" i="8"/>
  <c r="M76" i="8"/>
  <c r="L76" i="8"/>
  <c r="M75" i="8"/>
  <c r="N75" i="8" s="1"/>
  <c r="L75" i="8"/>
  <c r="N74" i="8"/>
  <c r="M74" i="8"/>
  <c r="L74" i="8"/>
  <c r="M72" i="8"/>
  <c r="N72" i="8" s="1"/>
  <c r="L72" i="8"/>
  <c r="M71" i="8"/>
  <c r="N71" i="8" s="1"/>
  <c r="L71" i="8"/>
  <c r="N70" i="8"/>
  <c r="M70" i="8"/>
  <c r="L70" i="8"/>
  <c r="N69" i="8"/>
  <c r="M69" i="8"/>
  <c r="L69" i="8"/>
  <c r="M68" i="8"/>
  <c r="N68" i="8" s="1"/>
  <c r="L68" i="8"/>
  <c r="N67" i="8"/>
  <c r="M67" i="8"/>
  <c r="L67" i="8"/>
  <c r="M65" i="8"/>
  <c r="N65" i="8" s="1"/>
  <c r="L65" i="8"/>
  <c r="N64" i="8"/>
  <c r="M64" i="8"/>
  <c r="L64" i="8"/>
  <c r="M63" i="8"/>
  <c r="N63" i="8" s="1"/>
  <c r="L63" i="8"/>
  <c r="M62" i="8"/>
  <c r="N62" i="8" s="1"/>
  <c r="L62" i="8"/>
  <c r="N61" i="8"/>
  <c r="M61" i="8"/>
  <c r="L61" i="8"/>
  <c r="N60" i="8"/>
  <c r="M60" i="8"/>
  <c r="L60" i="8"/>
  <c r="M58" i="8"/>
  <c r="N58" i="8" s="1"/>
  <c r="L58" i="8"/>
  <c r="N57" i="8"/>
  <c r="M57" i="8"/>
  <c r="L57" i="8"/>
  <c r="M55" i="8"/>
  <c r="N55" i="8" s="1"/>
  <c r="L55" i="8"/>
  <c r="N54" i="8"/>
  <c r="M54" i="8"/>
  <c r="L54" i="8"/>
  <c r="M53" i="8"/>
  <c r="N53" i="8" s="1"/>
  <c r="L53" i="8"/>
  <c r="M51" i="8"/>
  <c r="N51" i="8" s="1"/>
  <c r="L51" i="8"/>
  <c r="N50" i="8"/>
  <c r="M50" i="8"/>
  <c r="L50" i="8"/>
  <c r="N49" i="8"/>
  <c r="M49" i="8"/>
  <c r="L49" i="8"/>
  <c r="M48" i="8"/>
  <c r="N48" i="8" s="1"/>
  <c r="L48" i="8"/>
  <c r="N46" i="8"/>
  <c r="M46" i="8"/>
  <c r="L46" i="8"/>
  <c r="M44" i="8"/>
  <c r="N44" i="8" s="1"/>
  <c r="L44" i="8"/>
  <c r="N43" i="8"/>
  <c r="M43" i="8"/>
  <c r="L43" i="8"/>
  <c r="M42" i="8"/>
  <c r="N42" i="8" s="1"/>
  <c r="L42" i="8"/>
  <c r="M41" i="8"/>
  <c r="N41" i="8" s="1"/>
  <c r="L41" i="8"/>
  <c r="N40" i="8"/>
  <c r="M40" i="8"/>
  <c r="L40" i="8"/>
  <c r="N39" i="8"/>
  <c r="M39" i="8"/>
  <c r="L39" i="8"/>
  <c r="M37" i="8"/>
  <c r="N37" i="8" s="1"/>
  <c r="L37" i="8"/>
  <c r="N35" i="8"/>
  <c r="M35" i="8"/>
  <c r="L35" i="8"/>
  <c r="M34" i="8"/>
  <c r="N34" i="8" s="1"/>
  <c r="L34" i="8"/>
  <c r="N33" i="8"/>
  <c r="M33" i="8"/>
  <c r="L33" i="8"/>
  <c r="M32" i="8"/>
  <c r="N32" i="8" s="1"/>
  <c r="L32" i="8"/>
  <c r="M31" i="8"/>
  <c r="N31" i="8" s="1"/>
  <c r="L31" i="8"/>
  <c r="M30" i="8"/>
  <c r="N30" i="8" s="1"/>
  <c r="L30" i="8"/>
  <c r="N28" i="8"/>
  <c r="M28" i="8"/>
  <c r="L28" i="8"/>
  <c r="M27" i="8"/>
  <c r="N27" i="8" s="1"/>
  <c r="L27" i="8"/>
  <c r="N25" i="8"/>
  <c r="M25" i="8"/>
  <c r="L25" i="8"/>
  <c r="M24" i="8"/>
  <c r="N24" i="8" s="1"/>
  <c r="L24" i="8"/>
  <c r="N23" i="8"/>
  <c r="M23" i="8"/>
  <c r="L23" i="8"/>
  <c r="M22" i="8"/>
  <c r="N22" i="8" s="1"/>
  <c r="L22" i="8"/>
  <c r="M21" i="8"/>
  <c r="N21" i="8" s="1"/>
  <c r="L21" i="8"/>
  <c r="M19" i="8"/>
  <c r="N19" i="8" s="1"/>
  <c r="L19" i="8"/>
  <c r="N18" i="8"/>
  <c r="M18" i="8"/>
  <c r="L18" i="8"/>
  <c r="M17" i="8"/>
  <c r="N17" i="8" s="1"/>
  <c r="L17" i="8"/>
  <c r="N16" i="8"/>
  <c r="M16" i="8"/>
  <c r="L16" i="8"/>
  <c r="M15" i="8"/>
  <c r="N15" i="8" s="1"/>
  <c r="L15" i="8"/>
  <c r="N14" i="8"/>
  <c r="M14" i="8"/>
  <c r="L14" i="8"/>
  <c r="M13" i="8"/>
  <c r="N13" i="8" s="1"/>
  <c r="L13" i="8"/>
  <c r="M12" i="8"/>
  <c r="N12" i="8" s="1"/>
  <c r="L12" i="8"/>
  <c r="M11" i="8"/>
  <c r="N11" i="8" s="1"/>
  <c r="L11" i="8"/>
  <c r="N10" i="8"/>
  <c r="M10" i="8"/>
  <c r="L10" i="8"/>
  <c r="M9" i="8"/>
  <c r="N9" i="8" s="1"/>
  <c r="L9" i="8"/>
  <c r="N8" i="8"/>
  <c r="M8" i="8"/>
  <c r="L8" i="8"/>
  <c r="M7" i="8"/>
  <c r="N7" i="8" s="1"/>
  <c r="L7" i="8"/>
  <c r="N6" i="8"/>
  <c r="M6" i="8"/>
  <c r="L6" i="8"/>
  <c r="M5" i="8"/>
  <c r="N5" i="8" s="1"/>
  <c r="L5" i="8"/>
  <c r="M4" i="8"/>
  <c r="N4" i="8" s="1"/>
  <c r="L4" i="8"/>
  <c r="N3" i="8"/>
  <c r="M3" i="8"/>
  <c r="L3" i="8"/>
  <c r="N2" i="8"/>
  <c r="M2" i="8"/>
  <c r="L2" i="8"/>
  <c r="J286" i="7"/>
  <c r="J285" i="7"/>
  <c r="J284" i="7"/>
  <c r="J283" i="7"/>
  <c r="J281" i="7"/>
  <c r="J280" i="7"/>
  <c r="J277" i="7"/>
  <c r="J273" i="7"/>
  <c r="J272" i="7"/>
  <c r="J270" i="7"/>
  <c r="J269" i="7"/>
  <c r="J267" i="7"/>
  <c r="J266" i="7"/>
  <c r="J265" i="7"/>
  <c r="J264" i="7"/>
  <c r="J261" i="7"/>
  <c r="J260" i="7"/>
  <c r="J259" i="7"/>
  <c r="J257" i="7"/>
  <c r="J256" i="7"/>
  <c r="J255" i="7"/>
  <c r="J252" i="7"/>
  <c r="J248" i="7"/>
  <c r="J247" i="7"/>
  <c r="J245" i="7"/>
  <c r="J244" i="7"/>
  <c r="J243" i="7"/>
  <c r="J242" i="7"/>
  <c r="J240" i="7"/>
  <c r="J239" i="7"/>
  <c r="J238" i="7"/>
  <c r="J237" i="7"/>
  <c r="J236" i="7"/>
  <c r="J233" i="7"/>
  <c r="J232" i="7"/>
  <c r="J229" i="7"/>
  <c r="J227" i="7"/>
  <c r="J225" i="7"/>
  <c r="J224" i="7"/>
  <c r="J222" i="7"/>
  <c r="J221" i="7"/>
  <c r="J219" i="7"/>
  <c r="J218" i="7"/>
  <c r="J215" i="7"/>
  <c r="J214" i="7"/>
  <c r="J213" i="7"/>
  <c r="J212" i="7"/>
  <c r="J210" i="7"/>
  <c r="J209" i="7"/>
  <c r="J206" i="7"/>
  <c r="J202" i="7"/>
  <c r="J201" i="7"/>
  <c r="J199" i="7"/>
  <c r="J198" i="7"/>
  <c r="J197" i="7"/>
  <c r="J196" i="7"/>
  <c r="J194" i="7"/>
  <c r="J193" i="7"/>
  <c r="J190" i="7"/>
  <c r="J189" i="7"/>
  <c r="J188" i="7"/>
  <c r="J187" i="7"/>
  <c r="J186" i="7"/>
  <c r="J185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6" i="7"/>
  <c r="J115" i="7"/>
  <c r="J114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J124" i="6"/>
  <c r="L123" i="6"/>
  <c r="L122" i="6"/>
  <c r="L121" i="6"/>
  <c r="L120" i="6"/>
  <c r="L119" i="6"/>
  <c r="L118" i="6"/>
  <c r="L117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M181" i="5"/>
  <c r="M179" i="5"/>
  <c r="M177" i="5"/>
  <c r="M175" i="5"/>
  <c r="M173" i="5"/>
  <c r="M172" i="5"/>
  <c r="M171" i="5"/>
  <c r="M170" i="5"/>
  <c r="M168" i="5"/>
  <c r="M167" i="5"/>
  <c r="M165" i="5"/>
  <c r="M164" i="5"/>
  <c r="M162" i="5"/>
  <c r="M161" i="5"/>
  <c r="M160" i="5"/>
  <c r="M159" i="5"/>
  <c r="M158" i="5"/>
  <c r="M157" i="5"/>
  <c r="M156" i="5"/>
  <c r="M155" i="5"/>
  <c r="M154" i="5"/>
  <c r="M153" i="5"/>
  <c r="M151" i="5"/>
  <c r="M150" i="5"/>
  <c r="M149" i="5"/>
  <c r="M148" i="5"/>
  <c r="M146" i="5"/>
  <c r="M145" i="5"/>
  <c r="M144" i="5"/>
  <c r="M143" i="5"/>
  <c r="M142" i="5"/>
  <c r="M139" i="5"/>
  <c r="M137" i="5"/>
  <c r="M136" i="5"/>
  <c r="M135" i="5"/>
  <c r="M133" i="5"/>
  <c r="M131" i="5"/>
  <c r="M128" i="5"/>
  <c r="M126" i="5"/>
  <c r="M125" i="5"/>
  <c r="M122" i="5"/>
  <c r="M121" i="5"/>
  <c r="M120" i="5"/>
  <c r="M119" i="5"/>
  <c r="M118" i="5"/>
  <c r="M117" i="5"/>
  <c r="M116" i="5"/>
  <c r="M114" i="5"/>
  <c r="M113" i="5"/>
  <c r="M112" i="5"/>
  <c r="M111" i="5"/>
  <c r="M110" i="5"/>
  <c r="M108" i="5"/>
  <c r="M107" i="5"/>
  <c r="M106" i="5"/>
  <c r="M105" i="5"/>
  <c r="M104" i="5"/>
  <c r="M103" i="5"/>
  <c r="M100" i="5"/>
  <c r="M99" i="5"/>
  <c r="M98" i="5"/>
  <c r="M97" i="5"/>
  <c r="M96" i="5"/>
  <c r="M94" i="5"/>
  <c r="M93" i="5"/>
  <c r="M92" i="5"/>
  <c r="M91" i="5"/>
  <c r="M89" i="5"/>
  <c r="M88" i="5"/>
  <c r="M87" i="5"/>
  <c r="M86" i="5"/>
  <c r="M83" i="5"/>
  <c r="M82" i="5"/>
  <c r="M81" i="5"/>
  <c r="M80" i="5"/>
  <c r="M79" i="5"/>
  <c r="M78" i="5"/>
  <c r="M77" i="5"/>
  <c r="M76" i="5"/>
  <c r="M75" i="5"/>
  <c r="M74" i="5"/>
  <c r="M73" i="5"/>
  <c r="M71" i="5"/>
  <c r="M70" i="5"/>
  <c r="M69" i="5"/>
  <c r="M68" i="5"/>
  <c r="M67" i="5"/>
  <c r="M66" i="5"/>
  <c r="M65" i="5"/>
  <c r="M64" i="5"/>
  <c r="M63" i="5"/>
  <c r="M62" i="5"/>
  <c r="M61" i="5"/>
  <c r="M60" i="5"/>
  <c r="M58" i="5"/>
  <c r="M56" i="5"/>
  <c r="M55" i="5"/>
  <c r="M54" i="5"/>
  <c r="M53" i="5"/>
  <c r="M52" i="5"/>
  <c r="M51" i="5"/>
  <c r="M49" i="5"/>
  <c r="M47" i="5"/>
  <c r="M46" i="5"/>
  <c r="M45" i="5"/>
  <c r="M44" i="5"/>
  <c r="M42" i="5"/>
  <c r="M41" i="5"/>
  <c r="M39" i="5"/>
  <c r="M38" i="5"/>
  <c r="M37" i="5"/>
  <c r="M36" i="5"/>
  <c r="M35" i="5"/>
  <c r="M34" i="5"/>
  <c r="M33" i="5"/>
  <c r="M32" i="5"/>
  <c r="M31" i="5"/>
  <c r="M30" i="5"/>
  <c r="M29" i="5"/>
  <c r="M26" i="5"/>
  <c r="M25" i="5"/>
  <c r="M24" i="5"/>
  <c r="M23" i="5"/>
  <c r="M22" i="5"/>
  <c r="M21" i="5"/>
  <c r="M20" i="5"/>
  <c r="M19" i="5"/>
  <c r="M18" i="5"/>
  <c r="M16" i="5"/>
  <c r="M15" i="5"/>
  <c r="M14" i="5"/>
  <c r="M13" i="5"/>
  <c r="M11" i="5"/>
  <c r="M10" i="5"/>
  <c r="M9" i="5"/>
  <c r="M8" i="5"/>
  <c r="M6" i="5"/>
  <c r="M5" i="5"/>
  <c r="N371" i="4" l="1"/>
  <c r="O371" i="4" s="1"/>
  <c r="L371" i="4"/>
  <c r="N370" i="4"/>
  <c r="O370" i="4" s="1"/>
  <c r="L370" i="4"/>
  <c r="N369" i="4"/>
  <c r="O369" i="4" s="1"/>
  <c r="L369" i="4"/>
  <c r="N367" i="4"/>
  <c r="O367" i="4" s="1"/>
  <c r="L367" i="4"/>
  <c r="O366" i="4"/>
  <c r="N366" i="4"/>
  <c r="L366" i="4"/>
  <c r="N365" i="4"/>
  <c r="O365" i="4" s="1"/>
  <c r="L365" i="4"/>
  <c r="N364" i="4"/>
  <c r="O364" i="4" s="1"/>
  <c r="L364" i="4"/>
  <c r="O363" i="4"/>
  <c r="N363" i="4"/>
  <c r="L363" i="4"/>
  <c r="N362" i="4"/>
  <c r="O362" i="4" s="1"/>
  <c r="L362" i="4"/>
  <c r="N361" i="4"/>
  <c r="O361" i="4" s="1"/>
  <c r="L361" i="4"/>
  <c r="N360" i="4"/>
  <c r="O360" i="4" s="1"/>
  <c r="L360" i="4"/>
  <c r="N359" i="4"/>
  <c r="O359" i="4" s="1"/>
  <c r="L359" i="4"/>
  <c r="O358" i="4"/>
  <c r="N358" i="4"/>
  <c r="L358" i="4"/>
  <c r="N357" i="4"/>
  <c r="O357" i="4" s="1"/>
  <c r="L357" i="4"/>
  <c r="N356" i="4"/>
  <c r="O356" i="4" s="1"/>
  <c r="L356" i="4"/>
  <c r="N355" i="4"/>
  <c r="O355" i="4" s="1"/>
  <c r="L355" i="4"/>
  <c r="N354" i="4"/>
  <c r="O354" i="4" s="1"/>
  <c r="L354" i="4"/>
  <c r="N352" i="4"/>
  <c r="O352" i="4" s="1"/>
  <c r="L352" i="4"/>
  <c r="N351" i="4"/>
  <c r="O351" i="4" s="1"/>
  <c r="L351" i="4"/>
  <c r="N350" i="4"/>
  <c r="O350" i="4" s="1"/>
  <c r="L350" i="4"/>
  <c r="N349" i="4"/>
  <c r="O349" i="4" s="1"/>
  <c r="L349" i="4"/>
  <c r="N348" i="4"/>
  <c r="O348" i="4" s="1"/>
  <c r="L348" i="4"/>
  <c r="N347" i="4"/>
  <c r="O347" i="4" s="1"/>
  <c r="L347" i="4"/>
  <c r="N346" i="4"/>
  <c r="O346" i="4" s="1"/>
  <c r="L346" i="4"/>
  <c r="N345" i="4"/>
  <c r="O345" i="4" s="1"/>
  <c r="L345" i="4"/>
  <c r="N344" i="4"/>
  <c r="O344" i="4" s="1"/>
  <c r="L344" i="4"/>
  <c r="N343" i="4"/>
  <c r="O343" i="4" s="1"/>
  <c r="L343" i="4"/>
  <c r="N342" i="4"/>
  <c r="O342" i="4" s="1"/>
  <c r="L342" i="4"/>
  <c r="N341" i="4"/>
  <c r="O341" i="4" s="1"/>
  <c r="L341" i="4"/>
  <c r="N340" i="4"/>
  <c r="O340" i="4" s="1"/>
  <c r="L340" i="4"/>
  <c r="N339" i="4"/>
  <c r="O339" i="4" s="1"/>
  <c r="L339" i="4"/>
  <c r="N337" i="4"/>
  <c r="O337" i="4" s="1"/>
  <c r="L337" i="4"/>
  <c r="N335" i="4"/>
  <c r="O335" i="4" s="1"/>
  <c r="L335" i="4"/>
  <c r="N334" i="4"/>
  <c r="O334" i="4" s="1"/>
  <c r="L334" i="4"/>
  <c r="N332" i="4"/>
  <c r="O332" i="4" s="1"/>
  <c r="L332" i="4"/>
  <c r="N329" i="4"/>
  <c r="O329" i="4" s="1"/>
  <c r="L329" i="4"/>
  <c r="O327" i="4"/>
  <c r="N327" i="4"/>
  <c r="L327" i="4"/>
  <c r="N326" i="4"/>
  <c r="O326" i="4" s="1"/>
  <c r="L326" i="4"/>
  <c r="N325" i="4"/>
  <c r="O325" i="4" s="1"/>
  <c r="L325" i="4"/>
  <c r="O323" i="4"/>
  <c r="N323" i="4"/>
  <c r="L323" i="4"/>
  <c r="N322" i="4"/>
  <c r="O322" i="4" s="1"/>
  <c r="L322" i="4"/>
  <c r="N320" i="4"/>
  <c r="O320" i="4" s="1"/>
  <c r="L320" i="4"/>
  <c r="N319" i="4"/>
  <c r="O319" i="4" s="1"/>
  <c r="L319" i="4"/>
  <c r="N318" i="4"/>
  <c r="O318" i="4" s="1"/>
  <c r="L318" i="4"/>
  <c r="N317" i="4"/>
  <c r="O317" i="4" s="1"/>
  <c r="L317" i="4"/>
  <c r="N315" i="4"/>
  <c r="O315" i="4" s="1"/>
  <c r="L315" i="4"/>
  <c r="N314" i="4"/>
  <c r="O314" i="4" s="1"/>
  <c r="L314" i="4"/>
  <c r="N311" i="4"/>
  <c r="O311" i="4" s="1"/>
  <c r="L311" i="4"/>
  <c r="N310" i="4"/>
  <c r="O310" i="4" s="1"/>
  <c r="L310" i="4"/>
  <c r="N309" i="4"/>
  <c r="O309" i="4" s="1"/>
  <c r="L309" i="4"/>
  <c r="N308" i="4"/>
  <c r="O308" i="4" s="1"/>
  <c r="L308" i="4"/>
  <c r="N307" i="4"/>
  <c r="O307" i="4" s="1"/>
  <c r="L307" i="4"/>
  <c r="N306" i="4"/>
  <c r="O306" i="4" s="1"/>
  <c r="L306" i="4"/>
  <c r="N304" i="4"/>
  <c r="O304" i="4" s="1"/>
  <c r="L304" i="4"/>
  <c r="N303" i="4"/>
  <c r="O303" i="4" s="1"/>
  <c r="L303" i="4"/>
  <c r="N301" i="4"/>
  <c r="O301" i="4" s="1"/>
  <c r="L301" i="4"/>
  <c r="N300" i="4"/>
  <c r="O300" i="4" s="1"/>
  <c r="L300" i="4"/>
  <c r="N298" i="4"/>
  <c r="O298" i="4" s="1"/>
  <c r="L298" i="4"/>
  <c r="N297" i="4"/>
  <c r="O297" i="4" s="1"/>
  <c r="L297" i="4"/>
  <c r="N294" i="4"/>
  <c r="O294" i="4" s="1"/>
  <c r="L294" i="4"/>
  <c r="O292" i="4"/>
  <c r="N292" i="4"/>
  <c r="L292" i="4"/>
  <c r="N291" i="4"/>
  <c r="O291" i="4" s="1"/>
  <c r="L291" i="4"/>
  <c r="N289" i="4"/>
  <c r="O289" i="4" s="1"/>
  <c r="L289" i="4"/>
  <c r="N288" i="4"/>
  <c r="O288" i="4" s="1"/>
  <c r="L288" i="4"/>
  <c r="N287" i="4"/>
  <c r="O287" i="4" s="1"/>
  <c r="L287" i="4"/>
  <c r="N285" i="4"/>
  <c r="O285" i="4" s="1"/>
  <c r="L285" i="4"/>
  <c r="N284" i="4"/>
  <c r="O284" i="4" s="1"/>
  <c r="L284" i="4"/>
  <c r="N283" i="4"/>
  <c r="O283" i="4" s="1"/>
  <c r="L283" i="4"/>
  <c r="O282" i="4"/>
  <c r="N282" i="4"/>
  <c r="L282" i="4"/>
  <c r="N281" i="4"/>
  <c r="O281" i="4" s="1"/>
  <c r="L281" i="4"/>
  <c r="N279" i="4"/>
  <c r="O279" i="4" s="1"/>
  <c r="L279" i="4"/>
  <c r="O278" i="4"/>
  <c r="N278" i="4"/>
  <c r="L278" i="4"/>
  <c r="N277" i="4"/>
  <c r="O277" i="4" s="1"/>
  <c r="L277" i="4"/>
  <c r="N275" i="4"/>
  <c r="O275" i="4" s="1"/>
  <c r="L275" i="4"/>
  <c r="N273" i="4"/>
  <c r="O273" i="4" s="1"/>
  <c r="L273" i="4"/>
  <c r="N272" i="4"/>
  <c r="O272" i="4" s="1"/>
  <c r="L272" i="4"/>
  <c r="N271" i="4"/>
  <c r="O271" i="4" s="1"/>
  <c r="L271" i="4"/>
  <c r="N268" i="4"/>
  <c r="O268" i="4" s="1"/>
  <c r="L268" i="4"/>
  <c r="N266" i="4"/>
  <c r="O266" i="4" s="1"/>
  <c r="L266" i="4"/>
  <c r="N264" i="4"/>
  <c r="O264" i="4" s="1"/>
  <c r="L264" i="4"/>
  <c r="N263" i="4"/>
  <c r="O263" i="4" s="1"/>
  <c r="L263" i="4"/>
  <c r="N262" i="4"/>
  <c r="O262" i="4" s="1"/>
  <c r="L262" i="4"/>
  <c r="N260" i="4"/>
  <c r="O260" i="4" s="1"/>
  <c r="L260" i="4"/>
  <c r="N258" i="4"/>
  <c r="O258" i="4" s="1"/>
  <c r="L258" i="4"/>
  <c r="N257" i="4"/>
  <c r="O257" i="4" s="1"/>
  <c r="L257" i="4"/>
  <c r="N255" i="4"/>
  <c r="O255" i="4" s="1"/>
  <c r="L255" i="4"/>
  <c r="N254" i="4"/>
  <c r="O254" i="4" s="1"/>
  <c r="L254" i="4"/>
  <c r="N252" i="4"/>
  <c r="O252" i="4" s="1"/>
  <c r="L252" i="4"/>
  <c r="N251" i="4"/>
  <c r="O251" i="4" s="1"/>
  <c r="L251" i="4"/>
  <c r="N249" i="4"/>
  <c r="O249" i="4" s="1"/>
  <c r="L249" i="4"/>
  <c r="N248" i="4"/>
  <c r="O248" i="4" s="1"/>
  <c r="L248" i="4"/>
  <c r="N246" i="4"/>
  <c r="O246" i="4" s="1"/>
  <c r="L246" i="4"/>
  <c r="O245" i="4"/>
  <c r="N245" i="4"/>
  <c r="L245" i="4"/>
  <c r="N244" i="4"/>
  <c r="O244" i="4" s="1"/>
  <c r="L244" i="4"/>
  <c r="N241" i="4"/>
  <c r="O241" i="4" s="1"/>
  <c r="L241" i="4"/>
  <c r="N239" i="4"/>
  <c r="O239" i="4" s="1"/>
  <c r="L239" i="4"/>
  <c r="N238" i="4"/>
  <c r="O238" i="4" s="1"/>
  <c r="L238" i="4"/>
  <c r="N237" i="4"/>
  <c r="O237" i="4" s="1"/>
  <c r="L237" i="4"/>
  <c r="N236" i="4"/>
  <c r="O236" i="4" s="1"/>
  <c r="L236" i="4"/>
  <c r="N234" i="4"/>
  <c r="O234" i="4" s="1"/>
  <c r="L234" i="4"/>
  <c r="O232" i="4"/>
  <c r="N232" i="4"/>
  <c r="L232" i="4"/>
  <c r="N231" i="4"/>
  <c r="O231" i="4" s="1"/>
  <c r="L231" i="4"/>
  <c r="N230" i="4"/>
  <c r="O230" i="4" s="1"/>
  <c r="L230" i="4"/>
  <c r="O228" i="4"/>
  <c r="N228" i="4"/>
  <c r="L228" i="4"/>
  <c r="N227" i="4"/>
  <c r="O227" i="4" s="1"/>
  <c r="L227" i="4"/>
  <c r="N226" i="4"/>
  <c r="O226" i="4" s="1"/>
  <c r="L226" i="4"/>
  <c r="N225" i="4"/>
  <c r="O225" i="4" s="1"/>
  <c r="L225" i="4"/>
  <c r="N224" i="4"/>
  <c r="O224" i="4" s="1"/>
  <c r="L224" i="4"/>
  <c r="N222" i="4"/>
  <c r="O222" i="4" s="1"/>
  <c r="L222" i="4"/>
  <c r="N221" i="4"/>
  <c r="O221" i="4" s="1"/>
  <c r="L221" i="4"/>
  <c r="N220" i="4"/>
  <c r="O220" i="4" s="1"/>
  <c r="L220" i="4"/>
  <c r="N219" i="4"/>
  <c r="O219" i="4" s="1"/>
  <c r="L219" i="4"/>
  <c r="N217" i="4"/>
  <c r="O217" i="4" s="1"/>
  <c r="L217" i="4"/>
  <c r="N215" i="4"/>
  <c r="O215" i="4" s="1"/>
  <c r="L215" i="4"/>
  <c r="N214" i="4"/>
  <c r="O214" i="4" s="1"/>
  <c r="L214" i="4"/>
  <c r="N213" i="4"/>
  <c r="O213" i="4" s="1"/>
  <c r="L213" i="4"/>
  <c r="N211" i="4"/>
  <c r="O211" i="4" s="1"/>
  <c r="L211" i="4"/>
  <c r="N209" i="4"/>
  <c r="O209" i="4" s="1"/>
  <c r="L209" i="4"/>
  <c r="N208" i="4"/>
  <c r="O208" i="4" s="1"/>
  <c r="L208" i="4"/>
  <c r="N207" i="4"/>
  <c r="O207" i="4" s="1"/>
  <c r="L207" i="4"/>
  <c r="N204" i="4"/>
  <c r="O204" i="4" s="1"/>
  <c r="L204" i="4"/>
  <c r="N202" i="4"/>
  <c r="O202" i="4" s="1"/>
  <c r="L202" i="4"/>
  <c r="N201" i="4"/>
  <c r="O201" i="4" s="1"/>
  <c r="L201" i="4"/>
  <c r="N200" i="4"/>
  <c r="O200" i="4" s="1"/>
  <c r="L200" i="4"/>
  <c r="O198" i="4"/>
  <c r="N198" i="4"/>
  <c r="L198" i="4"/>
  <c r="N197" i="4"/>
  <c r="O197" i="4" s="1"/>
  <c r="L197" i="4"/>
  <c r="N195" i="4"/>
  <c r="O195" i="4" s="1"/>
  <c r="L195" i="4"/>
  <c r="N193" i="4"/>
  <c r="O193" i="4" s="1"/>
  <c r="L193" i="4"/>
  <c r="N191" i="4"/>
  <c r="O191" i="4" s="1"/>
  <c r="L191" i="4"/>
  <c r="N189" i="4"/>
  <c r="O189" i="4" s="1"/>
  <c r="L189" i="4"/>
  <c r="N188" i="4"/>
  <c r="O188" i="4" s="1"/>
  <c r="L188" i="4"/>
  <c r="N187" i="4"/>
  <c r="O187" i="4" s="1"/>
  <c r="L187" i="4"/>
  <c r="O186" i="4"/>
  <c r="N186" i="4"/>
  <c r="L186" i="4"/>
  <c r="N184" i="4"/>
  <c r="O184" i="4" s="1"/>
  <c r="L184" i="4"/>
  <c r="N183" i="4"/>
  <c r="O183" i="4" s="1"/>
  <c r="L183" i="4"/>
  <c r="O182" i="4"/>
  <c r="N182" i="4"/>
  <c r="L182" i="4"/>
  <c r="N180" i="4"/>
  <c r="O180" i="4" s="1"/>
  <c r="L180" i="4"/>
  <c r="N179" i="4"/>
  <c r="O179" i="4" s="1"/>
  <c r="L179" i="4"/>
  <c r="N177" i="4"/>
  <c r="O177" i="4" s="1"/>
  <c r="L177" i="4"/>
  <c r="N176" i="4"/>
  <c r="O176" i="4" s="1"/>
  <c r="L176" i="4"/>
  <c r="N173" i="4"/>
  <c r="O173" i="4" s="1"/>
  <c r="L173" i="4"/>
  <c r="N171" i="4"/>
  <c r="O171" i="4" s="1"/>
  <c r="L171" i="4"/>
  <c r="N170" i="4"/>
  <c r="O170" i="4" s="1"/>
  <c r="L170" i="4"/>
  <c r="N169" i="4"/>
  <c r="O169" i="4" s="1"/>
  <c r="L169" i="4"/>
  <c r="N167" i="4"/>
  <c r="O167" i="4" s="1"/>
  <c r="L167" i="4"/>
  <c r="N165" i="4"/>
  <c r="O165" i="4" s="1"/>
  <c r="L165" i="4"/>
  <c r="N164" i="4"/>
  <c r="O164" i="4" s="1"/>
  <c r="L164" i="4"/>
  <c r="N163" i="4"/>
  <c r="O163" i="4" s="1"/>
  <c r="L163" i="4"/>
  <c r="N162" i="4"/>
  <c r="O162" i="4" s="1"/>
  <c r="L162" i="4"/>
  <c r="N161" i="4"/>
  <c r="O161" i="4" s="1"/>
  <c r="L161" i="4"/>
  <c r="N160" i="4"/>
  <c r="O160" i="4" s="1"/>
  <c r="L160" i="4"/>
  <c r="N158" i="4"/>
  <c r="O158" i="4" s="1"/>
  <c r="L158" i="4"/>
  <c r="N156" i="4"/>
  <c r="O156" i="4" s="1"/>
  <c r="L156" i="4"/>
  <c r="N154" i="4"/>
  <c r="O154" i="4" s="1"/>
  <c r="L154" i="4"/>
  <c r="N153" i="4"/>
  <c r="O153" i="4" s="1"/>
  <c r="L153" i="4"/>
  <c r="N152" i="4"/>
  <c r="O152" i="4" s="1"/>
  <c r="L152" i="4"/>
  <c r="O150" i="4"/>
  <c r="N150" i="4"/>
  <c r="L150" i="4"/>
  <c r="N148" i="4"/>
  <c r="O148" i="4" s="1"/>
  <c r="L148" i="4"/>
  <c r="N146" i="4"/>
  <c r="O146" i="4" s="1"/>
  <c r="L146" i="4"/>
  <c r="N145" i="4"/>
  <c r="O145" i="4" s="1"/>
  <c r="L145" i="4"/>
  <c r="N144" i="4"/>
  <c r="O144" i="4" s="1"/>
  <c r="L144" i="4"/>
  <c r="N143" i="4"/>
  <c r="O143" i="4" s="1"/>
  <c r="L143" i="4"/>
  <c r="N142" i="4"/>
  <c r="O142" i="4" s="1"/>
  <c r="L142" i="4"/>
  <c r="N140" i="4"/>
  <c r="O140" i="4" s="1"/>
  <c r="L140" i="4"/>
  <c r="N138" i="4"/>
  <c r="O138" i="4" s="1"/>
  <c r="N137" i="4"/>
  <c r="O137" i="4" s="1"/>
  <c r="N136" i="4"/>
  <c r="O136" i="4" s="1"/>
  <c r="L136" i="4"/>
  <c r="N135" i="4"/>
  <c r="O135" i="4" s="1"/>
  <c r="L135" i="4"/>
  <c r="N134" i="4"/>
  <c r="O134" i="4" s="1"/>
  <c r="L134" i="4"/>
  <c r="N133" i="4"/>
  <c r="O133" i="4" s="1"/>
  <c r="L133" i="4"/>
  <c r="N132" i="4"/>
  <c r="O132" i="4" s="1"/>
  <c r="L132" i="4"/>
  <c r="N131" i="4"/>
  <c r="O131" i="4" s="1"/>
  <c r="L131" i="4"/>
  <c r="N130" i="4"/>
  <c r="O130" i="4" s="1"/>
  <c r="L130" i="4"/>
  <c r="N129" i="4"/>
  <c r="O129" i="4" s="1"/>
  <c r="L129" i="4"/>
  <c r="N128" i="4"/>
  <c r="O128" i="4" s="1"/>
  <c r="L128" i="4"/>
  <c r="O127" i="4"/>
  <c r="N127" i="4"/>
  <c r="L127" i="4"/>
  <c r="N126" i="4"/>
  <c r="O126" i="4" s="1"/>
  <c r="L126" i="4"/>
  <c r="N125" i="4"/>
  <c r="O125" i="4" s="1"/>
  <c r="L125" i="4"/>
  <c r="O124" i="4"/>
  <c r="N124" i="4"/>
  <c r="L124" i="4"/>
  <c r="N123" i="4"/>
  <c r="O123" i="4" s="1"/>
  <c r="L123" i="4"/>
  <c r="N121" i="4"/>
  <c r="O121" i="4" s="1"/>
  <c r="L121" i="4"/>
  <c r="O120" i="4"/>
  <c r="N120" i="4"/>
  <c r="L120" i="4"/>
  <c r="N118" i="4"/>
  <c r="O118" i="4" s="1"/>
  <c r="L118" i="4"/>
  <c r="N117" i="4"/>
  <c r="O117" i="4" s="1"/>
  <c r="L117" i="4"/>
  <c r="N116" i="4"/>
  <c r="O116" i="4" s="1"/>
  <c r="L116" i="4"/>
  <c r="N115" i="4"/>
  <c r="O115" i="4" s="1"/>
  <c r="L115" i="4"/>
  <c r="N114" i="4"/>
  <c r="O114" i="4" s="1"/>
  <c r="L114" i="4"/>
  <c r="N113" i="4"/>
  <c r="O113" i="4" s="1"/>
  <c r="L113" i="4"/>
  <c r="N112" i="4"/>
  <c r="O112" i="4" s="1"/>
  <c r="L112" i="4"/>
  <c r="O110" i="4"/>
  <c r="N110" i="4"/>
  <c r="L110" i="4"/>
  <c r="N109" i="4"/>
  <c r="O109" i="4" s="1"/>
  <c r="L109" i="4"/>
  <c r="N107" i="4"/>
  <c r="O107" i="4" s="1"/>
  <c r="L107" i="4"/>
  <c r="N106" i="4"/>
  <c r="O106" i="4" s="1"/>
  <c r="L106" i="4"/>
  <c r="N104" i="4"/>
  <c r="O104" i="4" s="1"/>
  <c r="L104" i="4"/>
  <c r="N103" i="4"/>
  <c r="O103" i="4" s="1"/>
  <c r="L103" i="4"/>
  <c r="N102" i="4"/>
  <c r="O102" i="4" s="1"/>
  <c r="L102" i="4"/>
  <c r="N101" i="4"/>
  <c r="O101" i="4" s="1"/>
  <c r="L101" i="4"/>
  <c r="N99" i="4"/>
  <c r="O99" i="4" s="1"/>
  <c r="L99" i="4"/>
  <c r="N98" i="4"/>
  <c r="O98" i="4" s="1"/>
  <c r="L98" i="4"/>
  <c r="O97" i="4"/>
  <c r="N97" i="4"/>
  <c r="L97" i="4"/>
  <c r="N96" i="4"/>
  <c r="O96" i="4" s="1"/>
  <c r="L96" i="4"/>
  <c r="N95" i="4"/>
  <c r="O95" i="4" s="1"/>
  <c r="L95" i="4"/>
  <c r="O93" i="4"/>
  <c r="N93" i="4"/>
  <c r="L93" i="4"/>
  <c r="N91" i="4"/>
  <c r="O91" i="4" s="1"/>
  <c r="L91" i="4"/>
  <c r="N90" i="4"/>
  <c r="O90" i="4" s="1"/>
  <c r="L90" i="4"/>
  <c r="N88" i="4"/>
  <c r="O88" i="4" s="1"/>
  <c r="L88" i="4"/>
  <c r="N87" i="4"/>
  <c r="O87" i="4" s="1"/>
  <c r="L87" i="4"/>
  <c r="N86" i="4"/>
  <c r="O86" i="4" s="1"/>
  <c r="L86" i="4"/>
  <c r="N85" i="4"/>
  <c r="O85" i="4" s="1"/>
  <c r="L85" i="4"/>
  <c r="N84" i="4"/>
  <c r="O84" i="4" s="1"/>
  <c r="L84" i="4"/>
  <c r="N83" i="4"/>
  <c r="O83" i="4" s="1"/>
  <c r="L83" i="4"/>
  <c r="N82" i="4"/>
  <c r="O82" i="4" s="1"/>
  <c r="L82" i="4"/>
  <c r="N81" i="4"/>
  <c r="O81" i="4" s="1"/>
  <c r="L81" i="4"/>
  <c r="O80" i="4"/>
  <c r="N80" i="4"/>
  <c r="L80" i="4"/>
  <c r="N79" i="4"/>
  <c r="O79" i="4" s="1"/>
  <c r="L79" i="4"/>
  <c r="N78" i="4"/>
  <c r="O78" i="4" s="1"/>
  <c r="L78" i="4"/>
  <c r="N77" i="4"/>
  <c r="O77" i="4" s="1"/>
  <c r="L77" i="4"/>
  <c r="N76" i="4"/>
  <c r="O76" i="4" s="1"/>
  <c r="L76" i="4"/>
  <c r="N75" i="4"/>
  <c r="O75" i="4" s="1"/>
  <c r="L75" i="4"/>
  <c r="N74" i="4"/>
  <c r="O74" i="4" s="1"/>
  <c r="L74" i="4"/>
  <c r="N72" i="4"/>
  <c r="O72" i="4" s="1"/>
  <c r="L72" i="4"/>
  <c r="N71" i="4"/>
  <c r="O71" i="4" s="1"/>
  <c r="L71" i="4"/>
  <c r="N70" i="4"/>
  <c r="O70" i="4" s="1"/>
  <c r="L70" i="4"/>
  <c r="N69" i="4"/>
  <c r="O69" i="4" s="1"/>
  <c r="L69" i="4"/>
  <c r="N68" i="4"/>
  <c r="O68" i="4" s="1"/>
  <c r="L68" i="4"/>
  <c r="N67" i="4"/>
  <c r="O67" i="4" s="1"/>
  <c r="L67" i="4"/>
  <c r="N65" i="4"/>
  <c r="O65" i="4" s="1"/>
  <c r="L65" i="4"/>
  <c r="N64" i="4"/>
  <c r="O64" i="4" s="1"/>
  <c r="L64" i="4"/>
  <c r="N63" i="4"/>
  <c r="O63" i="4" s="1"/>
  <c r="L63" i="4"/>
  <c r="N62" i="4"/>
  <c r="O62" i="4" s="1"/>
  <c r="L62" i="4"/>
  <c r="N61" i="4"/>
  <c r="O61" i="4" s="1"/>
  <c r="L61" i="4"/>
  <c r="N60" i="4"/>
  <c r="O60" i="4" s="1"/>
  <c r="L60" i="4"/>
  <c r="N58" i="4"/>
  <c r="O58" i="4" s="1"/>
  <c r="L58" i="4"/>
  <c r="N57" i="4"/>
  <c r="O57" i="4" s="1"/>
  <c r="L57" i="4"/>
  <c r="O55" i="4"/>
  <c r="N55" i="4"/>
  <c r="L55" i="4"/>
  <c r="N54" i="4"/>
  <c r="O54" i="4" s="1"/>
  <c r="L54" i="4"/>
  <c r="N53" i="4"/>
  <c r="O53" i="4" s="1"/>
  <c r="L53" i="4"/>
  <c r="O51" i="4"/>
  <c r="N51" i="4"/>
  <c r="L51" i="4"/>
  <c r="N50" i="4"/>
  <c r="O50" i="4" s="1"/>
  <c r="L50" i="4"/>
  <c r="N49" i="4"/>
  <c r="O49" i="4" s="1"/>
  <c r="L49" i="4"/>
  <c r="N48" i="4"/>
  <c r="O48" i="4" s="1"/>
  <c r="L48" i="4"/>
  <c r="N46" i="4"/>
  <c r="O46" i="4" s="1"/>
  <c r="L46" i="4"/>
  <c r="N44" i="4"/>
  <c r="O44" i="4" s="1"/>
  <c r="L44" i="4"/>
  <c r="N43" i="4"/>
  <c r="O43" i="4" s="1"/>
  <c r="L43" i="4"/>
  <c r="N42" i="4"/>
  <c r="O42" i="4" s="1"/>
  <c r="L42" i="4"/>
  <c r="N41" i="4"/>
  <c r="O41" i="4" s="1"/>
  <c r="L41" i="4"/>
  <c r="N40" i="4"/>
  <c r="O40" i="4" s="1"/>
  <c r="L40" i="4"/>
  <c r="O39" i="4"/>
  <c r="N39" i="4"/>
  <c r="L39" i="4"/>
  <c r="N37" i="4"/>
  <c r="O37" i="4" s="1"/>
  <c r="L37" i="4"/>
  <c r="N35" i="4"/>
  <c r="O35" i="4" s="1"/>
  <c r="L35" i="4"/>
  <c r="O34" i="4"/>
  <c r="N34" i="4"/>
  <c r="L34" i="4"/>
  <c r="N33" i="4"/>
  <c r="O33" i="4" s="1"/>
  <c r="L33" i="4"/>
  <c r="N32" i="4"/>
  <c r="O32" i="4" s="1"/>
  <c r="L32" i="4"/>
  <c r="N31" i="4"/>
  <c r="O31" i="4" s="1"/>
  <c r="L31" i="4"/>
  <c r="N30" i="4"/>
  <c r="O30" i="4" s="1"/>
  <c r="L30" i="4"/>
  <c r="N28" i="4"/>
  <c r="O28" i="4" s="1"/>
  <c r="L28" i="4"/>
  <c r="N27" i="4"/>
  <c r="O27" i="4" s="1"/>
  <c r="L27" i="4"/>
  <c r="N25" i="4"/>
  <c r="O25" i="4" s="1"/>
  <c r="L25" i="4"/>
  <c r="O24" i="4"/>
  <c r="N24" i="4"/>
  <c r="L24" i="4"/>
  <c r="N23" i="4"/>
  <c r="O23" i="4" s="1"/>
  <c r="L23" i="4"/>
  <c r="N22" i="4"/>
  <c r="O22" i="4" s="1"/>
  <c r="L22" i="4"/>
  <c r="O21" i="4"/>
  <c r="N21" i="4"/>
  <c r="L21" i="4"/>
  <c r="N19" i="4"/>
  <c r="O19" i="4" s="1"/>
  <c r="L19" i="4"/>
  <c r="N18" i="4"/>
  <c r="O18" i="4" s="1"/>
  <c r="L18" i="4"/>
  <c r="N17" i="4"/>
  <c r="O17" i="4" s="1"/>
  <c r="L17" i="4"/>
  <c r="N16" i="4"/>
  <c r="O16" i="4" s="1"/>
  <c r="L16" i="4"/>
  <c r="N15" i="4"/>
  <c r="O15" i="4" s="1"/>
  <c r="L15" i="4"/>
  <c r="N14" i="4"/>
  <c r="O14" i="4" s="1"/>
  <c r="L14" i="4"/>
  <c r="N13" i="4"/>
  <c r="O13" i="4" s="1"/>
  <c r="L13" i="4"/>
  <c r="N12" i="4"/>
  <c r="O12" i="4" s="1"/>
  <c r="L12" i="4"/>
  <c r="N11" i="4"/>
  <c r="O11" i="4" s="1"/>
  <c r="L11" i="4"/>
  <c r="N10" i="4"/>
  <c r="O10" i="4" s="1"/>
  <c r="L10" i="4"/>
  <c r="N9" i="4"/>
  <c r="O9" i="4" s="1"/>
  <c r="L9" i="4"/>
  <c r="N8" i="4"/>
  <c r="O8" i="4" s="1"/>
  <c r="L8" i="4"/>
  <c r="N7" i="4"/>
  <c r="O7" i="4" s="1"/>
  <c r="L7" i="4"/>
  <c r="N6" i="4"/>
  <c r="O6" i="4" s="1"/>
  <c r="L6" i="4"/>
  <c r="N5" i="4"/>
  <c r="O5" i="4" s="1"/>
  <c r="L5" i="4"/>
  <c r="N4" i="4"/>
  <c r="O4" i="4" s="1"/>
  <c r="L4" i="4"/>
  <c r="N3" i="4"/>
  <c r="O3" i="4" s="1"/>
  <c r="L3" i="4"/>
  <c r="O2" i="4"/>
  <c r="N2" i="4"/>
  <c r="L2" i="4"/>
</calcChain>
</file>

<file path=xl/comments1.xml><?xml version="1.0" encoding="utf-8"?>
<comments xmlns="http://schemas.openxmlformats.org/spreadsheetml/2006/main">
  <authors>
    <author>Автор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C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для 08071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6" authorId="0" shapeId="0">
      <text>
        <r>
          <rPr>
            <sz val="9"/>
            <color indexed="81"/>
            <rFont val="Tahoma"/>
            <family val="2"/>
            <charset val="204"/>
          </rPr>
          <t>корзина в комплекте</t>
        </r>
      </text>
    </comment>
    <comment ref="C131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33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3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для бетонных лотков BGU DN100
</t>
        </r>
      </text>
    </comment>
    <comment ref="C236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237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257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258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C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для 08071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06" authorId="0" shapeId="0">
      <text>
        <r>
          <rPr>
            <sz val="9"/>
            <color indexed="81"/>
            <rFont val="Tahoma"/>
            <family val="2"/>
            <charset val="204"/>
          </rPr>
          <t>корзина в комплекте</t>
        </r>
      </text>
    </comment>
    <comment ref="C131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133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13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для бетонных лотков BGU DN100
</t>
        </r>
      </text>
    </comment>
    <comment ref="C236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237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257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C258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</commentList>
</comments>
</file>

<file path=xl/sharedStrings.xml><?xml version="1.0" encoding="utf-8"?>
<sst xmlns="http://schemas.openxmlformats.org/spreadsheetml/2006/main" count="4368" uniqueCount="1545">
  <si>
    <t>№ по каталогу</t>
  </si>
  <si>
    <t>Класс нагрузки</t>
  </si>
  <si>
    <t>Наименование</t>
  </si>
  <si>
    <t>Длина, мм</t>
  </si>
  <si>
    <t>Ширина, мм</t>
  </si>
  <si>
    <t>Высота, мм</t>
  </si>
  <si>
    <t>Вес,                  кг</t>
  </si>
  <si>
    <t>Розница, с НДС
2021</t>
  </si>
  <si>
    <t>Розница, без НДС
2021</t>
  </si>
  <si>
    <t>%</t>
  </si>
  <si>
    <t>руб с ндс</t>
  </si>
  <si>
    <t>руб без ндс</t>
  </si>
  <si>
    <t>08096</t>
  </si>
  <si>
    <t>DN100</t>
  </si>
  <si>
    <t>08097</t>
  </si>
  <si>
    <t>08099</t>
  </si>
  <si>
    <t>08099Б</t>
  </si>
  <si>
    <t>08091</t>
  </si>
  <si>
    <t>08071</t>
  </si>
  <si>
    <t>08061</t>
  </si>
  <si>
    <t>Комплект Gidrolica Light: лоток водоотводный ЛВ -10.11,5.9,6 - пластиковый с решеткой РВ- 10.11.50 пластиковой ячеистой, кл. A15</t>
  </si>
  <si>
    <t>0806</t>
  </si>
  <si>
    <t>08066</t>
  </si>
  <si>
    <t xml:space="preserve"> Комплект Gidrolica Light: лоток водоотводный ЛВ -10.11,5.9,6 - пластиковый с решеткой РВ -10.10,8.100 стальной оцинкованной, кл. A15</t>
  </si>
  <si>
    <t>0807</t>
  </si>
  <si>
    <t>08067</t>
  </si>
  <si>
    <t>Комплект Gidrolica Light: лоток водоотводный ЛВ -10.11,5.9,6 - пластиковый с решеткой РВ- 10.11.50 пластиковой, кл. A15</t>
  </si>
  <si>
    <t>0809</t>
  </si>
  <si>
    <t>0809Б</t>
  </si>
  <si>
    <t>08069В</t>
  </si>
  <si>
    <t>Комплект Gidrolica Light: лоток водоотводный ЛВ -10.11,5.9,6 - пластиковый с решеткой РВ- 10.11.50 пластиковой ячеистой, кл. B125</t>
  </si>
  <si>
    <t>0809с</t>
  </si>
  <si>
    <t>0832A</t>
  </si>
  <si>
    <t>Комплект Gidrolica Light: лоток водоотводный ЛВ-30.38.28 - пластиковый c решеткой РВ -30.37.100 ячеистой стальной оцинкованной, кл. А15</t>
  </si>
  <si>
    <t>DN300</t>
  </si>
  <si>
    <t xml:space="preserve">0830А </t>
  </si>
  <si>
    <t>Комплект Gidrolica Light: лоток водоотводный ЛВ-30.38.39,6 - пластиковый c решеткой РВ -30.37.100 ячеистой стальной оцинкованной, кл. А15</t>
  </si>
  <si>
    <t>0834A</t>
  </si>
  <si>
    <t>Комплект Gidrolica Light: лоток водоотводный ЛВ-30.38.48 - пластиковый c решеткой РВ -30.37.100 ячеистой стальной оцинкованной, кл. А15</t>
  </si>
  <si>
    <t>08068</t>
  </si>
  <si>
    <t>Комплект Gidrolica Light: пескоуловитель для пластиковых лотков ПУ 10.11,5.32 - пластиковый с  решеткой РВ -10.10,8.100 стальной оцинкованной, кл. A15</t>
  </si>
  <si>
    <t>08078</t>
  </si>
  <si>
    <t>Комплект Gidrolica Light: пескоуловитель для пластиковых лотков ПУ 10.11,5.32 - пластиковый с  решеткой РВ- 10.11.50 пластиковой, кл. A15</t>
  </si>
  <si>
    <t>08098</t>
  </si>
  <si>
    <t>Комплект Gidrolica Light: пескоуловитель для пластиковых лотков ПУ 10.11,5.32 - пластиковый с  решеткой РВ- 10.11.50 пластиковой, ячеистой кл. A15</t>
  </si>
  <si>
    <t>08098Б</t>
  </si>
  <si>
    <t>Комплект Gidrolica Light: пескоуловитель для пластиковых лотков ПУ 10.11,5.32 - пластиковый с  решеткой РВ- 10.11.50 пластиковой, ячеистой кл. В125</t>
  </si>
  <si>
    <t>08018</t>
  </si>
  <si>
    <t>-</t>
  </si>
  <si>
    <t>Лоток водоотводный Gidrolica Standart ЛВ-10.14,5.06 - пластиковый</t>
  </si>
  <si>
    <t>Лоток водоотводный Gidrolica Standart ЛВ-10.14,5.08 - пластиковый</t>
  </si>
  <si>
    <t>Лоток водоотводный Gidrolica Standart ЛВ-10.14,5.10 - пластиковый</t>
  </si>
  <si>
    <t xml:space="preserve">Лоток водоотводный Gidrolica Standart ЛВ-10.14,5.12 - пластиковый </t>
  </si>
  <si>
    <t>Лоток водоотводный Gidrolica Standart ЛВ-10.14,5.13,5 - пластиковый</t>
  </si>
  <si>
    <t>Лоток водоотводный Gidrolica Standart ЛВ-10.14,5.18,5 - пластиковый</t>
  </si>
  <si>
    <t>Пескоуловитель Gidrolica Standart ПУ-10.16.42 - пластиковый</t>
  </si>
  <si>
    <t>Лоток водоотводный Gidrolica Standart Plus ЛВ-10.14,5.06 - пластиковый (усиленный)</t>
  </si>
  <si>
    <t>Лоток водоотводный Gidrolica Standart Plus ЛВ-10.14,5.08 - пластиковый (усиленный)</t>
  </si>
  <si>
    <t>Лоток водоотводный Gidrolica Standart Plus ЛВ-10.14,5.10 - пластиковый (усиленный)</t>
  </si>
  <si>
    <t>Лоток водоотводный Gidrolica Standart Plus ЛВ-10.14,5.12 - пластиковый (усиленный)</t>
  </si>
  <si>
    <t>Лоток водоотводный Gidrolica Standart Plus ЛВ-10.14,5.13,5 - пластиковый (усиленный)</t>
  </si>
  <si>
    <t>Лоток водоотводный Gidrolica Standart Plus ЛВ-10.14,5.18,5 - пластиковый (усиленный)</t>
  </si>
  <si>
    <t>Пескоуловитель Gidrolica Standart Plus ПУ-10.16.42 - пластиковый (усиленный)</t>
  </si>
  <si>
    <t>Лоток водоотводный бетонный коробчатый (СО-100мм)  КП 50.14 (10).6(3) - BGF</t>
  </si>
  <si>
    <t>Лоток водоотводный бетонный коробчатый (СО-100мм)  КП 100.16 (10).8(4,5) - BGF</t>
  </si>
  <si>
    <t>Лоток водоотводный бетонный коробчатый (СО-100мм)  КП 100.16 (10).10(6,5)- BGF</t>
  </si>
  <si>
    <t>Лоток водоотводный бетонный коробчатый (СО-100мм), с водосливом  КПв100.16 (10).8(4,5)- BGF</t>
  </si>
  <si>
    <t>Лоток водоотводный бетонный коробчатый (СО-100мм), с водосливом  КПв 100.16 (10).10(6,5)- BGF</t>
  </si>
  <si>
    <t>Лоток водоотводный бетонный коробчатый (СО-100мм)КU  100.14 (10).12,5(9) - BGU</t>
  </si>
  <si>
    <t>RU13000</t>
  </si>
  <si>
    <t>Лоток водоотводный бетонный коробчатый (СО-100мм)КU 100.16,3 (10).13,2(9,2) - BGU, № 0</t>
  </si>
  <si>
    <t>RU13001</t>
  </si>
  <si>
    <t>Лоток водоотводный бетонный коробчатый (СО-100мм)КU 100.16,3 (10).15,7(11,7) - BGU, № 5-0</t>
  </si>
  <si>
    <t>RU13002</t>
  </si>
  <si>
    <t>Лоток водоотводный бетонный коробчатый (СО-100мм)КU 100.16,3 (10).18,2(14,2) - BGU, № 10-0</t>
  </si>
  <si>
    <t>RU13003</t>
  </si>
  <si>
    <t>Лоток ВБК (СО-100) КU 100.16,3 (10).20,7(16,7) - BGU, № 15-0</t>
  </si>
  <si>
    <t>RU13060</t>
  </si>
  <si>
    <t>Лоток ВБК (СО-100) КU 100.16,3 (10).21,5(17,5) – BGU</t>
  </si>
  <si>
    <t>Лоток водоотводный бетонный коробчатый (СО-100мм), с водосливом КUв  100.14 (10).12,5(9) - BGU</t>
  </si>
  <si>
    <t>RU13005</t>
  </si>
  <si>
    <t>Лоток водоотводный бетонный коробчатый (СО-100мм), с водосливом КUв 100.16,3 (10).13,2(9,2) - BGU, № 3</t>
  </si>
  <si>
    <t>RU13006</t>
  </si>
  <si>
    <t>Лоток водоотводный бетонный коробчатый (СО-100мм), с водосливом KUв 100.16,3(10).15,7(11,7) - BGU, № 5-0</t>
  </si>
  <si>
    <t>RU13007</t>
  </si>
  <si>
    <t>Лоток водоотводный бетонный коробчатый (СО-100мм), с водосливом КUв 100.16,3 (10).18,2(14,2) -BGU, № 10-0</t>
  </si>
  <si>
    <t>RU13008</t>
  </si>
  <si>
    <t>Лоток ВБК (СО-100), с водосливом КUв 100.16,3 (10).20,7(16,7) -BGU, № 15-0</t>
  </si>
  <si>
    <t>RU13061</t>
  </si>
  <si>
    <t xml:space="preserve">Лоток ВБК (СО-100), с водосливом КUв 100.16,3 (10).21,5(17,5) -BGU </t>
  </si>
  <si>
    <t>RU13010</t>
  </si>
  <si>
    <t>Лоток водоотводный бетонный коробчатый (СО-100мм), с уклоном 0,5%  КUу 100.16,3 (10).13,7(9,7) - BGU, № 1</t>
  </si>
  <si>
    <t>RU13011</t>
  </si>
  <si>
    <t>Лоток водоотводный бетонный коробчатый (СО-100мм), с уклоном 0,5%  КUу 100.16,3 (10).14,2(10,2) - BGU,№ 2</t>
  </si>
  <si>
    <t>RU13012</t>
  </si>
  <si>
    <t>Лоток водоотводный бетонный коробчатый (СО-100мм), с уклоном 0,5%  КUу 100.16,3 (10).14,7(10,7) - BGU № 3</t>
  </si>
  <si>
    <t>RU13013</t>
  </si>
  <si>
    <t>Лоток водоотводный бетонный коробчатый (СО-100мм), с уклоном 0,5%  КUу 100.16,3 (10).15,2(11,2) - BGU, № 4</t>
  </si>
  <si>
    <t>RU13014</t>
  </si>
  <si>
    <t>Лоток водоотводный бетонный коробчатый (СО-100мм), с уклоном 0,5%  КUу 100.16,3 (10)15,7(11,7) - BGU, № 5</t>
  </si>
  <si>
    <t>RU13015</t>
  </si>
  <si>
    <t>Лоток водоотводный бетонный коробчатый (СО-100мм), с уклоном 0,5%  КUу 100.16,3 (10).16,2(12,2) - BGU, № 6</t>
  </si>
  <si>
    <t>RU13016</t>
  </si>
  <si>
    <t>Лоток водоотводный бетонный коробчатый (СО-100мм), с уклоном 0,5%  КUу 100.16,3 (10).16,7(12,7) - BGU, № 7</t>
  </si>
  <si>
    <t>RU13017</t>
  </si>
  <si>
    <t>Лоток водоотводный бетонный коробчатый (СО-100мм), с уклоном 0,5% КUу 100.16,3 (10).17,2(13,2) - BGU, № 8</t>
  </si>
  <si>
    <t>RU13018</t>
  </si>
  <si>
    <t>Лоток водоотводный бетонный коробчатый (СО-100мм), с уклоном 0,5%  КUу 100.16,3 (10).17,7(13,7) - BGU, № 9</t>
  </si>
  <si>
    <t>RU13019</t>
  </si>
  <si>
    <t>Лоток водоотводный бетонный коробчатый (СО-100мм), с уклоном 0,5%  КUу 100.16,3 (10).18,2(14,2) - BGU, № 10</t>
  </si>
  <si>
    <t>RU13020</t>
  </si>
  <si>
    <t>Лоток ВБК (СО-100), с уклоном 0,5% КUу 100.16,3 (10).18,7(14,7) - BGU, № 11</t>
  </si>
  <si>
    <t>RU13021</t>
  </si>
  <si>
    <t>Лоток ВБК (СО-100), с уклоном 0,5% КUу 100.16,3 (10).19,2(15,2) - BGU, № 12</t>
  </si>
  <si>
    <t>RU13022</t>
  </si>
  <si>
    <t>Лоток ВБК (СО-100), с уклоном 0,5% КUу 100.16,3 (10).19,7(15,7) - BGU, № 13</t>
  </si>
  <si>
    <t>RU13023</t>
  </si>
  <si>
    <t>Лоток ВБК (СО-100), с уклоном 0,5% КUу 100.16,3 (10).20,2(16,2) - BGU, № 14</t>
  </si>
  <si>
    <t>RU13024</t>
  </si>
  <si>
    <t>Лоток ВБК (СО-100), с уклоном 0,5% КUу 100.16,3 (10).20,7(16,7) - BGU, № 15</t>
  </si>
  <si>
    <t>Пескоулавливающий колодец бетонный  (СО-100мм), односекционный ПКП  50.14 (10).38,5(35,5) - BGU</t>
  </si>
  <si>
    <t>RU13039</t>
  </si>
  <si>
    <t>Пескоулавливающий колодец бетонный  (СО-100мм), односекционныйПКП  50.16 (10).50(46) - BGU</t>
  </si>
  <si>
    <t>DN150</t>
  </si>
  <si>
    <t xml:space="preserve">Решетка водоприемная Gidrolica Standart РВ -10.13,6.50 - штампованная стальная оцинкованная, кл. А15 </t>
  </si>
  <si>
    <t>Решетка водоприемная Gidrolica Standart РВ -10.13,6.100 - штампованная стальная оцинкованная, кл. А15</t>
  </si>
  <si>
    <t>508/1</t>
  </si>
  <si>
    <t>Решетка водоприемная Gidrolica Standart РВ-10.13,6.100 - штампованная стальная оцинкованная с отверстиями для крепления, кл. А15</t>
  </si>
  <si>
    <t xml:space="preserve">Решетка водоприемная Gidrolica Standart РВ -10.13,6.100 - штампованная медная, кл. А15 </t>
  </si>
  <si>
    <t xml:space="preserve">Решетка водоприемная Gidrolica Standart РВ -10.13,6.100 - штампованная стальная нержавеющая, кл. А15 </t>
  </si>
  <si>
    <t>Решетка водоприемная Gidrolica Standart РВ -10.13,6.50 - ячеистая пластиковая, кл. А15</t>
  </si>
  <si>
    <t xml:space="preserve">Решетка водоприемная Gidrolica Standart РВ -10.13,6.100 - ячеистая стальная оцинкованная, кл. В125 </t>
  </si>
  <si>
    <t>Решетка водоприемная Gidrolica Standart РВ -10.13,6.50 - щелевая чугунная ВЧ, кл. С250</t>
  </si>
  <si>
    <t xml:space="preserve">Решетка водоприемная Gidrolica Standart РВ -10.13,6.50 - щелевая чугунная ВЧ оцинкованная, кл. С250 </t>
  </si>
  <si>
    <t>Решетка водоприемная Gidrolica Standart РВ -10.13,6.50 ячеистая чугунная ВЧ, кл. С250</t>
  </si>
  <si>
    <t xml:space="preserve">Решетка водоприемная Gidrolica Standart РВ -10.13,6.50 ячеистая чугунная ВЧ оцинкованная, кл. С250 </t>
  </si>
  <si>
    <t>RU1305032</t>
  </si>
  <si>
    <t>Решётка водоприёмная чугунная ячеистая РВЧЯ - RU13050 - 10 (C250) - 50х15,5х0,7 - 1,5/2,2, с пружинным крепежом</t>
  </si>
  <si>
    <t>5066</t>
  </si>
  <si>
    <t>506/2</t>
  </si>
  <si>
    <t>SPORT</t>
  </si>
  <si>
    <t>0803sport</t>
  </si>
  <si>
    <t>Комплект Gidrolica Sport: лоток водоотводный ЛВ-10.14,5.08 пластиковый с решеткой РВ-10.14,2.100 стальной оцинкованной, кл.А15</t>
  </si>
  <si>
    <t>3,85</t>
  </si>
  <si>
    <t>0804sport</t>
  </si>
  <si>
    <t>Комплект Gidrolica Sport: лоток водоотводный ЛВ-10.14,5.10 пластиковый с решеткой РВ-10.14,2.100 стальной оцинкованной, кл.А15</t>
  </si>
  <si>
    <t>3,97</t>
  </si>
  <si>
    <t>0801sport</t>
  </si>
  <si>
    <t>Комплект Gidrolica Sport: лоток водоотводный ЛВ-10.14,5.12 пластиковый с решеткой РВ-10.14,2.100 стальной оцинкованной, кл.А15</t>
  </si>
  <si>
    <t>4,11</t>
  </si>
  <si>
    <t>0800sport</t>
  </si>
  <si>
    <t>Комплект Gidrolica Sport: лоток водоотводный ЛВ-10.14,5.13,5 пластиковый с решеткой РВ-10.14,2.100 стальной оцинкованной, кл.А15</t>
  </si>
  <si>
    <t>4,24</t>
  </si>
  <si>
    <t>0802sport</t>
  </si>
  <si>
    <t>Комплект Gidrolica Sport: лоток водоотводный ЛВ-10.14,5.18,5 пластиковый с решеткой РВ-10.14,2.100 стальной оцинкованной, кл.А15</t>
  </si>
  <si>
    <t>4,72</t>
  </si>
  <si>
    <t>805pro</t>
  </si>
  <si>
    <t>Лоток водоотводный Gidrolica Pro ЛВ-10.14,5.08 - пластиковый</t>
  </si>
  <si>
    <t>804pro</t>
  </si>
  <si>
    <t>Лоток водоотводный Gidrolica Pro ЛВ-10.14,5.11,7 - пластиковый</t>
  </si>
  <si>
    <t>800pro</t>
  </si>
  <si>
    <t>Лоток водоотводный Gidrolica Pro ЛВ-10.14,5.15,2 - пластиковый</t>
  </si>
  <si>
    <t xml:space="preserve">Решетка водоприемная Gidrolica Pro РВ -10.13,5.50 - щелевая пластиковая, кл. С250 </t>
  </si>
  <si>
    <t>0805</t>
  </si>
  <si>
    <t>Лоток водоотводный Gidrolica Super ЛВ -10.14,5.08 - пластиковый, кл. Е600</t>
  </si>
  <si>
    <t>0803</t>
  </si>
  <si>
    <t>Лоток водоотводный Gidrolica Super ЛВ -10.14,5.10 - пластиковый, кл. Е600</t>
  </si>
  <si>
    <t>0804</t>
  </si>
  <si>
    <t>Лоток водоотводный Gidrolica Super ЛВ -10.14,5.12 - пластиковый, кл. Е600</t>
  </si>
  <si>
    <t>0801</t>
  </si>
  <si>
    <t>Лоток водоотводный Gidrolica Super ЛВ -10.14,5.14 - пластиковый, кл. Е600</t>
  </si>
  <si>
    <t>0800</t>
  </si>
  <si>
    <t>Лоток водоотводный Gidrolica Super ЛВ -10.14,5.15,5 - пластиковый, кл. Е600</t>
  </si>
  <si>
    <t>0802</t>
  </si>
  <si>
    <t>Лоток водоотводный Gidrolica Super ЛВ -10.14,5.20,5 - пластиковый, кл.Е600</t>
  </si>
  <si>
    <t>0808</t>
  </si>
  <si>
    <t>Пескоуловитель Gidrolica Super ПУ -10.16.44 - пластиковый, кл. Е600</t>
  </si>
  <si>
    <t>50109D</t>
  </si>
  <si>
    <t>Решетка водоприемная Gidrolica Super РВ -10.14.50 - щелевая чугунная ВЧ, кл. D400</t>
  </si>
  <si>
    <t>50109E</t>
  </si>
  <si>
    <t>Решетка водоприемная Gidrolica Super РВ -10.14.50 - щелевая чугунная ВЧ, кл. Е600</t>
  </si>
  <si>
    <t>Лоток водоотводный Gidrolica Standart ЛВ-15.19,6.10 - пластиковый</t>
  </si>
  <si>
    <t>Лоток водоотводный Gidrolica Standart ЛВ-15.19,6.18,5 - пластиковый</t>
  </si>
  <si>
    <t>Лоток водоотводный Gidrolica Standart Plus ЛВ-15.19,6.10 - пластиковый (усиленый)</t>
  </si>
  <si>
    <t>Лоток водоотводный Gidrolica Standart Plus ЛВ-15.19,6.18,5 - пластиковый (усиленный)</t>
  </si>
  <si>
    <t>Решетка водоприемная Gidrolica Standart РВ -15.18,6.100 - штампованная стальная оцинкованная, кл. А15</t>
  </si>
  <si>
    <t>Решетка водоприемная Gidrolica Standart РВ -15.18,7.100 - ячеистая стальная оцинкованная, кл. В125</t>
  </si>
  <si>
    <t xml:space="preserve">Решетка водоприемная Gidrolica Standart РВ -15.18,6.50 - щелевая чугунная ВЧ, кл. С250 </t>
  </si>
  <si>
    <t xml:space="preserve">Решетка водоприемная Gidrolica Standart РВ -15.18,6.50 - ячеистая чугунная ВЧ, кл. С250 </t>
  </si>
  <si>
    <t>815pro</t>
  </si>
  <si>
    <t>Лоток водоотводный Gidrolica Pro ЛВ-15.19,6.11,7 - пластиковый</t>
  </si>
  <si>
    <t xml:space="preserve">Решетка водоприемная Gidrolica Pro РВ -15.18,8.50 - щелевая пластиковая, кл. С250 </t>
  </si>
  <si>
    <t>0815</t>
  </si>
  <si>
    <t>Лоток водоотводный Gidrolica Super ЛВ -15.19,6.11,8 - пластиковый, кл. Е600</t>
  </si>
  <si>
    <t>0816</t>
  </si>
  <si>
    <t>Лоток водоотводный Gidrolica Super ЛВ -15.19,6.20,3 - пластиковый, кл. Е600</t>
  </si>
  <si>
    <t>50159D</t>
  </si>
  <si>
    <t>Решетка водоприемная Gidrolica Super РВ -15.19.50 - щелевая чугунная ВЧ, кл. D400</t>
  </si>
  <si>
    <t>50159E</t>
  </si>
  <si>
    <t>Лоток водоотводный Gidrolica Standart ЛВ-20.24,6.10 - пластиковый</t>
  </si>
  <si>
    <t>DN200</t>
  </si>
  <si>
    <t>Лоток водоотводный Gidrolica Standart ЛВ-20.24,6.18,5 - пластиковый</t>
  </si>
  <si>
    <t>Лоток водоотводный Gidrolica Standart ЛВ-20.24,6.23,5 - пластиковый</t>
  </si>
  <si>
    <t>Пескоуловитель Gidrolica Standart ПУ-20.24,6.46 - пластиковый универсальный для лотков пластиковых DN150 и DN200</t>
  </si>
  <si>
    <t>Лоток водоотводный Gidrolica Standart Plus ЛВ-20.24,6.10 - пластиковый (усиленный)</t>
  </si>
  <si>
    <t>Лоток водоотводный Gidrolica Standart Plus ЛВ-20.24,6.18,5 - пластиковый (усиленный)</t>
  </si>
  <si>
    <t>Лоток водоотводный Gidrolica Standart Plus ЛВ-20.24,6.23,5 - пластиковый (усиленный)</t>
  </si>
  <si>
    <t>Пескоуловитель Gidrolica Standart Plus ПУ-20.24,6.46 - пластиковый универсальный для лотков пластиковых DN150 и DN200 (усиленный)</t>
  </si>
  <si>
    <t>Решетка водоприемная Gidrolica Standart РВ -20.24.100 - штампованная стальная оцинкованная, кл. А15</t>
  </si>
  <si>
    <t>Решетка водоприемная Gidrolica Standart РВ -20.24.100 - ячеистая стальная оцинкованная, кл. В125</t>
  </si>
  <si>
    <t xml:space="preserve">Решетка водоприемная Gidrolica Standart РВ -20.24.50 - щелевая чугунная ВЧ, кл. С250 </t>
  </si>
  <si>
    <t>Решётка водоприёмная Gidrolica Standart РВ-20.24.50 - ячеистая чугунная ВЧ, кл. С250</t>
  </si>
  <si>
    <t>0821</t>
  </si>
  <si>
    <t>Лоток водоотводный Gidrolica Super ЛВ -20.24,6.12 - пластиковый, кл. Е600</t>
  </si>
  <si>
    <t>0820</t>
  </si>
  <si>
    <t>Лоток водоотводный Gidrolica Super ЛВ -20.24,6.20 - пластиковый, кл. Е600</t>
  </si>
  <si>
    <t>0822</t>
  </si>
  <si>
    <t>Лоток водоотводный Gidrolica Super ЛВ -20.24,6.25 - пластиковый, кл. Е600</t>
  </si>
  <si>
    <t>0828</t>
  </si>
  <si>
    <t>Пескоуловитель Gidrolica Super ПУ -20.25.47,8 - пластиковый, кл. E600</t>
  </si>
  <si>
    <t xml:space="preserve">Решетка водоприемная Gidrolica Pro РВ-20.23,8.50 - щелевая пластиковая, кл. С250 </t>
  </si>
  <si>
    <t xml:space="preserve">Глухая крышка для лотка водоотводного Gidrolica Pro КЛ-20.23,8.50 - пластиковая, кл. С250 </t>
  </si>
  <si>
    <t>50209D</t>
  </si>
  <si>
    <t>Решетка водоприемная Gidrolica Super РВ -20.24.50 - щелевая чугунная ВЧ, кл. D400</t>
  </si>
  <si>
    <t>50209E</t>
  </si>
  <si>
    <t>Решетка водоприемная Gidrolica Super РВ -20.24.50 - щелевая чугунная ВЧ, кл. E600</t>
  </si>
  <si>
    <t>Лоток водоотводный Gidrolica Standart ЛВ-30.38.28 - пластиковый</t>
  </si>
  <si>
    <t>Лоток водоотводный Gidrolica Standart ЛВ-30.38.38 - пластиковый</t>
  </si>
  <si>
    <t>Лоток водоотводный Gidrolica Standart ЛВ-30.38.48 - пластиковый</t>
  </si>
  <si>
    <t>Решетка водоприемная Gidrolica Light РВ -30.37.100 - стальная ячеистая оцинкованная, кл. А15</t>
  </si>
  <si>
    <t xml:space="preserve">Решетка водоприемная Gidrolica Standart РВ -30.37.50 - щелевая чугунная ВЧ, кл. С250 </t>
  </si>
  <si>
    <t>832pro</t>
  </si>
  <si>
    <t>Лоток водоотводный Gidrolica Pro ЛВ-30.38.28 - пластиковый</t>
  </si>
  <si>
    <t>834pro</t>
  </si>
  <si>
    <t>Лоток водоотводный Gidrolica Pro ЛВ-30.38.48 - пластиковый</t>
  </si>
  <si>
    <t xml:space="preserve">Решетка водоприемная Gidrolica Pro РВ-30.35,8.50 - щелевая пластиковая, кл. С250 </t>
  </si>
  <si>
    <t xml:space="preserve">Глухая крышка для лотка водоотводного Gidrolica Pro КЛ-30.35,8.50 - пластиковая, кл. С250 </t>
  </si>
  <si>
    <t>0832</t>
  </si>
  <si>
    <t>Лоток водоотводный Gidrolica Super ЛВ-30.38.29,6 - пластиковый, кл. Е600</t>
  </si>
  <si>
    <t>0830</t>
  </si>
  <si>
    <t>Лоток водоотводный Gidrolica Super ЛВ -30.38.39,6 - пластиковый, кл. Е600</t>
  </si>
  <si>
    <t>0834</t>
  </si>
  <si>
    <t>Лоток водоотводный Gidrolica Super ЛВ-30.38.49,6 - пластиковый, кл. Е600</t>
  </si>
  <si>
    <t>50309E</t>
  </si>
  <si>
    <t>Решетка водоприемная Gidrolica Super РВ -30.37,5.50 - щелевая чугунная ВЧ, кл. E600</t>
  </si>
  <si>
    <t>id </t>
  </si>
  <si>
    <t>maker</t>
  </si>
  <si>
    <t>article</t>
  </si>
  <si>
    <t>name</t>
  </si>
  <si>
    <t>DN</t>
  </si>
  <si>
    <t>length</t>
  </si>
  <si>
    <t>width</t>
  </si>
  <si>
    <t>height</t>
  </si>
  <si>
    <t>load_class</t>
  </si>
  <si>
    <t>weight</t>
  </si>
  <si>
    <t>price</t>
  </si>
  <si>
    <t>discount</t>
  </si>
  <si>
    <t>date_write</t>
  </si>
  <si>
    <t>option_article</t>
  </si>
  <si>
    <t>typeProduct</t>
  </si>
  <si>
    <t>material</t>
  </si>
  <si>
    <t>uklon</t>
  </si>
  <si>
    <t>Бетон</t>
  </si>
  <si>
    <t>Полимербетон</t>
  </si>
  <si>
    <t>Полимерпесок</t>
  </si>
  <si>
    <t>сталь</t>
  </si>
  <si>
    <t>чугун</t>
  </si>
  <si>
    <t>материал</t>
  </si>
  <si>
    <t>Тип</t>
  </si>
  <si>
    <t>Материал</t>
  </si>
  <si>
    <t>Уклон</t>
  </si>
  <si>
    <t>A</t>
  </si>
  <si>
    <t xml:space="preserve">Комплект Gidrolica Light: лоток водоотводный ЛВ -10.11,5.5,5 - пластиковый
 с решеткой РВ -10.10,8.100 стальной оцинкованной, кл. A15 </t>
  </si>
  <si>
    <r>
      <t xml:space="preserve">Комплект Gidrolica Light: лоток водоотводный ЛВ -10.11,5.5,5 - пластиковый
 с решеткой РВ- 10.11.50 пластиковой </t>
    </r>
    <r>
      <rPr>
        <b/>
        <sz val="11"/>
        <rFont val="Calibri"/>
        <family val="2"/>
        <charset val="204"/>
        <scheme val="minor"/>
      </rPr>
      <t>щелевой</t>
    </r>
    <r>
      <rPr>
        <sz val="11"/>
        <rFont val="Calibri"/>
        <family val="2"/>
        <charset val="204"/>
        <scheme val="minor"/>
      </rPr>
      <t xml:space="preserve">, кл. A15 </t>
    </r>
  </si>
  <si>
    <r>
      <t xml:space="preserve">Комплект Gidrolica Light: лоток водоотводный ЛВ -10.11,5.5,5 - пластиковый
 с решеткой РВ- 10.11.50 пластиковой </t>
    </r>
    <r>
      <rPr>
        <b/>
        <sz val="11"/>
        <rFont val="Calibri"/>
        <family val="2"/>
        <charset val="204"/>
        <scheme val="minor"/>
      </rPr>
      <t>ячеистой</t>
    </r>
    <r>
      <rPr>
        <sz val="11"/>
        <rFont val="Calibri"/>
        <family val="2"/>
        <charset val="204"/>
        <scheme val="minor"/>
      </rPr>
      <t>, кл. А15</t>
    </r>
  </si>
  <si>
    <t>A B</t>
  </si>
  <si>
    <r>
      <t xml:space="preserve">Комплект Gidrolica Light: лоток водоотводный ЛВ -10.11,5.5,5 - пластиковый
 с решеткой РВ- 10.11.50 пластиковой </t>
    </r>
    <r>
      <rPr>
        <b/>
        <sz val="11"/>
        <rFont val="Calibri"/>
        <family val="2"/>
        <charset val="204"/>
        <scheme val="minor"/>
      </rPr>
      <t>ячеистой</t>
    </r>
    <r>
      <rPr>
        <sz val="11"/>
        <rFont val="Calibri"/>
        <family val="2"/>
        <charset val="204"/>
        <scheme val="minor"/>
      </rPr>
      <t xml:space="preserve">, кл. B125 </t>
    </r>
  </si>
  <si>
    <t>Комплект Gidrolica Light: лоток водоотводный ЛВ -10.11,5.5,5 - пластиковый
 с решеткой РВ- 10.11.50 пластиковой ячеистой, кл. A15 </t>
  </si>
  <si>
    <t>Комплект Gidrolica Light: лоток водоотводный ЛВ -10.11,5.9,5 - пластиковый
 с решеткой РВ- 10.11.50 пластиковой ячеистой, кл. A15</t>
  </si>
  <si>
    <t xml:space="preserve">Комплект Gidrolica Light: лоток водоотводный ЛВ -10.11,5.9,5 - пластиковый
 с решеткой РВ -10.10,8.100 стальной оцинкованной, кл. A15 </t>
  </si>
  <si>
    <t xml:space="preserve">Комплект Gidrolica Light: лоток водоотводный ЛВ -10.11,5.9,5 - пластиковый
 с решеткой РВ- 10.11.50 пластиковой щелевой, кл. A15 </t>
  </si>
  <si>
    <t xml:space="preserve">Комплект Gidrolica Light: лоток водоотводный ЛВ -10.11,5.9,5 - пластиковый
 с решеткой РВ- 10.11.50 пластиковой ячеистой, кл. A15 </t>
  </si>
  <si>
    <t xml:space="preserve">Комплект Gidrolica Light: лоток водоотводный ЛВ -10.11,5.9,5 - пластиковый
 с решеткой РВ- 10.11.50 пластиковой ячеистой, кл. B125  </t>
  </si>
  <si>
    <t>Комплект Gidrolica Light: лоток водоотводный ЛВ -10.11,5.9,5 - пластиковый
 с решеткой РВ- 10.11.50 пластиковой ячеистой, кл. B125 , серый</t>
  </si>
  <si>
    <t>Пластиковые пескоуловители Gidrolica Light DN100, кл. A15</t>
  </si>
  <si>
    <t>Дополнительные принадлежности для пластиковых лотков Gidrolica Light DN100, кл. A15</t>
  </si>
  <si>
    <t>Торцевая заглушка для лотка водоотводного Gidrolica Light, пластиковая</t>
  </si>
  <si>
    <t>Переходник для лотка водоотводного Gidrolica Light, пластиковый</t>
  </si>
  <si>
    <t>шт.</t>
  </si>
  <si>
    <t>Пластиковые лотки Gidrolica Standart DN100, кл. C250</t>
  </si>
  <si>
    <t>A B C</t>
  </si>
  <si>
    <t>Пластиковые пескоуловители Gidrolica Standart DN100, кл. C250</t>
  </si>
  <si>
    <t>Пластиковые лотки Gidrolica Standart Plus DN100, кл. C250</t>
  </si>
  <si>
    <t>Пластиковые пескоуловители Gidrolica Standart Plus DN100, кл. C250</t>
  </si>
  <si>
    <t>Дополнительные принадлежности для пластиковых лотков Gidrolica Standart/Standart Plus DN100, кл. C250</t>
  </si>
  <si>
    <t>Торцевая заглушка универсальная для лотка водоотводного Gidrolica Standart/Standart Plus DN100, пластиковая</t>
  </si>
  <si>
    <t xml:space="preserve">Крепеж Gidrolica для лотка водоотводного пластикового DN100 </t>
  </si>
  <si>
    <t>108ст</t>
  </si>
  <si>
    <t xml:space="preserve">Крепеж стальной Gidrolica для лотка водоотводного пластикового DN100 (с болтом 8х50) </t>
  </si>
  <si>
    <t>108/1</t>
  </si>
  <si>
    <t>Крепеж Gidrolica для лотка водоотводного пластикового DN100 для арт.508/1</t>
  </si>
  <si>
    <t>Бетонные лотки (мелкосидящие) BGF DN100, кл. C250, без уклона</t>
  </si>
  <si>
    <t>Бетонные лотки (мелкосидящие) BGF DN100, кл. C250, с вертикальным водосливом, без уклона</t>
  </si>
  <si>
    <t>Бетонные лотки BGU DN100, кл. C250, без уклона</t>
  </si>
  <si>
    <t>Бетонные лотки BGU DN100, кл. C250, без уклона, с вертикальным водосливом</t>
  </si>
  <si>
    <t>Бетонные лотки BGU DN100, кл. C250, с уклоном 0,5 %</t>
  </si>
  <si>
    <t>Бетонные пескоуловители BGU DN100, кл. C250</t>
  </si>
  <si>
    <t>Дополнительные принадлежности к бетонным пескоуловителям BGU DN100</t>
  </si>
  <si>
    <t>49010900</t>
  </si>
  <si>
    <t xml:space="preserve">Корзина стальная универсальная для пескоулавливающего колодца (СО-100мм)Кпк 10 - 40.8.16,4 </t>
  </si>
  <si>
    <t>Дополнительные принадлежности для бетонных лотков BGF/BGU DN100, кл. C250</t>
  </si>
  <si>
    <t xml:space="preserve">Крепеж Gidrolica для лотка водоотводного бетонного DN100 </t>
  </si>
  <si>
    <t>Заглушка торцевая стальная (СО-100мм), ЗТ 10 - 16. 8. 0,125</t>
  </si>
  <si>
    <t>Заглушка торцевая стальная (СО-100мм), ЗТ10 - 15,6. 24. 0,125</t>
  </si>
  <si>
    <t>Заглушка торцевая стальная (СО-100мм)с водосливом  ЗТв 10 - 15,6. 25. 0,125</t>
  </si>
  <si>
    <t xml:space="preserve">Насадка усиливающая НУ-100.2,3.2,4-ОС-ЛВ, стальная оцинкованная </t>
  </si>
  <si>
    <t>Композитбетонные лотки Gidrolica Filcoten DN100, кл. C250</t>
  </si>
  <si>
    <t>FILCOTEN</t>
  </si>
  <si>
    <t>Лоток композитбетонный мелкосидящий Filcoten DN100, h55</t>
  </si>
  <si>
    <t>Лоток композитбетонный Filcoten DN100, №0</t>
  </si>
  <si>
    <t>Лоток композитбетонный Filcoten DN100, №5-0</t>
  </si>
  <si>
    <t>Лоток композитбетонный Filcoten DN100, №10-0</t>
  </si>
  <si>
    <t>Композитбетонные пескоуловители Gidrolica Filcoten DN100, кл. C250</t>
  </si>
  <si>
    <t>Пескоуловитель композитбетонный Filcoten DN100, 500/140/500, с муфтой</t>
  </si>
  <si>
    <t>Корзина для пескоуловителя Filcoten DN100 – пластиковая</t>
  </si>
  <si>
    <t>Решетки водоприемные для композитбетонных лотков Gidrolica Filcoten DN100, кл. C250</t>
  </si>
  <si>
    <t>Решетка ячеистая чугунная Filcoten DN 100, 500/124/5, кл. C250, с пружинным крепежом</t>
  </si>
  <si>
    <t>Решетка штампованная оцинкованная Filcoten DN100 1000/124/2, кл. А15</t>
  </si>
  <si>
    <t>Композитбетонные лотки Gidrolica Filcoten Parkline, кл. C250</t>
  </si>
  <si>
    <t xml:space="preserve"> А В С</t>
  </si>
  <si>
    <t>Лоток композитбетонный Filcoten Parkline DN150, h50</t>
  </si>
  <si>
    <t>Лоток композитбетонный Filcoten Parkline DN150, h50 со сливом</t>
  </si>
  <si>
    <t>Защита слива для лотка композитбетонный Filcoten Parkline DN150, из нержавеющей стали</t>
  </si>
  <si>
    <t>Угловой соединительный элемент для лотка композитбетонный Filcoten Parkline DN150, из нержавеющей стали с декоративным элементом</t>
  </si>
  <si>
    <t>Заглушки для лотка композитбетонный Filcoten Parkline DN150, из нержавеющей стали</t>
  </si>
  <si>
    <t>Щетка для лотка композитбетонный Filcoten Parkline DN150, из нержавеющей стали</t>
  </si>
  <si>
    <t>Лоток композитбетонный Filcoten Parkline DN300, h50</t>
  </si>
  <si>
    <t>Полимерпесчанные лотки Gidrolica PolySand DN100, кл. C250</t>
  </si>
  <si>
    <t>Лоток водоотводный Gidrolica PolySand ЛВ-10.14.13 - полимерпесчанный</t>
  </si>
  <si>
    <t>Лоток водоотводный Gidrolica PolySand ЛВ-10.14.07 - полимерпесчанный</t>
  </si>
  <si>
    <t>Решетки водоприемные для лотков DN100 (Gidrolica Standart/Standart Plus/PolySand/BGF/BGU)</t>
  </si>
  <si>
    <t>под заказ</t>
  </si>
  <si>
    <t>510</t>
  </si>
  <si>
    <t xml:space="preserve">Насадка щелевая Gidrolica Standart НЩ -10.14.100 - стальная оцинкованная, кл.С250 </t>
  </si>
  <si>
    <t>802/к</t>
  </si>
  <si>
    <t>Крышка Gidrolica Standart РВ -10.13,6.100 - стальная оцинкованная, кл. А15</t>
  </si>
  <si>
    <t>Дополнительные принадлежности для решеток водоприемных DN100</t>
  </si>
  <si>
    <t>Крепеж Gidrolica для чугунных решеток DN100</t>
  </si>
  <si>
    <t>Пластиковые лотки Gidrolica Sport DN100, кл. A15</t>
  </si>
  <si>
    <t>Пластиковые пескоуловители Gidrolica Sport DN100, кл. A15</t>
  </si>
  <si>
    <t>0808sport</t>
  </si>
  <si>
    <t>Комплект Gidrolica Sport: пескоуловитель ПУ-10.16.42 пластиковый с решеткой РВ-10.14,2.50 стальной оцинкованной, кл.А15</t>
  </si>
  <si>
    <t>4,08</t>
  </si>
  <si>
    <t>Дополнительные принадлежности для пластиковых лотков Gidrolica Sport DN100</t>
  </si>
  <si>
    <t>108/2</t>
  </si>
  <si>
    <t>Крепеж для лотка водоотводного Gidrolica Sport</t>
  </si>
  <si>
    <t>Пластиковые лотки Gidrolica Pro DN100, кл. С250</t>
  </si>
  <si>
    <t>Решетки водоприемные для лотков Gidrolica Pro DN100, кл. C250</t>
  </si>
  <si>
    <t>Дополнительные принадлежности для пластиковых лотков Gidrolica Pro DN100</t>
  </si>
  <si>
    <t>Крепеж универсальный для сборки лотка водотводного пластикового</t>
  </si>
  <si>
    <t>Пластиковые лотки Gidrolica Super DN100 кл. D400/E600</t>
  </si>
  <si>
    <t>A B C D E</t>
  </si>
  <si>
    <t>Пластиковые пескоуловители Gidrolica Super DN100, кл. D400/E600</t>
  </si>
  <si>
    <t>Решетки водоприемные для лотков Gidrolica Super DN100, кл. C250-E600</t>
  </si>
  <si>
    <t>A B C D</t>
  </si>
  <si>
    <t>Дополнительные принадлежности для пластиковых лотков Gidrolica Super DN100, кл. D400/E600</t>
  </si>
  <si>
    <t>Системы поверхностного водоотвода DN150</t>
  </si>
  <si>
    <t>Пластиковые лотки Gidrolica Standart DN150, кл. C250</t>
  </si>
  <si>
    <t>Пластиковые лотки Gidrolica Standart Plus DN150, кл. C250</t>
  </si>
  <si>
    <t>Дополнительные принадлежности для пластиковых лотков DN150, кл. C250</t>
  </si>
  <si>
    <t xml:space="preserve">Крепеж Gidrolica для лотка водоотводного пластикового DN150 </t>
  </si>
  <si>
    <t>118ст</t>
  </si>
  <si>
    <t>Крепеж стальной Gidrolica для лотка водоотводного пластикового DN150 (с болтом 8х50)</t>
  </si>
  <si>
    <t xml:space="preserve">Торцевая заглушка для лотка водоотводного Gidrolica Standart DN150 - пластиковая </t>
  </si>
  <si>
    <t>Решетки водоприемные для лотков DN150 Gidrolica Standart/Standart Plus</t>
  </si>
  <si>
    <t>Пластиковые лотки Gidrolica Pro DN150, кл. С250</t>
  </si>
  <si>
    <t>Решетки водоприемные для лотков Gidrolica Pro DN150, кл. С250</t>
  </si>
  <si>
    <t>Дополнительные принадлежности для пластиковых лотков Gidrolica Pro DN150</t>
  </si>
  <si>
    <t>Пластиковые лотки Gidrolica Super DN150 кл. D400/E600</t>
  </si>
  <si>
    <t>Решетки водоприемные для лотков Gidrolica Super DN150, кл. С250-E600</t>
  </si>
  <si>
    <t>Дополнительные принадлежности для пластиковых лотков Gidrolica Super DN150, кл. D400/E600</t>
  </si>
  <si>
    <t>Системы поверхностного водоотвода DN200</t>
  </si>
  <si>
    <t>Пластиковые лотки Gidrolica Standart DN200, кл. C250</t>
  </si>
  <si>
    <t>Пластиковые пескоуловители Gidrolica Standart DN150/200, кл. C250</t>
  </si>
  <si>
    <t>DN150/    200</t>
  </si>
  <si>
    <t>Пластиковые лотки Gidrolica Standart Plus DN200, кл. C250</t>
  </si>
  <si>
    <t>Пластиковые пескоуловители Gidrolica Standart Plus DN150/200, кл. C250</t>
  </si>
  <si>
    <t>Дополнительные принадлежности для пластиковых лотков Gidrolica Standart/Standart Plus DN200, кл. C250</t>
  </si>
  <si>
    <t xml:space="preserve">Крепеж Gidrolica для лотка водоотводного пластикового DN200 </t>
  </si>
  <si>
    <t>128ст</t>
  </si>
  <si>
    <t>Крепеж Gidrolica для лотка водоотводного пластикового DN200 со стальной планкой</t>
  </si>
  <si>
    <t>Торцевая заглушка для лотка водоотводного Gidrolica Standart/Standart Plus, пластиковая</t>
  </si>
  <si>
    <t>Профиль на пластиковый лоток DN200</t>
  </si>
  <si>
    <t xml:space="preserve">Решетки водоприемные для лотков DN200 (Gidrolica Standart/Standart Plus/PolyStandart) </t>
  </si>
  <si>
    <t>Решетка водоприемная Gidrolica Standart РВ -15.24.100 - штампованная стальная нержавеющая, кл. А15</t>
  </si>
  <si>
    <t>Пластиковые лотки Gidrolica Super DN200 кл. D400/E600</t>
  </si>
  <si>
    <t>Пластиковые пескоуловители Gidrolica Super универсальные DN150/200 кл. D400/E600</t>
  </si>
  <si>
    <t>DN150/       200</t>
  </si>
  <si>
    <t>Решетки водоприемные для лотков Gidrolica Super DN200, кл. C250/D400/E600</t>
  </si>
  <si>
    <t>Дополнительные принадлежности для пластиковых лотков Gidrolica Super DN200, кл. D400/E600</t>
  </si>
  <si>
    <t>Системы поверхностного водоотвода DN300</t>
  </si>
  <si>
    <t>Пластиковые лотки Gidrolica Standart DN300, кл. C250</t>
  </si>
  <si>
    <t>Дополнительные принадлежности для пластиковых лотков Gidrolica Standart DN300, кл. C250</t>
  </si>
  <si>
    <t>138/4</t>
  </si>
  <si>
    <t xml:space="preserve">Крепеж Gidrolica для лотка водоотводного пластикового DN300 </t>
  </si>
  <si>
    <t>1831 Профиль на пластиковый Лоток DN 300 под 531 р</t>
  </si>
  <si>
    <t>Решетки водоприемные для лотков Gidrolica Standart DN300</t>
  </si>
  <si>
    <t>Пластиковые лотки Gidrolica Pro DN300, кл. С250</t>
  </si>
  <si>
    <t>Решетки водоприемные для лотков Gidrolica Pro DN300, кл. С250</t>
  </si>
  <si>
    <t>Пластиковые лотки Gidrolica Super DN300 кл. D400/E600</t>
  </si>
  <si>
    <t>Решетки водоприемные для лотков Gidrolica Super DN300, чугунные ВЧ, кл. D400/E600</t>
  </si>
  <si>
    <t>Дополнительные принадлежности для пластиковых лотков Gidrolica Super DN300, кл. D400/E600</t>
  </si>
  <si>
    <t>Точечный дренаж</t>
  </si>
  <si>
    <t>Дождеприемник пластиковый Gidrolica Point 200х200</t>
  </si>
  <si>
    <t>Дождеприемник Gidrolica Point ДП-20.20 – пластиковый</t>
  </si>
  <si>
    <t>Перегородка-сифон для дождеприёмника Gidrolica Point ДП-20.20 – пластиковая</t>
  </si>
  <si>
    <t>Корзина для дождеприёмника Gidrolica Point ДП-20.20 – пластиковая</t>
  </si>
  <si>
    <t>Решетки для дождеприемника пластикового Gidrolica Point 200х200</t>
  </si>
  <si>
    <t>Решетка к дождеприемнику Gidrolica Point РВ-20.20 - пластиковая, кл. А15</t>
  </si>
  <si>
    <t>Дождеприемник пластиковый Gidrolica Point 300х300</t>
  </si>
  <si>
    <t>229u</t>
  </si>
  <si>
    <t>Дождеприемник Gidrolica Point ДП-30.30 - пластиковый универсальный</t>
  </si>
  <si>
    <t>Перегородка-сифон для дождеприемника Gidrolica Point 30.30 - пластиковая</t>
  </si>
  <si>
    <t>Корзина для дождеприемника Gidrolica Point 30.30 - пластиковая</t>
  </si>
  <si>
    <t>Решетки для дождеприемника пластикового Gidrolica Point 300х300</t>
  </si>
  <si>
    <t xml:space="preserve">Решетка водоприемная Gidrolica Point РВ-28,5.28,5 - штампованная стальная оцинкованная, кл. А15 </t>
  </si>
  <si>
    <t xml:space="preserve">Решетка водоприемная Gidrolica Point РВ-28,5.28,5 - чугунная щелевая, кл. С250 </t>
  </si>
  <si>
    <t>205/2</t>
  </si>
  <si>
    <t>A В С</t>
  </si>
  <si>
    <t>Решетка водоприемная Gidrolica Point РВ-28,5.28,5 - ячеистая стальная оцинкованная, кл. В125</t>
  </si>
  <si>
    <t>Решетка водоприемная Gidrolica Point РВ-28,5.28,5 - пластиковая, кл. А15</t>
  </si>
  <si>
    <t>Дождеприемник пластиковый Gidrolica Point 400х400</t>
  </si>
  <si>
    <t>Дождеприемник Gidrolica Point ДП-40.40 - пластиковый</t>
  </si>
  <si>
    <t>Перегородка-сифон для дождеприемника Gidrolica Point ДП 40.40 - пластиковый</t>
  </si>
  <si>
    <t>Корзина для дождеприемника Gidrolica Point ДП 40.40 - пластиковая</t>
  </si>
  <si>
    <t>Решетки для дождеприемника пластикового Gidrolica Point 400х400</t>
  </si>
  <si>
    <t xml:space="preserve">Решетка водоприемная Gidrolica Point РВ-40.40 - пластиковая, кл. А15 </t>
  </si>
  <si>
    <t>Крышка для дождеприёмника Gidrolica Point ДП-40.40 пластиковая</t>
  </si>
  <si>
    <t>Трап уличный Gidrolica Rain</t>
  </si>
  <si>
    <t>Трап уличный Gidrolica Rain ТУ-30.16,6.20 - пластиковый с крышкой глухой пластиковой</t>
  </si>
  <si>
    <t>Люки и Дождеприемники-обрамления чугунные</t>
  </si>
  <si>
    <t>Люки канализационные Gidrolica Garden</t>
  </si>
  <si>
    <t>218/ч</t>
  </si>
  <si>
    <t>Люк канализационный Gidrolica Garden - пластиковый тип Л черный</t>
  </si>
  <si>
    <t>218/з</t>
  </si>
  <si>
    <t>Люк канализационный Gidrolica Garden - пластиковый тип Л зеленый</t>
  </si>
  <si>
    <t>Люки канализационные чугунные</t>
  </si>
  <si>
    <t>Люк канализационный - чугунный тип Т</t>
  </si>
  <si>
    <t>Люк канализационный - чугунный тип Л</t>
  </si>
  <si>
    <t>Дождеприемники канализационные чугунные</t>
  </si>
  <si>
    <t>Дождеприемник прямоугольный - чугунный тип ДБ</t>
  </si>
  <si>
    <t>Дождеприемник круглый - чугунный тип ДК</t>
  </si>
  <si>
    <t>Решетки дождеприемные чугунные СЧ</t>
  </si>
  <si>
    <t>5068D</t>
  </si>
  <si>
    <t>Решетка водоприемная СЧ 750*200*27 – чугунная, кл. D400</t>
  </si>
  <si>
    <t>5069D</t>
  </si>
  <si>
    <t>Решетка водоприемная СЧ 750*250*27 – чугунная, кл. D400</t>
  </si>
  <si>
    <t>5070D</t>
  </si>
  <si>
    <t>Решетка водоприемная СЧ 750*300*27 – чугунная, кл. D400</t>
  </si>
  <si>
    <t>5071D</t>
  </si>
  <si>
    <t>Решетка водоприемная СЧ 750*350*27 – чугунная, кл. D400</t>
  </si>
  <si>
    <t>5072D</t>
  </si>
  <si>
    <t>Решетка водоприемная СЧ 750*400*27 – чугунная, кл. D400</t>
  </si>
  <si>
    <t>5073D</t>
  </si>
  <si>
    <t>Решетка водоприемная СЧ 750*500*27 – чугунная, кл. D400</t>
  </si>
  <si>
    <t xml:space="preserve">Системы защиты и укрепления грунта </t>
  </si>
  <si>
    <t>Газонные решетки Gidrolica Eco Normal, кл. С250</t>
  </si>
  <si>
    <t>Решетка газонная Gidrolica Eco Normal РГ-53.43.3,5 - пластиковая зеленая</t>
  </si>
  <si>
    <t>Решетка газонная Gidrolica Eco Normal РГ-53.43.3,5 - пластиковая черная</t>
  </si>
  <si>
    <t>Газонные решетки Gidrolica Eco Standart/Eco Pro, кл. С250</t>
  </si>
  <si>
    <t>Решетка газонная Gidrolica Eco Standart РГ-70.40.3,2 - пластиковая зеленая</t>
  </si>
  <si>
    <t>Решетка газонная Gidrolica Eco Standart РГ-70.40.3,2 - пластиковая черная</t>
  </si>
  <si>
    <t>Решетка газонная Gidrolica Eco Pro РГ-60.60.4 - пластиковая зеленая</t>
  </si>
  <si>
    <t>Решетка газонная Gidrolica Eco Pro РГ-60.60.4 - пластиковая черная</t>
  </si>
  <si>
    <t>Газонные решетки Gidrolica Eco Super, кл. D400</t>
  </si>
  <si>
    <t>Газонная Решетка Gidrolica Eco Super РГ-60.40.6,4 - пластиковая зеленая</t>
  </si>
  <si>
    <t>Газонная Решетка Gidrolica Eco Super РГ-60.40.6,4 - пластиковая черная</t>
  </si>
  <si>
    <t>Бордюр Gidrolica Line</t>
  </si>
  <si>
    <t>Бордюр Gidrolica Line Б-100.8.4.5 - пластиковый черный L1000</t>
  </si>
  <si>
    <t>Бордюр Gidrolica Line Б-300.8,5.4.5 - пластиковый черный L3000</t>
  </si>
  <si>
    <t>Крепящий якорь Gidrolica Line КЯ-Б для бордюра Б-300.8,5.4.5</t>
  </si>
  <si>
    <t>Бордюр Gidrolica Country</t>
  </si>
  <si>
    <t>Бордюр Gidrolica Country Б-10000.2.11 - пластиковый черный L10000</t>
  </si>
  <si>
    <t xml:space="preserve">Придверные системы грязезащиты </t>
  </si>
  <si>
    <t>Придверный поддон пластиковый Gidrolica Step Pro</t>
  </si>
  <si>
    <t>Поддон придверный пластиковый Gidrolica Step Pro</t>
  </si>
  <si>
    <t>Придверные решетки Gidrolica Step Pro стальные ячеистые оцинкованные</t>
  </si>
  <si>
    <t>Решетка Gidrolica Step Pro 390х590мм - стальная ячеистая оцинкованная</t>
  </si>
  <si>
    <t>Решетка Gidrolica Step Pro 490х990мм - стальная ячеистая оцинкованная</t>
  </si>
  <si>
    <t>Модульное грязезащитное покрытие Gidrolica Step Protect</t>
  </si>
  <si>
    <t>Модуль грязезащитный Gidrolica Step Protect резиновый</t>
  </si>
  <si>
    <t>Придверные решетки Gidrolica Step</t>
  </si>
  <si>
    <t>Придверная решетка Gidrolica Step - резина 390х590мм</t>
  </si>
  <si>
    <t>Придверная решетка Gidrolica Step - текстиль 390х590мм</t>
  </si>
  <si>
    <t>Придверная решетка Gidrolica Step - щетка 390х590мм</t>
  </si>
  <si>
    <t>Придверная решетка Gidrolica Step - резина+текстиль 390х590мм</t>
  </si>
  <si>
    <t>Придверная решетка Gidrolica Step - резина+щетка 390х590мм</t>
  </si>
  <si>
    <t>Придверная решетка Gidrolica Step - текстиль+щетка 390х590мм</t>
  </si>
  <si>
    <t>Придверная решетка Gidrolica Step - резина+текстиль+щетка 390х590мм</t>
  </si>
  <si>
    <t>Придверная решетка Gidrolica Step - резина+скребок 390х590мм</t>
  </si>
  <si>
    <t>Придверная решетка Gidrolica Step - текстиль+скребок 390х590мм</t>
  </si>
  <si>
    <t>Придверная решетка Gidrolica Step - щетка+скребок 390х590мм</t>
  </si>
  <si>
    <t>Придверная решетка Gidrolica Step - резина+текстиль+скребок 390х590мм</t>
  </si>
  <si>
    <t>Придверная решетка Gidrolica Step - резина+щетка+скребок 390х590мм</t>
  </si>
  <si>
    <t>Придверная решетка Gidrolica Step - текстиль+щетка+скребок 390х590мм</t>
  </si>
  <si>
    <t>Придверная решетка Gidrolica Step - резина+текстиль+щетка+скребок 390х590мм</t>
  </si>
  <si>
    <t>Придверные решетки Gidrolica Step, позиции на заказ</t>
  </si>
  <si>
    <t>30001/М</t>
  </si>
  <si>
    <t>Придверная решетка Gidrolica Step - резина, м.кв.</t>
  </si>
  <si>
    <t>м.кв.</t>
  </si>
  <si>
    <t>30002/М</t>
  </si>
  <si>
    <t>Придверная решетка Gidrolica Step - текстиль,  м.кв.</t>
  </si>
  <si>
    <t>30003/М</t>
  </si>
  <si>
    <t>Придверная решетка Gidrolica Step - щетка,  м.кв.</t>
  </si>
  <si>
    <t>30012/М</t>
  </si>
  <si>
    <t>Придверная решетка Gidrolica Step - резина+текстиль,  м.кв.</t>
  </si>
  <si>
    <t>30013/М</t>
  </si>
  <si>
    <t>Придверная решетка Gidrolica Step - резина+щетка,  м.кв.</t>
  </si>
  <si>
    <t>30023/М</t>
  </si>
  <si>
    <t>Придверная решетка Gidrolica Step - текстиль+щетка,  м.кв.</t>
  </si>
  <si>
    <t>30123/М</t>
  </si>
  <si>
    <t>Придверная решетка Gidrolica Step - резина+текстиль+щетка,  м.кв.</t>
  </si>
  <si>
    <t>30014/М</t>
  </si>
  <si>
    <t>Придверная решетка Gidrolica Step - резина+скребок,  м.кв.</t>
  </si>
  <si>
    <t>30024/М</t>
  </si>
  <si>
    <t>Придверная решетка Gidrolica Step - текстиль+скребок,  м.кв.</t>
  </si>
  <si>
    <t>30034/М</t>
  </si>
  <si>
    <t>Придверная решетка Gidrolica Step - щетка+скребок,  м.кв.</t>
  </si>
  <si>
    <t>30124/М</t>
  </si>
  <si>
    <t>Придверная решетка Gidrolica Step - резина+текстиль+скребок,  м.кв.</t>
  </si>
  <si>
    <t>30134/М</t>
  </si>
  <si>
    <t>Придверная решетка Gidrolica Step - резина+щетка+скребок,  м.кв.</t>
  </si>
  <si>
    <t>30234/М</t>
  </si>
  <si>
    <t>Придверная решетка Gidrolica Step - текстиль+щетка+скребок,  м.кв.</t>
  </si>
  <si>
    <t>301234/М</t>
  </si>
  <si>
    <t>Придверная решетка Gidrolica Step - резина+текстиль+щетка+скребок,  м.кв.</t>
  </si>
  <si>
    <t xml:space="preserve">Дополнительная комплектация придверных решеток Gidrolica Step </t>
  </si>
  <si>
    <t>Заглушка торцевая пластиковая для придверных систем грязезащиты</t>
  </si>
  <si>
    <t>Амортизатор резиновый для придверных систем грязезащиты</t>
  </si>
  <si>
    <t>метр</t>
  </si>
  <si>
    <t>Алюминиевое обрамление для придверных решеток Gidrolica Step</t>
  </si>
  <si>
    <t>пог.метр</t>
  </si>
  <si>
    <t>Артикул</t>
  </si>
  <si>
    <t>Вес, кг</t>
  </si>
  <si>
    <t>Розница с 01.02.2019</t>
  </si>
  <si>
    <t>Дилерская цена</t>
  </si>
  <si>
    <t>Линейный водоотвод. Стандартная серия (класс нагрузки А15 - С250)</t>
  </si>
  <si>
    <r>
      <t xml:space="preserve">Лотки с гидравлическим сечением </t>
    </r>
    <r>
      <rPr>
        <b/>
        <sz val="20"/>
        <color indexed="9"/>
        <rFont val="Arial Cyr"/>
        <charset val="204"/>
      </rPr>
      <t>70 мм</t>
    </r>
    <r>
      <rPr>
        <b/>
        <sz val="14"/>
        <color indexed="9"/>
        <rFont val="Arial Cyr"/>
        <family val="2"/>
        <charset val="204"/>
      </rPr>
      <t xml:space="preserve"> из пластика (класс нагрузки А15)</t>
    </r>
  </si>
  <si>
    <t>ПЛАСТИК</t>
  </si>
  <si>
    <t>088011</t>
  </si>
  <si>
    <t>А</t>
  </si>
  <si>
    <t xml:space="preserve">Комплект: лоток S’Park пластиковый с стальной оцинкованной решёткой </t>
  </si>
  <si>
    <t>088081</t>
  </si>
  <si>
    <t>Комплект: лоток S’Park пластиковый с пластиковой решеткой</t>
  </si>
  <si>
    <t>Лоток с гидравлическим сечением 100 мм из пластика Н70 (класс нагрузки А15)</t>
  </si>
  <si>
    <t>08818</t>
  </si>
  <si>
    <t>1000</t>
  </si>
  <si>
    <t>135</t>
  </si>
  <si>
    <t>70</t>
  </si>
  <si>
    <t>1,22</t>
  </si>
  <si>
    <t>08818-С</t>
  </si>
  <si>
    <t>Комплект: лоток S’Park пластиковый серый с пластиковой решеткой</t>
  </si>
  <si>
    <t>72</t>
  </si>
  <si>
    <t>088031</t>
  </si>
  <si>
    <t>Комплект: лоток S’Park пластиковый с чугунной решеткой</t>
  </si>
  <si>
    <t>3,59</t>
  </si>
  <si>
    <t>0881011</t>
  </si>
  <si>
    <t>73</t>
  </si>
  <si>
    <t>1,72</t>
  </si>
  <si>
    <t>Лоток с гидравлическим сечением 100 мм из пластика Н100 (класс нагрузки А15)</t>
  </si>
  <si>
    <t>088201</t>
  </si>
  <si>
    <t>А15</t>
  </si>
  <si>
    <t xml:space="preserve">Лоток Spark ЛВ-10.14.10-ПП с РВ ОС кл. А (к-т) 088201 </t>
  </si>
  <si>
    <t>2,10</t>
  </si>
  <si>
    <t>new</t>
  </si>
  <si>
    <t>088208</t>
  </si>
  <si>
    <t>Лоток Spark ЛВ-10.14.10-ПП с РВ ПП кл. А (к-т) 088208</t>
  </si>
  <si>
    <t>1,46</t>
  </si>
  <si>
    <t>088203</t>
  </si>
  <si>
    <t>Лоток Spark ЛВ-10.14.10-ПП с РВ ВЧ (к-т) 088203</t>
  </si>
  <si>
    <t>4,00</t>
  </si>
  <si>
    <t>0882033</t>
  </si>
  <si>
    <t>C250</t>
  </si>
  <si>
    <t>Лоток Spark ЛВ-10.14.10-ПП с РВ щел. ВЧ кл.С (к-т) 0882033</t>
  </si>
  <si>
    <t>5,75</t>
  </si>
  <si>
    <t>Дополнительные принадлежности для лотков S’Park (пластик)</t>
  </si>
  <si>
    <t>6828</t>
  </si>
  <si>
    <t>Переходник дождеприёмник/лоток S’Park, для подключения 08818</t>
  </si>
  <si>
    <t>125</t>
  </si>
  <si>
    <t>90</t>
  </si>
  <si>
    <t>0,03</t>
  </si>
  <si>
    <t>6822</t>
  </si>
  <si>
    <t>Торцевая заглушка S’Park, для лотков 088011, 088081</t>
  </si>
  <si>
    <t>6825</t>
  </si>
  <si>
    <t>Патрубок S’Park для вертикального подключения трубы (110мм), для лотка 08818</t>
  </si>
  <si>
    <t>110</t>
  </si>
  <si>
    <t>40</t>
  </si>
  <si>
    <t>0,07</t>
  </si>
  <si>
    <t>6823</t>
  </si>
  <si>
    <t>Вставка защитная S’Park (паук) D-62мм для патрубка 6825</t>
  </si>
  <si>
    <t>57</t>
  </si>
  <si>
    <t>0,05</t>
  </si>
  <si>
    <t>6821/2</t>
  </si>
  <si>
    <t>Торцевая заглушка S’Park на торец с замками, для лотка 08818</t>
  </si>
  <si>
    <t>6821/1</t>
  </si>
  <si>
    <t/>
  </si>
  <si>
    <t>Переходник S'park ПЛВ-10.14.10/ДС(ДП)-25-ПП 6824</t>
  </si>
  <si>
    <t>Заглушка Spark ЗЛВ-10.14.10-ПП 6829</t>
  </si>
  <si>
    <t>Патрубок Spark ПАЛВ-10.14.10-ПП 6827</t>
  </si>
  <si>
    <r>
      <t xml:space="preserve">Лотки с гидравлическим сечением </t>
    </r>
    <r>
      <rPr>
        <b/>
        <sz val="20"/>
        <color indexed="9"/>
        <rFont val="Arial Cyr"/>
        <charset val="204"/>
      </rPr>
      <t>100 мм</t>
    </r>
    <r>
      <rPr>
        <b/>
        <sz val="14"/>
        <color indexed="9"/>
        <rFont val="Arial Cyr"/>
        <family val="2"/>
        <charset val="204"/>
      </rPr>
      <t xml:space="preserve"> (класс нагрузки А15 - С250)</t>
    </r>
  </si>
  <si>
    <t>8050</t>
  </si>
  <si>
    <t>А - С</t>
  </si>
  <si>
    <t>Лоток водоотводный PolyMAX Basic пластиковый</t>
  </si>
  <si>
    <t>0,9</t>
  </si>
  <si>
    <t>Лоток водоотводный PolyMAX Basic пластиковый усиленный</t>
  </si>
  <si>
    <t>1,9</t>
  </si>
  <si>
    <t>Лоток водоотводный PolyMAX Basic пластиковый с вертикальным водоотводом</t>
  </si>
  <si>
    <t>8010-М</t>
  </si>
  <si>
    <t>8017-М</t>
  </si>
  <si>
    <t>8020-М</t>
  </si>
  <si>
    <t>8027-М</t>
  </si>
  <si>
    <t>8000</t>
  </si>
  <si>
    <t>Лоток водоотводный  PolyMAX Basic пластиковый</t>
  </si>
  <si>
    <t>8007</t>
  </si>
  <si>
    <t>8040</t>
  </si>
  <si>
    <t>8047</t>
  </si>
  <si>
    <t>Пескоуловитель</t>
  </si>
  <si>
    <t>808007</t>
  </si>
  <si>
    <t>А-С</t>
  </si>
  <si>
    <t>Пескоуловитель сборный PolyMax Basic ПУС-10.16.60-ПП 808007</t>
  </si>
  <si>
    <t>8080077</t>
  </si>
  <si>
    <t>Пескоуловитель сборный PolyMax Basic ПУС-10.16.60-ПП  усил. 8080077</t>
  </si>
  <si>
    <t>ФИБРОБЕТОН</t>
  </si>
  <si>
    <t>Лоток водоотводный BetoMAX ЛВ–10.14.06-Б бетонный 4010</t>
  </si>
  <si>
    <t>Лоток водоотводный BetoMAX ЛВ–10.14.06-БВ бетонный с вертикальным водоотводом 401009</t>
  </si>
  <si>
    <t>4000</t>
  </si>
  <si>
    <t>Лоток водоотводный BetoMAX Basic бетонный</t>
  </si>
  <si>
    <t>400009</t>
  </si>
  <si>
    <t>Лоток водоотводный BetoMAX Basic бетонный с вертикальным водоотводом</t>
  </si>
  <si>
    <t>4080</t>
  </si>
  <si>
    <t xml:space="preserve">Пескоуловитель BetoMAX Basic бетонный </t>
  </si>
  <si>
    <t>ПОЛИМЕРБЕТОН</t>
  </si>
  <si>
    <t>7010</t>
  </si>
  <si>
    <t>Лоток водоотводный CompoMAX Basic полимербетонный</t>
  </si>
  <si>
    <t>701009</t>
  </si>
  <si>
    <t>Лоток водоотводный CompoMAX Basic полимербетонный с вертикальным водоотводом</t>
  </si>
  <si>
    <t>7030</t>
  </si>
  <si>
    <t>703009</t>
  </si>
  <si>
    <t>7000</t>
  </si>
  <si>
    <t>700009</t>
  </si>
  <si>
    <t>7080</t>
  </si>
  <si>
    <t>Пескоуловитель CompoMAX Basic  полимербетонный</t>
  </si>
  <si>
    <t>Решетки к лоткам с гидравлическим сечением 100 мм (класс нагрузки А15 - С250)</t>
  </si>
  <si>
    <t>2010</t>
  </si>
  <si>
    <t xml:space="preserve">Решетка водоприемная Basic стальная оцинкованная (щелевая) </t>
  </si>
  <si>
    <t>20101</t>
  </si>
  <si>
    <t>Решетка водоприемная Basic стальная оцинкованная (щелевая) с отвертием под крепеж</t>
  </si>
  <si>
    <t>202026</t>
  </si>
  <si>
    <t>А - В</t>
  </si>
  <si>
    <t>Решетка водоприемная Basic стальная оцинкованная (ячеистая)</t>
  </si>
  <si>
    <t>20801</t>
  </si>
  <si>
    <t xml:space="preserve">А </t>
  </si>
  <si>
    <t>Решетка водоприемная Basic PolyMAX пластиковая (ячеистая)</t>
  </si>
  <si>
    <t>208019</t>
  </si>
  <si>
    <t>Решетка водоприемная Basic PolyMAX пластиковая (щелевая )</t>
  </si>
  <si>
    <t>2090</t>
  </si>
  <si>
    <t xml:space="preserve">Решетка водоприемная Basic нержавейка (щелевая) </t>
  </si>
  <si>
    <t>20901</t>
  </si>
  <si>
    <t>Решетка водоприемная Basic нержавейка (щелевая)  с отверст. под крепеж</t>
  </si>
  <si>
    <t xml:space="preserve">Решетка водоприемная Basic PROTEKTOR высокопрочный чугун ВЧ-50 (щелевая) </t>
  </si>
  <si>
    <t>20303</t>
  </si>
  <si>
    <t xml:space="preserve">Решетка водоприемная Basic высокопрочный чугун ВЧ-50 (щелевая) </t>
  </si>
  <si>
    <t>203036</t>
  </si>
  <si>
    <t xml:space="preserve">Решетка водоприемная Basic высокопрочный чугун ВЧ-50 (щелевая, оцинкованная) </t>
  </si>
  <si>
    <t>20403</t>
  </si>
  <si>
    <t>Решетка водоприемная Basic высокопрочный чугун ВЧ-50 (ячеиcтая)</t>
  </si>
  <si>
    <t>204036</t>
  </si>
  <si>
    <t>Решетка водоприемная Basic высокопрочный чугун ВЧ-50 (ячеистая, оцинкованная)</t>
  </si>
  <si>
    <t>Дополнительные принадлежности для лотков и решеток с гидравлическим сечением 100 мм (класс нагрузки А15 - С250)</t>
  </si>
  <si>
    <t>6102</t>
  </si>
  <si>
    <t>Крепеж решётки (сталь) к бетонным лоткам</t>
  </si>
  <si>
    <t>6080</t>
  </si>
  <si>
    <t>Крепеж решётки (сталь) к пластиковым и полимербетонным лоткам</t>
  </si>
  <si>
    <t>6800</t>
  </si>
  <si>
    <t>Крепеж решётки (пластик) к пластиковым и полимербетонным лоткам</t>
  </si>
  <si>
    <t>6160</t>
  </si>
  <si>
    <t>Насадка усиливающая (сталь) для лотков высотой от 100 мм</t>
  </si>
  <si>
    <t>6830</t>
  </si>
  <si>
    <t xml:space="preserve">Торцевая заглушка с выпуском 75мм для лотков 8020, 8000, 8027, 8007 </t>
  </si>
  <si>
    <t>6831</t>
  </si>
  <si>
    <t>Торцевая заглушка для лотков 8050, 805009, 8010, 8057, 8017</t>
  </si>
  <si>
    <t>6800/5-7</t>
  </si>
  <si>
    <t>Переходник S'park ПЛВ-10.16.06(08,12)-ДС(ДП)-25-ПП 6800/5-7</t>
  </si>
  <si>
    <t>80/120</t>
  </si>
  <si>
    <t>6800/5-4</t>
  </si>
  <si>
    <t>Заглушка-переходник ЗПЛВ-10.16.06/.../10.16.20-ПП 6800/5-4</t>
  </si>
  <si>
    <t>60….200</t>
  </si>
  <si>
    <t>6301</t>
  </si>
  <si>
    <t>Торцевая заглушка для лотков 8040 и 8047</t>
  </si>
  <si>
    <t>6101-1</t>
  </si>
  <si>
    <t>Торцевая заглушка для лотков 4010, 7010</t>
  </si>
  <si>
    <t>6101</t>
  </si>
  <si>
    <t>Торцевая заглушка для лотков 4000, 7000</t>
  </si>
  <si>
    <r>
      <t xml:space="preserve">Лотки с гидравлическим сечением </t>
    </r>
    <r>
      <rPr>
        <b/>
        <sz val="20"/>
        <color indexed="9"/>
        <rFont val="Arial Cyr"/>
        <charset val="204"/>
      </rPr>
      <t>150</t>
    </r>
    <r>
      <rPr>
        <b/>
        <sz val="14"/>
        <color indexed="9"/>
        <rFont val="Arial Cyr"/>
        <charset val="204"/>
      </rPr>
      <t xml:space="preserve"> мм</t>
    </r>
    <r>
      <rPr>
        <b/>
        <sz val="14"/>
        <color indexed="9"/>
        <rFont val="Arial Cyr"/>
        <family val="2"/>
        <charset val="204"/>
      </rPr>
      <t xml:space="preserve"> (класс нагрузки А15 - С250)</t>
    </r>
  </si>
  <si>
    <t>8240-М</t>
  </si>
  <si>
    <t>0824081</t>
  </si>
  <si>
    <t xml:space="preserve">Комплект: лоток водоотводный PolyMAX пластиковый с решеткой ячеистой пластиковой </t>
  </si>
  <si>
    <t>0824082</t>
  </si>
  <si>
    <t>B</t>
  </si>
  <si>
    <t>858007</t>
  </si>
  <si>
    <t xml:space="preserve">Пескоуловитель сборный PolyMax Basic ПУС-20.26.60-ПП 858007 </t>
  </si>
  <si>
    <t>Решетки к лоткам с гидравлическим сечением 150 мм (класс нагрузки А15 - С250)</t>
  </si>
  <si>
    <t>22101</t>
  </si>
  <si>
    <t>22303</t>
  </si>
  <si>
    <t>C</t>
  </si>
  <si>
    <t>Решетка водоприемная Basic высокопрочный чугун ВЧ-50 (щелевая)</t>
  </si>
  <si>
    <t>22801</t>
  </si>
  <si>
    <t>Решетка пластковая PolyMax Basic ячеистая  кл. А 22801</t>
  </si>
  <si>
    <t>22802</t>
  </si>
  <si>
    <t>В</t>
  </si>
  <si>
    <t>Решетка пластковая PolyMax Basic ячеистая кл. В 22802</t>
  </si>
  <si>
    <t>Дополнительные принадлежности для лотков и решеток с гидравлическим сечением150 мм (класс нагрузки А15 - С250)</t>
  </si>
  <si>
    <t>6120</t>
  </si>
  <si>
    <t>Крепеж решётки (сталь) к пластиковым лоткам 150мм</t>
  </si>
  <si>
    <t>6321</t>
  </si>
  <si>
    <t>Торцевая заглушка (пластик) для лотка 8240-м, 0824081, 0824082</t>
  </si>
  <si>
    <t>6820/4-0</t>
  </si>
  <si>
    <t>Переходник ПЛВ-15.21.20(22)/10.16.16-ПП 6820/4-0</t>
  </si>
  <si>
    <t>6820/4-4</t>
  </si>
  <si>
    <t>Переходник ПЛВ-15.21.20(22)/10.16.20-ПП 6820/4-4</t>
  </si>
  <si>
    <t>6820/4-6</t>
  </si>
  <si>
    <t>Переходник ПЛВ-15.21.20(22)/20.26.30-ПП 6820/4-6</t>
  </si>
  <si>
    <r>
      <t xml:space="preserve">Лотки с гидравлическим сечением </t>
    </r>
    <r>
      <rPr>
        <b/>
        <sz val="20"/>
        <color indexed="9"/>
        <rFont val="Arial Cyr"/>
        <charset val="204"/>
      </rPr>
      <t>200 мм</t>
    </r>
    <r>
      <rPr>
        <b/>
        <sz val="14"/>
        <color indexed="9"/>
        <rFont val="Arial Cyr"/>
        <family val="2"/>
        <charset val="204"/>
      </rPr>
      <t xml:space="preserve"> (класс нагрузки А15 - С250)</t>
    </r>
  </si>
  <si>
    <t>8540-М</t>
  </si>
  <si>
    <t xml:space="preserve">Лоток водоотводный PolyMax Basic пластиковый </t>
  </si>
  <si>
    <t>85471-М</t>
  </si>
  <si>
    <t>8510</t>
  </si>
  <si>
    <t>8517</t>
  </si>
  <si>
    <t>Решетки к лоткам с гидравлическим сечением 200 мм (класс нагрузки А15 - С250)</t>
  </si>
  <si>
    <t>2510</t>
  </si>
  <si>
    <t>2520</t>
  </si>
  <si>
    <t>2590</t>
  </si>
  <si>
    <t>25303</t>
  </si>
  <si>
    <t>25403</t>
  </si>
  <si>
    <t>Дополнительные принадлежности для лотков и решеток с гидравлическим сечением 200 мм (класс нагрузки А15 - С250)</t>
  </si>
  <si>
    <t>6351</t>
  </si>
  <si>
    <t xml:space="preserve">Торцевая заглушка (пластик) для лотков 8510; 8517  </t>
  </si>
  <si>
    <t>6854</t>
  </si>
  <si>
    <t xml:space="preserve">Торцевая заглушка (пластик) с выпуском 110мм для лотков 8540; 8547 </t>
  </si>
  <si>
    <t>63516</t>
  </si>
  <si>
    <t>Торцевая заглушка (пластик) для лотка 8560</t>
  </si>
  <si>
    <t xml:space="preserve"> 6105</t>
  </si>
  <si>
    <t>Крепеж решётки (сталь) к пластиковым лоткам 200мм</t>
  </si>
  <si>
    <t>6850-50К</t>
  </si>
  <si>
    <t>Крепеж решётки (пластик) с круглым винтом 50мм к пластиковым лоткам 200мм</t>
  </si>
  <si>
    <t>6855/4-2-М</t>
  </si>
  <si>
    <t>Переходник между лотками разной высоты 80/200мм</t>
  </si>
  <si>
    <t>6855/6-4-М</t>
  </si>
  <si>
    <t>Переходник ПЛВ-20.20/20.30-ПП 6855/6-4-М</t>
  </si>
  <si>
    <r>
      <t xml:space="preserve">Лоток с гидравлическим сечением </t>
    </r>
    <r>
      <rPr>
        <b/>
        <sz val="20"/>
        <color indexed="9"/>
        <rFont val="Arial Cyr"/>
        <charset val="204"/>
      </rPr>
      <t>300 мм</t>
    </r>
    <r>
      <rPr>
        <b/>
        <sz val="14"/>
        <color indexed="9"/>
        <rFont val="Arial Cyr"/>
        <family val="2"/>
        <charset val="204"/>
      </rPr>
      <t xml:space="preserve"> (класс нагрузки А15 - С250)</t>
    </r>
  </si>
  <si>
    <t xml:space="preserve">Лоток водоотводный PolyMAX </t>
  </si>
  <si>
    <t>087001</t>
  </si>
  <si>
    <t xml:space="preserve">Комплект: лоток водоотводный PolyMAX пластиковый с решеткой ячеистой стальной </t>
  </si>
  <si>
    <r>
      <t xml:space="preserve">                                                                </t>
    </r>
    <r>
      <rPr>
        <b/>
        <sz val="14"/>
        <color indexed="8"/>
        <rFont val="Arial"/>
        <family val="2"/>
        <charset val="204"/>
      </rPr>
      <t>Решетки к лоткам с гидравлическим сечением 300 мм (класс нагрузки А15 - С250)</t>
    </r>
  </si>
  <si>
    <t xml:space="preserve">Решетка водоприемная Basic стальная оцинкованная (ячеистая) </t>
  </si>
  <si>
    <r>
      <t xml:space="preserve">Лоток с гидравлическим сечением </t>
    </r>
    <r>
      <rPr>
        <b/>
        <sz val="14"/>
        <color indexed="9"/>
        <rFont val="Arial Cyr"/>
        <charset val="204"/>
      </rPr>
      <t>500 мм</t>
    </r>
    <r>
      <rPr>
        <b/>
        <sz val="14"/>
        <color indexed="9"/>
        <rFont val="Arial Cyr"/>
        <family val="2"/>
        <charset val="204"/>
      </rPr>
      <t xml:space="preserve"> (класс нагрузки А15 - С250)</t>
    </r>
  </si>
  <si>
    <t xml:space="preserve">Дополнительные принадлежности для лотков и решеток с гидравлическим сечением 500 мм </t>
  </si>
  <si>
    <t>Торцевая заглушка (пластик) для лотков 89001; 08900121</t>
  </si>
  <si>
    <t>Решетки водоприемные чугунные (класс нагрузки А15 - С250)</t>
  </si>
  <si>
    <t>Решетка водоприемная CЧ-20 (щелевая)</t>
  </si>
  <si>
    <t>28343</t>
  </si>
  <si>
    <t>Дополнительные принадлежности для лотков и решеток с гидравлическим сечением 300 мм (класс нагрузки А15 - С250)</t>
  </si>
  <si>
    <t>Торцевая заглушка (пластик) с возможностью подключения труб 200 и 280мм для лотков 8740; 087001; 087003</t>
  </si>
  <si>
    <t>Точечный водоотвод. Стандартная серия (класс нагрузки А15 - С250)</t>
  </si>
  <si>
    <t>Дождесборник-пескоуловитель S’Park</t>
  </si>
  <si>
    <t>083720</t>
  </si>
  <si>
    <t>Комплект: дождесборник S’Park с пластиковой решёткой, совместим с лотками 088011, 088081 и 08818(через переходник)</t>
  </si>
  <si>
    <t>327</t>
  </si>
  <si>
    <t>283</t>
  </si>
  <si>
    <t>312</t>
  </si>
  <si>
    <t>1,13</t>
  </si>
  <si>
    <t>86701</t>
  </si>
  <si>
    <t xml:space="preserve">Дождеприемник S'park ДП-25.25-ПП </t>
  </si>
  <si>
    <t>250</t>
  </si>
  <si>
    <t>245</t>
  </si>
  <si>
    <t>1</t>
  </si>
  <si>
    <t>6819</t>
  </si>
  <si>
    <t xml:space="preserve">Корзина для дождеприемника S'park ДП–25.25-ПП пластикова </t>
  </si>
  <si>
    <t>200</t>
  </si>
  <si>
    <t>146</t>
  </si>
  <si>
    <t>0,2</t>
  </si>
  <si>
    <t>36881</t>
  </si>
  <si>
    <t xml:space="preserve">Решетка S'park РВ-25.25-ПП щелевая пластиковая для дождеприемника </t>
  </si>
  <si>
    <t>242</t>
  </si>
  <si>
    <t>17</t>
  </si>
  <si>
    <t>0,3</t>
  </si>
  <si>
    <t>383013</t>
  </si>
  <si>
    <t xml:space="preserve">Решетка водоприемная Spark РВ-25.25 щелевая чугунная </t>
  </si>
  <si>
    <t>243</t>
  </si>
  <si>
    <t>13</t>
  </si>
  <si>
    <r>
      <t xml:space="preserve">Дождеприемник пластиковый </t>
    </r>
    <r>
      <rPr>
        <b/>
        <sz val="14"/>
        <color indexed="9"/>
        <rFont val="Arial Cyr"/>
        <charset val="204"/>
      </rPr>
      <t>300х300</t>
    </r>
  </si>
  <si>
    <t>8370-Н</t>
  </si>
  <si>
    <t>Надставка к дождеприемнику PolyMAX Basic пластиковая черная, возможно подключение лотков 8050; 8010; 8020 и 08818 (через переходник 6828)</t>
  </si>
  <si>
    <t>8270</t>
  </si>
  <si>
    <t xml:space="preserve">Дождеприемник сборный PolyMax Basic </t>
  </si>
  <si>
    <t>817009-Ч</t>
  </si>
  <si>
    <t>Бокс водосточный с вертикальным водоотводом PolyMAX Basic пластиковый черный</t>
  </si>
  <si>
    <t>8370-М</t>
  </si>
  <si>
    <t>Дождеприемник PolyMAX Basic пластиковый черный</t>
  </si>
  <si>
    <t>Решетки к дождеприемнику пластиковому 300х300</t>
  </si>
  <si>
    <t>33104</t>
  </si>
  <si>
    <t xml:space="preserve">Решетка водоприемная Basic Вершина стальная оцинкованная (щелевая) </t>
  </si>
  <si>
    <t>3320</t>
  </si>
  <si>
    <t>3330</t>
  </si>
  <si>
    <t>333006</t>
  </si>
  <si>
    <t>3332</t>
  </si>
  <si>
    <t>Решетка водоприемная Basic высокопрочный чугун ВЧ-50 (ячеистая)</t>
  </si>
  <si>
    <t>3334</t>
  </si>
  <si>
    <t>Решетка водоприемная Basic Снежинка высокопрочный чугун ВЧ-50 (ячеистая)</t>
  </si>
  <si>
    <t>333406</t>
  </si>
  <si>
    <t>Решетка водоприемная Basic Снежинка высокопрочный чугун ВЧ-50 (ячеистая, оцинкованная)</t>
  </si>
  <si>
    <t>3380-С</t>
  </si>
  <si>
    <t>Решетка водоприемная Basic PolyMAX пластиковая (ячеистая) серая</t>
  </si>
  <si>
    <t>3380-Ч</t>
  </si>
  <si>
    <t>Решетка водоприемная Basic PolyMAX пластиковая (ячеистая) черная</t>
  </si>
  <si>
    <t>3389</t>
  </si>
  <si>
    <t xml:space="preserve">Крышка к дождеприемнику Basic PolyMAX </t>
  </si>
  <si>
    <t>Дополнительные принадлежности к дождеприемнику пластиковому 300х300</t>
  </si>
  <si>
    <t>8379</t>
  </si>
  <si>
    <t>Корзина пластиковая к дождеприемнику 8370</t>
  </si>
  <si>
    <t>8378</t>
  </si>
  <si>
    <t>Перегородка-сифон пластиковая к дождеприемнику 8370</t>
  </si>
  <si>
    <r>
      <t xml:space="preserve">Дождеприемник пластиковый </t>
    </r>
    <r>
      <rPr>
        <b/>
        <sz val="18"/>
        <color indexed="9"/>
        <rFont val="Arial Cyr"/>
        <charset val="204"/>
      </rPr>
      <t>400х400</t>
    </r>
  </si>
  <si>
    <t>8472</t>
  </si>
  <si>
    <t xml:space="preserve">Дождеприемник-пескоуловитель PolyMAX Basic пластиковый </t>
  </si>
  <si>
    <t>8472.1</t>
  </si>
  <si>
    <t>Дождеприемник-пескоуловитель PolyMAX Basic пластиковый угловой для подключения лотков</t>
  </si>
  <si>
    <t>Решетки к дождеприемнику пластиковому 400х400</t>
  </si>
  <si>
    <t>34201</t>
  </si>
  <si>
    <t>3489-Ч</t>
  </si>
  <si>
    <t>Крышка PolyMax Basic К-39.39-ПП-чер. 3489-Ч</t>
  </si>
  <si>
    <t>3480-Ч</t>
  </si>
  <si>
    <t>Решетка PolyMax Basic РВ-39.39-ПП яч. чер. 3480-Ч</t>
  </si>
  <si>
    <t>34403</t>
  </si>
  <si>
    <t>С</t>
  </si>
  <si>
    <t>Решетка водоприемная Basic РВ-39.39 ячеистая чугунная ВЧ кл. С 34403</t>
  </si>
  <si>
    <r>
      <t xml:space="preserve">                                                                         </t>
    </r>
    <r>
      <rPr>
        <b/>
        <sz val="14"/>
        <color indexed="8"/>
        <rFont val="Arial"/>
        <family val="2"/>
        <charset val="204"/>
      </rPr>
      <t>Дополнительные принадлежности к дождеприемнику пластиковому 400х400</t>
    </r>
  </si>
  <si>
    <t>6189</t>
  </si>
  <si>
    <t>Корзина стальная оцинкованная к дождеприемникам 8472 и 8472.1</t>
  </si>
  <si>
    <t>Дождеприемники-обрамления чугунные</t>
  </si>
  <si>
    <t>3001</t>
  </si>
  <si>
    <t>Дождеприемник-обрамление D380 круглый высокопрочный чугун ВЧ</t>
  </si>
  <si>
    <t>Дождеприемник-бордюр</t>
  </si>
  <si>
    <t>38002</t>
  </si>
  <si>
    <t>Дождеприемник-бордюр чугунный СЧ</t>
  </si>
  <si>
    <t>Герметик</t>
  </si>
  <si>
    <t>335145</t>
  </si>
  <si>
    <t>Герметик Полиуретановый Герметик Standartpark 600мл 335145</t>
  </si>
  <si>
    <t>Наименование товаров</t>
  </si>
  <si>
    <t>Масса, кг</t>
  </si>
  <si>
    <t>Кол-во на паллете, шт.</t>
  </si>
  <si>
    <t>Дилерская</t>
  </si>
  <si>
    <t>2. Серия DRIVE (класс нагрузки D400 - E600)</t>
  </si>
  <si>
    <t>2.1. Системы DN 100 (Drive) - НЕ КОМПЛЕКТЫ</t>
  </si>
  <si>
    <t>2.1.1 Бетон</t>
  </si>
  <si>
    <t>40571</t>
  </si>
  <si>
    <t>Лоток BetoMax Drive ЛВ–10.16.16–Б 40571</t>
  </si>
  <si>
    <t>Е 600</t>
  </si>
  <si>
    <t>40071</t>
  </si>
  <si>
    <t>Лоток BetoMax Drive ЛВ–10.16.21–Б 40071</t>
  </si>
  <si>
    <t>40671</t>
  </si>
  <si>
    <t>Лоток BetoMax Drive ЛВ–10.16.23–Б 40671</t>
  </si>
  <si>
    <t>40871</t>
  </si>
  <si>
    <t>Пескоуловитель BetoMax ПУ-10.16.50-Б бетонный 40871</t>
  </si>
  <si>
    <t>2.1.2 Решетка</t>
  </si>
  <si>
    <t>203043</t>
  </si>
  <si>
    <t>Решетка Drive РВ-10.15.50-щель-ВЧ кл.D 20304(требуется 2 комплекта крепежа на 1 решетку)</t>
  </si>
  <si>
    <t>D 400</t>
  </si>
  <si>
    <t>20505</t>
  </si>
  <si>
    <t>Решетка Drive РВ-10.15.50-"шина"-ВЧ кл.Е 20405 (требуется 4 комплекта крепежа на 1 решетку)</t>
  </si>
  <si>
    <t>E 600</t>
  </si>
  <si>
    <t>2.1.3 Крепежи</t>
  </si>
  <si>
    <t>10*25</t>
  </si>
  <si>
    <t>Болт М10*25 ГОСТ 7805-70</t>
  </si>
  <si>
    <t>10*557</t>
  </si>
  <si>
    <t>Гайка М10 DIN 557 квадрат</t>
  </si>
  <si>
    <t>2.1.4 Услуги</t>
  </si>
  <si>
    <t>Услуга Оснащения Вертикальным выпуском 
(по умолчанию устанавливается труба Ду 110)</t>
  </si>
  <si>
    <t>2.1.5 Доп. Принадлежности</t>
  </si>
  <si>
    <t>6101-5Б-D</t>
  </si>
  <si>
    <t>Заглушка ЗЛВ-10.16.16-Б-ОС 6101-5Б-D</t>
  </si>
  <si>
    <t>6101-509Б-D</t>
  </si>
  <si>
    <t>Заглушка ЗЛВ-10.16.16-Б-ОС с водоотводом 6101-509Б-D</t>
  </si>
  <si>
    <t>6101-Б-D</t>
  </si>
  <si>
    <t>Заглушка ЗЛВ-10.16.21-Б-ОС 6101-Б-D</t>
  </si>
  <si>
    <t>6101-09Б-D</t>
  </si>
  <si>
    <t>Заглушка ЗЛВ-10.16.21-Б-ОС с водоотводом 6101-09Б-D</t>
  </si>
  <si>
    <t>6101-6Б-D</t>
  </si>
  <si>
    <t>Заглушка ЗЛВ-10.16.23-Б-ОС 6101-6Б-D</t>
  </si>
  <si>
    <t>6101-609Б-D</t>
  </si>
  <si>
    <t>Заглушка ЗЛВ-10.16.23-Б-ОС с водоотводом 6101-609Б-D</t>
  </si>
  <si>
    <t>6109</t>
  </si>
  <si>
    <t>Корзина КОПУ-10.16.50-ОС 6109</t>
  </si>
  <si>
    <t>2.2. Системы DN 100 (Drive) - КОМПЛЕКТЫ</t>
  </si>
  <si>
    <t>2.2.1 Бетон класс D</t>
  </si>
  <si>
    <t>040571334</t>
  </si>
  <si>
    <t>Лоток BetoMax Drive ЛВ-10.16.16-Б с РВ щель ВЧ кл.D(к-т) 040571334</t>
  </si>
  <si>
    <t>040071334</t>
  </si>
  <si>
    <t>Лоток BetoMax Drive ЛВ-10.16.21-Б с РВ щель ВЧ кл.D(к-т) 040071334</t>
  </si>
  <si>
    <t>040671334</t>
  </si>
  <si>
    <t>Лоток BetoMax Drive ЛВ-10.16.23-Б с РВ щель ВЧ кл.D (к-т) 040671334</t>
  </si>
  <si>
    <t>040871334</t>
  </si>
  <si>
    <t>Пескоуловитель BetoMax Drive ПУ-10.16.50-Б с РВ щель ВЧ кл. D (к-т) 040871334</t>
  </si>
  <si>
    <t>2.2.2 Бетон класс E</t>
  </si>
  <si>
    <t>04057155</t>
  </si>
  <si>
    <t>Лоток BetoMax Drive ЛВ-10.16.16-Б с РВ "шина" ВЧ кл.Е(к-т) 04057155</t>
  </si>
  <si>
    <t>04007155</t>
  </si>
  <si>
    <t>Лоток BetoMax Drive ЛВ-10.16.21-Б с РВ "шина" ВЧ кл.Е (к-т) 04007155</t>
  </si>
  <si>
    <t>04067155</t>
  </si>
  <si>
    <t>Лоток BetoMax Drive ЛВ-10.16.23-Б с РВ "шина" ВЧ кл.Е (к-т) 04067155</t>
  </si>
  <si>
    <t>04087155</t>
  </si>
  <si>
    <t>Пескоуловитель BetoMax Drive ПУ-10.16.50-Б с РВ "шина" ВЧ кл.Е (к-т) 04087155</t>
  </si>
  <si>
    <t>2.3. Системы DN 150 (Drive) - НЕ КОМПЛЕКТЫ</t>
  </si>
  <si>
    <t>2.3.1 Бетон</t>
  </si>
  <si>
    <t>42171</t>
  </si>
  <si>
    <t>Лоток BetoMax Drive ЛВ–15.21.10–Б 42171</t>
  </si>
  <si>
    <t>42471</t>
  </si>
  <si>
    <t>Лоток BetoMax Drive ЛВ–15.21.16–Б 42471</t>
  </si>
  <si>
    <t>42571</t>
  </si>
  <si>
    <t>Лоток  BetoMax Drive ЛВ–15.21.21–Б 42571</t>
  </si>
  <si>
    <t>42071</t>
  </si>
  <si>
    <t>Лоток BetoMax Drive ЛВ–15.21.26–Б 42071</t>
  </si>
  <si>
    <t>42671</t>
  </si>
  <si>
    <t>Лоток BetoMax Drive  ЛВ-15.21.31-Б бетонный 42671</t>
  </si>
  <si>
    <t>42871</t>
  </si>
  <si>
    <t>Пескоуловитель BetoMax Drive  ПУ-15.23.50–Б 42871</t>
  </si>
  <si>
    <t>2.3.2 Решетка</t>
  </si>
  <si>
    <t>223043</t>
  </si>
  <si>
    <t>Решетка MAXI РВ-15.20.50-щель-ВЧ-ЩПв4-ЛВ кл. D 223043 (требуется 4 комплекта крепежа)</t>
  </si>
  <si>
    <t>22505</t>
  </si>
  <si>
    <t>Решетка MAXI РВ-15.20.50-"шина"-ВЧ-ЩПв5-ЛВ кл. Е 22505  (требуется 4 комплекта крепежа)</t>
  </si>
  <si>
    <t>2.3.3 Крепежи</t>
  </si>
  <si>
    <t>2.3.4 Услуги</t>
  </si>
  <si>
    <t>Услуга Оснащения Вертикальным выпуском 
(по умолчанию устанавливается труба Ду 125)</t>
  </si>
  <si>
    <t>2.3.5 Доп. Принадлежности</t>
  </si>
  <si>
    <t>6121-1Б-D</t>
  </si>
  <si>
    <t>Заглушка ЗЛВ-15.21.10-Б-ОС 6121-1Б-D</t>
  </si>
  <si>
    <t>6121-509Б-D</t>
  </si>
  <si>
    <t>Заглушка ЗЛВ-15.21.21-Б-ОС с водоотводом 6121-509Б-D</t>
  </si>
  <si>
    <t>6121-09Б-D</t>
  </si>
  <si>
    <t>Заглушка ЗЛВ-15.21.26-Б-ОС с водоотводом 6121-09Б-D оцинк.</t>
  </si>
  <si>
    <t>6121-609Б-D</t>
  </si>
  <si>
    <t>Заглушка ЗЛВ-15.21.31-Б-ОС с водоотводом 6121-609-D</t>
  </si>
  <si>
    <t>2.4. Системы DN 150 (Drive) - КОМПЛЕКТЫ</t>
  </si>
  <si>
    <t>2.4.1 Бетон класс D</t>
  </si>
  <si>
    <t>042171334</t>
  </si>
  <si>
    <t>Лоток BetoMax Drive ЛВ–15.21.10–Б с  РВ щель ВЧ кл.D (к-т)  04217134</t>
  </si>
  <si>
    <t>042471334</t>
  </si>
  <si>
    <t>Лоток BetoMax Drive ЛВ–15.21.16–Б с РВ щель ВЧ кл.D (к-т)  04247134</t>
  </si>
  <si>
    <t>042571334</t>
  </si>
  <si>
    <t>Лоток BetoMax Drive ЛВ–15.21.21–Б с РВ щель ВЧ кл.D (к-т)  04257134</t>
  </si>
  <si>
    <t>042071334</t>
  </si>
  <si>
    <t>Лоток BetoMax Drive ЛВ–15.21.26–Б с РВ щель ВЧ кл.D (к-т)  04207134</t>
  </si>
  <si>
    <t>042671334</t>
  </si>
  <si>
    <t>Лоток BetoMax Drive ЛВ-15.21.31-Б с решеткой чугонной ВЧ кл.D (к-т) 04267134</t>
  </si>
  <si>
    <t>042871334</t>
  </si>
  <si>
    <t>Пескоуловитель  BetoMax Drive  ПУ-15.21.50–Б с РВ щель ВЧ кл.D (к-т) 04287134</t>
  </si>
  <si>
    <t>2.4.2 Бетон класс E</t>
  </si>
  <si>
    <t>04217155</t>
  </si>
  <si>
    <t>Лоток BetoMax Drive ЛВ–15.21.10–Б с РВ "шина"ВЧ кл.E (к-т)  04217155</t>
  </si>
  <si>
    <t>04247155</t>
  </si>
  <si>
    <t>Лоток BetoMax Drive ЛВ–15.21.16–Б с РВ "шина" ВЧ кл.E (к-т)  04247155</t>
  </si>
  <si>
    <t>04257155</t>
  </si>
  <si>
    <t>Лоток BetoMax Drive ЛВ–15.21.21–Б с РВ "шина"  ВЧ кл.E (к-т)  04257155</t>
  </si>
  <si>
    <t>04207155</t>
  </si>
  <si>
    <t>Лоток BetoMax Drive ЛВ–15.21.26–Б с РВ"шина" ВЧ кл.E (к-т)  04207155</t>
  </si>
  <si>
    <t>04267155</t>
  </si>
  <si>
    <t>Лоток BetoMax Drive ЛВ-15.21.31-Б с РВ "шина" ВЧ кл.E (к-т) 04267155</t>
  </si>
  <si>
    <t>04287155</t>
  </si>
  <si>
    <t>Пескоуловитель  BetoMax Drive  ПУ-15.21.50–Б с РВ "шина"ВЧ кл.Е (к-т) 04287155</t>
  </si>
  <si>
    <t>2.5. Системы DN 200 (Drive) - НЕ КОМПЛЕКТЫ</t>
  </si>
  <si>
    <t>2.5.1 Бетон</t>
  </si>
  <si>
    <t>45071</t>
  </si>
  <si>
    <t>Лоток BetoMax Drive ЛВ-20.26.31-Б 45071</t>
  </si>
  <si>
    <t>260</t>
  </si>
  <si>
    <t>310</t>
  </si>
  <si>
    <t>86,15</t>
  </si>
  <si>
    <t>45471</t>
  </si>
  <si>
    <t>Лоток BetoMax Drive ЛВ-20.26.21-Б 45471</t>
  </si>
  <si>
    <t>210</t>
  </si>
  <si>
    <t>71,75</t>
  </si>
  <si>
    <t>45571</t>
  </si>
  <si>
    <t>Лоток BetoMax Drive ЛВ-20.26.26-Б 45571</t>
  </si>
  <si>
    <t>78,95</t>
  </si>
  <si>
    <t>45671</t>
  </si>
  <si>
    <t>Лоток BetoMax Drive ЛВ-20.26.36-Б 45671</t>
  </si>
  <si>
    <t>360</t>
  </si>
  <si>
    <t>93,35</t>
  </si>
  <si>
    <t>45871</t>
  </si>
  <si>
    <t>Пескоуловитель BetoMax Drive ПУ-20.26.57–Б 45871</t>
  </si>
  <si>
    <t>500</t>
  </si>
  <si>
    <t>570</t>
  </si>
  <si>
    <t>82</t>
  </si>
  <si>
    <t>253043</t>
  </si>
  <si>
    <t>Решетка Drive РВ-20.25.50-щель-ВЧ кл.D 253043 (требуется 4 комплекта крепежа на 1 решетку)</t>
  </si>
  <si>
    <t>253055</t>
  </si>
  <si>
    <t>Решетка Drive РВ-20.25.50- "шина" -ВЧ кл. Е 253055 (требуется 4 комплекта крепежа на 1 решетку)</t>
  </si>
  <si>
    <t>2.5.3 Крепежи</t>
  </si>
  <si>
    <t>2.5.4 Услуги</t>
  </si>
  <si>
    <t>2.5.5 Доп. Принадлежности</t>
  </si>
  <si>
    <t>2.6. Системы DN 200 (Drive) - КОМПЛЕКТЫ</t>
  </si>
  <si>
    <t>2.6.1 Бетон класс D</t>
  </si>
  <si>
    <t>045071334</t>
  </si>
  <si>
    <t>Лоток BetoMax Drive ЛВ-20.26.31-Б с РВ щель ВЧ кл.D (к-т) 045071334</t>
  </si>
  <si>
    <t>D400</t>
  </si>
  <si>
    <t>045471334</t>
  </si>
  <si>
    <t>Лоток BetoMax Drive ЛВ-20.26.21-Б с РВ щель ВЧ кл.D (к-т) 045471334</t>
  </si>
  <si>
    <t>045571334</t>
  </si>
  <si>
    <t>Лоток BetoMax Drive ЛВ-20.26.26-Б с РВ щель ВЧ кл.D (к-т) 045571334</t>
  </si>
  <si>
    <t>045671334</t>
  </si>
  <si>
    <t>Лоток BetoMax Drive ЛВ-20.26.36-Б с РВ щель ВЧ кл.D (к-т) 045671334</t>
  </si>
  <si>
    <t>045871334</t>
  </si>
  <si>
    <t>Пескоуловитель BetoMax Drive.29.60-Б с РВ щель ВЧ кл.Е (к-т) 045871334</t>
  </si>
  <si>
    <t>600</t>
  </si>
  <si>
    <t>92,0</t>
  </si>
  <si>
    <t>2.6.2 Бетон класс E</t>
  </si>
  <si>
    <t>04507155</t>
  </si>
  <si>
    <t>Лоток BetoMax Drive ЛВ-20.26.31-Б с РВ "шина" ВЧ кл.E (к-т) 04507155</t>
  </si>
  <si>
    <t>E600</t>
  </si>
  <si>
    <t>04547155</t>
  </si>
  <si>
    <t>Лоток BetoMax Drive ЛВ-20.26.21-Б с РВ "шина" ВЧ кл.E (к-т) 04547155</t>
  </si>
  <si>
    <t>04557155</t>
  </si>
  <si>
    <t>Лоток BetoMax Drive ЛВ-20.26.26-Б с РВ "шина" ВЧ кл.E (к-т) 04557155</t>
  </si>
  <si>
    <t>04567155</t>
  </si>
  <si>
    <t>Лоток BetoMax Drive ЛВ-20.26.36-Б с РВ "шина" ВЧ кл.E (к-т) 04567155</t>
  </si>
  <si>
    <t>04587155</t>
  </si>
  <si>
    <t>Пескоуловитель BetoMax Drive ПУ-20.26.57-Б с РВ "шина" ВЧ кл.Е (к-т) 04587155</t>
  </si>
  <si>
    <t>2.1.1 Полимербетон</t>
  </si>
  <si>
    <t>70171</t>
  </si>
  <si>
    <t>Лоток CompoMax Drive ЛВ–10.16.10–П-Ус. 70171</t>
  </si>
  <si>
    <t>70071</t>
  </si>
  <si>
    <t>Лоток CompoMax Drive ЛВ–10.16.21–П-Ус. 70071</t>
  </si>
  <si>
    <t>70671</t>
  </si>
  <si>
    <t>Лоток CompoMax Drive ЛВ–10.16.26–П-Ус. 70671</t>
  </si>
  <si>
    <t>70871</t>
  </si>
  <si>
    <t>Пескоуловитель CompoMax Drive ПУ-10.16.50–П 70871</t>
  </si>
  <si>
    <t>Решетка Drive РВ-10.15.50-щель-ВЧ кл.D 203043 (требуется 2 комплекта крепежа на 1 решетку)</t>
  </si>
  <si>
    <t>2.2.1 Полимербетон D</t>
  </si>
  <si>
    <t>070171334</t>
  </si>
  <si>
    <t>Лоток CompoMax Drive ЛВ–10.16.10–П с РВ щель решеткой ВЧ кл.D (к-т) 070171334</t>
  </si>
  <si>
    <t>070071334</t>
  </si>
  <si>
    <t>Лоток CompoMax Drive ЛВ–10.16.21–П с РВ щель решеткой ВЧ кл.D (к-т) 070071334</t>
  </si>
  <si>
    <t>070671334</t>
  </si>
  <si>
    <t>Лоток CompoMax Drive ЛВ–10.16.26–П с РВ щель ВЧ кл.D (к-т) 070671334</t>
  </si>
  <si>
    <t>070871334</t>
  </si>
  <si>
    <t>Пескоуловитель CompoMax Drive ПУ-10.16.50–П с РВ щельВЧ кл.D (к-т)  070871334</t>
  </si>
  <si>
    <t>2.2.2 Полимербетон Е</t>
  </si>
  <si>
    <t>07017155</t>
  </si>
  <si>
    <t>Лоток водоотводный CompoMax Drive ЛВ–10.16.10–П полимербетонный с решеткой "шина"чугунной ВЧ кл.Е (комплект) 070171334</t>
  </si>
  <si>
    <t>07007155</t>
  </si>
  <si>
    <t>Лоток CompoMax Drive ЛВ–10.16.21–П с РВ "шина"ВЧ кл.Е (к-т) 07007155</t>
  </si>
  <si>
    <t>07067155</t>
  </si>
  <si>
    <t>Лоток CompoMax Drive ЛВ–10.16.26–П с РВ "шина" ВЧ кл.E (к-т)  07067155</t>
  </si>
  <si>
    <t>07087155</t>
  </si>
  <si>
    <t>Пескоуловитель CompoMax Drive ПУ-10.16.50–П с РВ "шина" ВЧ кл.Е (к-т)  07087155</t>
  </si>
  <si>
    <t>2.3.1 Полимербетон</t>
  </si>
  <si>
    <t>72171</t>
  </si>
  <si>
    <t>Лоток CompoMax Drive ЛВ–15.21.10–П  72171</t>
  </si>
  <si>
    <t>72571</t>
  </si>
  <si>
    <t>Лоток CompoMax Drive ЛВ–15.21.21–П-Ус.- 72571</t>
  </si>
  <si>
    <t>72071</t>
  </si>
  <si>
    <t>Лоток CompoMax Drive ЛВ–15.21.26 П-Ус. 72071</t>
  </si>
  <si>
    <t>72671</t>
  </si>
  <si>
    <t>Лоток CompoMax Drive ЛВ–15.21.31П-Ус. 72671</t>
  </si>
  <si>
    <t>72871</t>
  </si>
  <si>
    <t>Пескоуловитель CompoMax Drive ПУ-15.21.50–П 72871</t>
  </si>
  <si>
    <t>2.4.1 Полимербетон класс D</t>
  </si>
  <si>
    <t>072171334</t>
  </si>
  <si>
    <t>Лоток CompoMax Drive ЛВ–15.21.10–П c РВ щель ВЧ кл.D (к-т)  07217134</t>
  </si>
  <si>
    <t>072571334</t>
  </si>
  <si>
    <t>Лоток CompoMax Drive ЛВ–15.21.21–П с РВ щель ВЧ кл.D (к-т)  07257134</t>
  </si>
  <si>
    <t>072071334</t>
  </si>
  <si>
    <t>Лоток CompoMax Drive ЛВ–15.21.26–П c РВ щель ВЧ кл.D (к-т)  07207134</t>
  </si>
  <si>
    <t>072671334</t>
  </si>
  <si>
    <t>Лоток CompoMax Drive ЛВ–15.21.31–П c РВ щель ВЧ кл.D (к-т)  07267134</t>
  </si>
  <si>
    <t>072871334</t>
  </si>
  <si>
    <t>Пескоуловитель CompoMax Drive ПВ-15.21.50–П с РВ щель ВЧ кл.D (к-т)  07287134</t>
  </si>
  <si>
    <t>2.4.2 Полимербетон класс Е</t>
  </si>
  <si>
    <t>07217155</t>
  </si>
  <si>
    <t>Лоток CompoMax Drive ЛВ–15.21.10 П c РВ"шина" ВЧ кл.Е (к-т)  07217155</t>
  </si>
  <si>
    <t>07257155</t>
  </si>
  <si>
    <t>Лоток CompoMax Drive ЛВ–15.21.21–П с РВ "шина"ВЧ кл.Е (к-т)  07257155</t>
  </si>
  <si>
    <t>07207155</t>
  </si>
  <si>
    <t>Лоток CompoMax Drive ЛВ–15.21.26 П c РВ"шина" ВЧ кл.Е (к-т)  07207155</t>
  </si>
  <si>
    <t>07267155</t>
  </si>
  <si>
    <t>Лоток CompoMax Drive ЛВ–15.21.31–П с РВ"шина" ВЧ кл.Е (к-т)  07267155</t>
  </si>
  <si>
    <t>07287155</t>
  </si>
  <si>
    <t>Пескоуловитель CompoMax Drive ПВ-15.21.50–П c РВ"шина" ВЧ кл.E (к-т) 07287155</t>
  </si>
  <si>
    <t>2.5.1 Полимербетон</t>
  </si>
  <si>
    <t>75171</t>
  </si>
  <si>
    <t>Лоток CompoMax Drive ЛВ–20.26.10–П-Ус. 75171</t>
  </si>
  <si>
    <t>75471</t>
  </si>
  <si>
    <t>Лоток CompoMax Drive ЛВ–20.26.21–П-Ус.  75471</t>
  </si>
  <si>
    <t>75571</t>
  </si>
  <si>
    <t>Лоток CompoMax Drive ЛВ–20.26.26-П-Ус. 75571</t>
  </si>
  <si>
    <t>75071</t>
  </si>
  <si>
    <t>Лоток CompoMax Drive ЛВ-20.26.31-П-Ус. 75071</t>
  </si>
  <si>
    <t>75671</t>
  </si>
  <si>
    <t>Лоток CompoMax Drive ЛВ–20.26.36–П. 75671</t>
  </si>
  <si>
    <t>75871</t>
  </si>
  <si>
    <t>Пескоуловитель CompoMax Drive ПУ-20.26.60–П 75871</t>
  </si>
  <si>
    <t>2.5.2 Решетка</t>
  </si>
  <si>
    <t>Решетка Drive РВ-20.25.50- "шина" -ВЧ кл. Е 253055</t>
  </si>
  <si>
    <t>Болт М10х25 ГОСТ 7805-70</t>
  </si>
  <si>
    <t>Гайка М 10  DIN 557 квадрат</t>
  </si>
  <si>
    <t>2.6.1 Полимербетон класс D</t>
  </si>
  <si>
    <t>075171334</t>
  </si>
  <si>
    <t>Лоток CompoMax Drive ЛВ–20.26.10–П с РВ щель ВЧ кл.D (к-т)  07517134</t>
  </si>
  <si>
    <t>075471334</t>
  </si>
  <si>
    <t>Лоток CompoMax Drive ЛВ–20.26.21–П с РВ щель Вч. Кл.D полимербетонный  (комплект) 07547134</t>
  </si>
  <si>
    <t>075571334</t>
  </si>
  <si>
    <t>Лоток CompoMax Drive ЛВ–20.26.26-П с РВ щель ВЧ кл.D (к-т) 07557134</t>
  </si>
  <si>
    <t>075071334</t>
  </si>
  <si>
    <t>Лоток CompoMax Drive ЛВ–20.26.31–П с РВ щель ВЧ кл.D (к-т) 07507134</t>
  </si>
  <si>
    <t>075671334</t>
  </si>
  <si>
    <t>Лоток CompoMax Drive ЛВ–20.26.36–П с РВ щель ВЧ кл.D (к-т)  07567134</t>
  </si>
  <si>
    <t>075871334</t>
  </si>
  <si>
    <t>Пескоуловитель CompoMax Drive ПУ-20.26.60–П с РВ щель ВЧ кл.D (к-т) 07587134</t>
  </si>
  <si>
    <t>Пластик</t>
  </si>
  <si>
    <t>DRIVE DN-100</t>
  </si>
  <si>
    <t>Лоток PolyMax Drive пластиковый с решеткой щелевой чугунной ВЧ (комплект)</t>
  </si>
  <si>
    <t>Лоток PolyMax Drive пластиковый с решеткой "Шина" щелевой чугунной ВЧ (комплект)</t>
  </si>
  <si>
    <t>0801034-М</t>
  </si>
  <si>
    <t>0801055-М</t>
  </si>
  <si>
    <t>0802034-М</t>
  </si>
  <si>
    <t>0802055-М</t>
  </si>
  <si>
    <t>Пескоуловитель PolyMax Drive пластиковый с решеткой щелевой чугунной ВЧ (комплект)</t>
  </si>
  <si>
    <t>Пескоуловитель PolyMax Drive пластиковый с решеткой "Шина" щелевой чугунной ВЧ (комплект)</t>
  </si>
  <si>
    <t>DRIVE DN-150</t>
  </si>
  <si>
    <t>DRIVE DN-200</t>
  </si>
  <si>
    <t>0854034-М</t>
  </si>
  <si>
    <t>08540355-М</t>
  </si>
  <si>
    <t>3.1. Системы DN 110 - НЕ КОМПЛЕКТЫ</t>
  </si>
  <si>
    <t>3.1.1 Бетон</t>
  </si>
  <si>
    <t>4140</t>
  </si>
  <si>
    <t>Лоток BetoMax ЛВ-11.19.13–Б 4140</t>
  </si>
  <si>
    <t>4150</t>
  </si>
  <si>
    <t>Лоток BetoMax ЛВ-11.19.18–Б 4150</t>
  </si>
  <si>
    <t>4100</t>
  </si>
  <si>
    <t>Лоток BetoMax ЛВ-11.19.23-Б 4100</t>
  </si>
  <si>
    <t>4180</t>
  </si>
  <si>
    <t>Пескоуловитель BetoMax ПУ-11.19.50-Б 4180</t>
  </si>
  <si>
    <t>3.1.2 Решетка</t>
  </si>
  <si>
    <t>213042</t>
  </si>
  <si>
    <t>Решетка Max РВ-11.17.50-щель-ВЧ "протектор" кл. D 213042( требуется 2 комплекта крепежа)</t>
  </si>
  <si>
    <t>21404</t>
  </si>
  <si>
    <t>Решетка Max РВ-11.17.50-яч.-ВЧ кл. D 21404</t>
  </si>
  <si>
    <t>21305</t>
  </si>
  <si>
    <t>Решетка Max РВ-11.17.50-щель-ВЧ кл. E 21305 (требуется 2 комплекта крепежа)</t>
  </si>
  <si>
    <t>21405</t>
  </si>
  <si>
    <t>Решетка Max РВ-11.17.50-яч.-ВЧ кл. E 21405 (требуется 2 комплекта крепежа)</t>
  </si>
  <si>
    <t>3.1.3 Крепежи</t>
  </si>
  <si>
    <t>12*35</t>
  </si>
  <si>
    <t>Болт М12*35 ГОСТ 7805-70</t>
  </si>
  <si>
    <t>12*557</t>
  </si>
  <si>
    <t xml:space="preserve"> Гайка М12 DIN 557 квадрат</t>
  </si>
  <si>
    <t>3.1.4 Услуги</t>
  </si>
  <si>
    <t>3.1.5 Доп. Принадлежности</t>
  </si>
  <si>
    <t>6119</t>
  </si>
  <si>
    <t>Корзина КОПУ-11.19.49-ОС 6119</t>
  </si>
  <si>
    <t>3.2. Системы DN 110 - КОМПЛЕКТЫ</t>
  </si>
  <si>
    <t>3.2.1 Бетон класс D</t>
  </si>
  <si>
    <t>04142</t>
  </si>
  <si>
    <t>Лоток BetoMax ЛВ-11.19.13-Б с РВ щель ВЧ кл.D (к-т) 04142</t>
  </si>
  <si>
    <t>04152</t>
  </si>
  <si>
    <t>Лоток BetoMax ЛВ-11.19.18-Б с РВ щель ВЧ кл.D (к-т) 04152</t>
  </si>
  <si>
    <t>04102</t>
  </si>
  <si>
    <t>Лоток BetoMax ЛВ-11.19.23-Б с РВ щель ВЧ кл.D (к-т) 04102</t>
  </si>
  <si>
    <t>04182</t>
  </si>
  <si>
    <t>Пескоуловитель BetoMax ПУ-11.19.50-Б с РВ щель ВЧ кл.D (к-т) 04182</t>
  </si>
  <si>
    <t>041444</t>
  </si>
  <si>
    <t>Лоток BetoMax ЛВ-11.19.13–Б с РВ яч. ВЧ кл.D (к-т) 041444</t>
  </si>
  <si>
    <t>041544</t>
  </si>
  <si>
    <t>Лоток BetoMax ЛВ-11.19.18-Б с РВ яч. ВЧ кл.D (к-т) 041544</t>
  </si>
  <si>
    <t>041044</t>
  </si>
  <si>
    <t>Лоток BetoMax ЛВ-11.19.23–Б с РВ яч. ВЧ кл.D (к-т) 041044</t>
  </si>
  <si>
    <t>041844</t>
  </si>
  <si>
    <t>Пескоуловитель BetoMax ПУ-11.19.50-Б с РВ яч. ВЧ кл.D (к-т) 041844</t>
  </si>
  <si>
    <t>3.2.2 Бетон класс E</t>
  </si>
  <si>
    <t>04140</t>
  </si>
  <si>
    <t>Лоток BetoMax ЛВ-11.19.13–Б с РВ щель ВЧ кл.Е (к-т) 04140</t>
  </si>
  <si>
    <t>04150</t>
  </si>
  <si>
    <t>Лоток BetoMax ЛВ-11.19.18–Б с РВ щель ВЧ кл.Е (к-т) 04150</t>
  </si>
  <si>
    <t>04100</t>
  </si>
  <si>
    <t>Лоток BetoMax ЛВ-11.19.23–Б с РВ щель ВЧ кл.Е (к-т) 04100</t>
  </si>
  <si>
    <t>04180</t>
  </si>
  <si>
    <t>Пескоуловитель BetoMax ПУ-11.19.50-Б с РВ щель ВЧ кл.Е (к-т) 04180</t>
  </si>
  <si>
    <t>04144</t>
  </si>
  <si>
    <t>Лоток BetoMax ЛВ-11.19.13–Б с РВ яч. ВЧ кл.Е (к-т) 04144</t>
  </si>
  <si>
    <t>04154</t>
  </si>
  <si>
    <t>Лоток BetoMax ЛВ-11.19.18–Б с РВ яч. ВЧ кл.Е (к-т) 04154</t>
  </si>
  <si>
    <t>04104</t>
  </si>
  <si>
    <t>Лоток BetoMax ЛВ-11.19.23–Б с РВ яч. ВЧ кл.Е (к-т) 04104</t>
  </si>
  <si>
    <t>04184</t>
  </si>
  <si>
    <t>Пескоуловитель BetoMax ПУ-11.19.50-Б с РВ яч. ВЧ кл.Е (к-т) 04184</t>
  </si>
  <si>
    <t>3.3. Системы DN 160 - НЕ КОМПЛЕКТЫ</t>
  </si>
  <si>
    <t>3.3.1 Бетон</t>
  </si>
  <si>
    <t>4340</t>
  </si>
  <si>
    <t>Лоток BetoMax ЛВ-16.25.21–Б 4340</t>
  </si>
  <si>
    <t>4350</t>
  </si>
  <si>
    <t>Лоток BetoMax ЛВ-16.25.26–Б 4350</t>
  </si>
  <si>
    <t>4300</t>
  </si>
  <si>
    <t>Лоток BetoMax ЛВ-16.25.31–Б 4300</t>
  </si>
  <si>
    <t>4380</t>
  </si>
  <si>
    <t>Пескоуловитель BetoMax ПУ–16.25.60–Б 4380</t>
  </si>
  <si>
    <t>3.3.2 Решетка</t>
  </si>
  <si>
    <t>23305</t>
  </si>
  <si>
    <t>Решетка Max РВ-16.23.50-щель-ВЧ кл.E 23305 (требуется 4 комплекта крепежа на 1 решетку)</t>
  </si>
  <si>
    <t>3.3.3 Крепежи</t>
  </si>
  <si>
    <t>12*40</t>
  </si>
  <si>
    <t xml:space="preserve"> Болт М12*40  ГОСТ 7805-70</t>
  </si>
  <si>
    <t>Гайка М12 DIN 557 квадрат</t>
  </si>
  <si>
    <t>3.3.4 Услуги</t>
  </si>
  <si>
    <t>Услуга Оснащения Вертикальным выпуском 
(по умолчанию устанавливается труба Ду 160)</t>
  </si>
  <si>
    <t>3.3.5 Доп. Принадлежности</t>
  </si>
  <si>
    <t>6139</t>
  </si>
  <si>
    <t>Корзина КОПУ-16.25.60-ОС 6139</t>
  </si>
  <si>
    <t>3.4. Системы DN 160 - КОМПЛЕКТЫ</t>
  </si>
  <si>
    <t>3.4.1 Бетон класс Е</t>
  </si>
  <si>
    <t>04340</t>
  </si>
  <si>
    <t>Лоток BetoMax ЛВ-16.25.21–Б с РВ щель ВЧ кл.Е (к-т) 04340</t>
  </si>
  <si>
    <t>04350</t>
  </si>
  <si>
    <t>Лоток BetoMax ЛВ-16.25.26–Б с РВ щель ВЧ кл.Е (к-т) 04350</t>
  </si>
  <si>
    <t>04300</t>
  </si>
  <si>
    <t>Лоток BetoMax ЛВ-16.25.31–Б с РВ щель ВЧ кл.Е (к-т) 04300</t>
  </si>
  <si>
    <t>04380</t>
  </si>
  <si>
    <t>Пескоуловитель BetoMax ПУ–16.25.60–Б с РВ щель ВЧ кл.Е (к-т) 04380</t>
  </si>
  <si>
    <t>3.5. Системы DN 200 - НЕ КОМПЛЕКТЫ</t>
  </si>
  <si>
    <t>3.5.1 Бетон</t>
  </si>
  <si>
    <t>4540</t>
  </si>
  <si>
    <t>Лоток BetoMax ЛВ-20.29.23–Б 4540</t>
  </si>
  <si>
    <t>F900</t>
  </si>
  <si>
    <t>4550</t>
  </si>
  <si>
    <t>Лоток BetoMax ЛВ-20.29.28–Б 4550</t>
  </si>
  <si>
    <t>4500</t>
  </si>
  <si>
    <t>Лоток BetoMax ЛВ-20.29.33–Б 4500</t>
  </si>
  <si>
    <t>4560</t>
  </si>
  <si>
    <t>Лоток BetoMax ЛВ-20.29.43–Б 4560</t>
  </si>
  <si>
    <t>4580</t>
  </si>
  <si>
    <t>Пескоуловитель BetoMax ПУ-20.29.60-Б 4580</t>
  </si>
  <si>
    <t>4580/1</t>
  </si>
  <si>
    <t>Пескоуловитель секционный BetoMax ПУ-20.29.60-Б-В 4580/1</t>
  </si>
  <si>
    <t>4580/2</t>
  </si>
  <si>
    <t>Пескоуловитель секционный BetoMax ПУ-20.29.60-Б-С 4580/2</t>
  </si>
  <si>
    <t>4580/3</t>
  </si>
  <si>
    <t>Пескоуловитель секционный BetoMax ПУ-20.29.60-Б-Н 4580/3</t>
  </si>
  <si>
    <t>3.5.2 Решетка</t>
  </si>
  <si>
    <t>25404</t>
  </si>
  <si>
    <t>Решетка Max РВ-20.27.50-ячейка-ВЧ кл. D 25404 (требуется 4 комплекта крепежа)</t>
  </si>
  <si>
    <t>25305</t>
  </si>
  <si>
    <t>Решетка Max РВ-20.27.50-щель-ВЧ кл.E 25305 (требуется 4 комплекта крепежа)</t>
  </si>
  <si>
    <t>3.5.3 Крепежи</t>
  </si>
  <si>
    <t>М12*40</t>
  </si>
  <si>
    <t>Болт М12*40  ГОСТ 7805-70</t>
  </si>
  <si>
    <t>М12*557</t>
  </si>
  <si>
    <t>3.5.4 Услуги</t>
  </si>
  <si>
    <t>Услуга Оснащения Вертикальным выпуском в 
(по умолчанию устанавливается труба Ду 200)</t>
  </si>
  <si>
    <t>3.5.5 Доп. Принадлежности</t>
  </si>
  <si>
    <t>6159</t>
  </si>
  <si>
    <t>Корзина КОПУ-20.29.60-ОС 6159</t>
  </si>
  <si>
    <t>3.6. Системы DN 200 - КОМПЛЕКТЫ</t>
  </si>
  <si>
    <t>3.6.1 Бетон класс D</t>
  </si>
  <si>
    <t>045444</t>
  </si>
  <si>
    <t>Лоток BetoMax ЛВ-20.29.23–Б с РВ ячейка ВЧ кл.D (к-т) 045444</t>
  </si>
  <si>
    <t>045544</t>
  </si>
  <si>
    <t>Лоток BetoMax ЛВ-20.29.28–Б с РВ ячейка ВЧ кл.D (к-т) 045544</t>
  </si>
  <si>
    <t>045044</t>
  </si>
  <si>
    <t>Лоток BetoMax ЛВ-20.29.33–Б с РВ яч. ВЧ кл.D (к-т) 045044</t>
  </si>
  <si>
    <t>045644</t>
  </si>
  <si>
    <t>Лоток BetoMax ЛВ-20.29.43–Б  с РВ яч. ВЧ кл.D (к-т) 045644</t>
  </si>
  <si>
    <t>045844</t>
  </si>
  <si>
    <t>Пескоуловитель BetoMax ПУ-20.29.60-Б с РВ ячейка ВЧ кл.D (к-т) 045844</t>
  </si>
  <si>
    <t>3.6.2 Бетон класс E</t>
  </si>
  <si>
    <t>04540</t>
  </si>
  <si>
    <t>Лоток BetoMax ЛВ-20.29.23–Б с РВ щель ВЧ кл.Е (к-т) 04540</t>
  </si>
  <si>
    <t>04550</t>
  </si>
  <si>
    <t>Лоток BetoMax ЛВ-20.29.28–Б с РВ щель ВЧ кл.Е (к-т) 04550</t>
  </si>
  <si>
    <t>04500</t>
  </si>
  <si>
    <t>Лоток BetoMax ЛВ-20.29.33–Б с РВ щель ВЧ кл.Е (к-т) 04500</t>
  </si>
  <si>
    <t>04560</t>
  </si>
  <si>
    <t>Лоток BetoMax ЛВ-20.29.43–Б  с РВ щель ВЧ кл.Е (комплект) 04560</t>
  </si>
  <si>
    <t>04580</t>
  </si>
  <si>
    <t>Пескоуловитель BetoMax ПУ-20.29.60-Б с РВ щель ВЧ кл.Е (к-т) 04580</t>
  </si>
  <si>
    <t>3.7. Системы DN 300 - НЕ КОМПЛЕКТЫ</t>
  </si>
  <si>
    <t>3.7.1 Бетон</t>
  </si>
  <si>
    <t>4740</t>
  </si>
  <si>
    <t>Лоток BetoMax ЛВ-30.38.31-Б 4740</t>
  </si>
  <si>
    <t>4750</t>
  </si>
  <si>
    <t>Лоток BetoMax ЛВ-30.38.36-Б 4750</t>
  </si>
  <si>
    <t>4700</t>
  </si>
  <si>
    <t>Лоток BetoMax ЛВ-30.38.41-Б 4700</t>
  </si>
  <si>
    <t>4760</t>
  </si>
  <si>
    <t>Лоток BetoMax ЛВ-30.38.61-Б 4760</t>
  </si>
  <si>
    <t>4770/1</t>
  </si>
  <si>
    <t>Дождеприемный колодец BetoMax ДК–30.38.44–Б–В 4770/1</t>
  </si>
  <si>
    <t>4770/2</t>
  </si>
  <si>
    <t>Дождеприемный колодец BetoMax ДК–30.38.44–Б–С 4770/2</t>
  </si>
  <si>
    <t>4770/3</t>
  </si>
  <si>
    <t>Дождеприемный колодец BetoMax ДК–30.38.44–Б–Н 4770/3</t>
  </si>
  <si>
    <t>4780</t>
  </si>
  <si>
    <t>Пескоуловитель BetoMax ПУ-30.39.95-Б 4780</t>
  </si>
  <si>
    <t>4780/1</t>
  </si>
  <si>
    <t>Пескоуловитель секционный  BetoMax ПУС-30.39.95-Б-В бетонный 4780/1</t>
  </si>
  <si>
    <t>4780/3</t>
  </si>
  <si>
    <t>Пескоуловитель секционный  BetoMax ПУС-30.39.95-Б-Н бетонный 4780/3</t>
  </si>
  <si>
    <t>3.7.2 Решетка</t>
  </si>
  <si>
    <t>27305</t>
  </si>
  <si>
    <t>Решетка Max РВ-30.37.50-щель-ВЧ кл.E 27305 (требуется 4 комплекта крепежа)</t>
  </si>
  <si>
    <t>273041</t>
  </si>
  <si>
    <t>Решетка РВ-30.37.50-щель-дорожная-ВЧ кл. D 273041 (требуется 4 комплекта крепежа)</t>
  </si>
  <si>
    <t>3.7.3 Крепежи</t>
  </si>
  <si>
    <t>3.7.4 Услуги</t>
  </si>
  <si>
    <t>Услуга Оснащения Вертикальным выпуском в 
(по умолчанию устанавливается труба Ду 250)</t>
  </si>
  <si>
    <t>3.7.5 Доп. Принадлежности</t>
  </si>
  <si>
    <t>6179</t>
  </si>
  <si>
    <t>Корзина КОДК-30.38.44-ОС 6179</t>
  </si>
  <si>
    <t>3.8. Системы DN 300 - КОМПЛЕКТЫ</t>
  </si>
  <si>
    <t xml:space="preserve">3.8.1 Бетон класс D       
</t>
  </si>
  <si>
    <t>Лоток BetoMax ЛВ-30.38.31–Б с РВ щель ВЧД кл.D (к-т) 047414</t>
  </si>
  <si>
    <t>Лоток BetoMax ЛВ-30.38.36-Б с РВ щель ВЧД кл. D (к-т) 047514</t>
  </si>
  <si>
    <t>Лоток BetoMax ЛВ-30.38.41-Б с РВ щель ВЧД кл. D (к-т) 047014</t>
  </si>
  <si>
    <t>Лоток BetoMax ЛВ-30.38.61–Б с РВ щель ВЧД кл. D (к-т) 047614</t>
  </si>
  <si>
    <t>047714/1</t>
  </si>
  <si>
    <t>Дождеприемный колодец BetoMax ДК–30.38.44–Б–В с РВ щель ВЧД кл.D (к-т) 047714/1</t>
  </si>
  <si>
    <t>Пескоуловитель BetoMax ПУ-30.39.95-Б с РВ щель ВЧД кл.D (к-т) 047814</t>
  </si>
  <si>
    <t>047814/1</t>
  </si>
  <si>
    <t>Пескоуловитель секционный BetoMax ПУС-30.39.95-Б-В с РВ щель ВЧД кл.D (к-т) 047814/1</t>
  </si>
  <si>
    <t>3.8.2 Бетон класс E</t>
  </si>
  <si>
    <t>04740</t>
  </si>
  <si>
    <t>Лоток BetoMax ЛВ-30.38.31–Б с РВ щель ВЧ кл.Е (к-т) 04740</t>
  </si>
  <si>
    <t>04750</t>
  </si>
  <si>
    <t>Лоток BetoMax ЛВ-30.38.36–Б с РВ щель ВЧ кл.Е (к-т) 04750</t>
  </si>
  <si>
    <t>04700</t>
  </si>
  <si>
    <t>Лоток BetoMax ЛВ-30.38.41–Б с РВ щель ВЧ кл.Е (к-т) 04700</t>
  </si>
  <si>
    <t>04760</t>
  </si>
  <si>
    <t>Лоток BetoMax ЛВ-30.38.61–Б с РВ щель ВЧ кл.Е (к-т) 04760</t>
  </si>
  <si>
    <t>04770/1</t>
  </si>
  <si>
    <t>Дождеприемный колодец BetoMax ДК–30.38.44–Б–В с РВ щель ВЧ кл.Е (к-т) 04770/1</t>
  </si>
  <si>
    <t>04780</t>
  </si>
  <si>
    <t>Пескоуловитель BetoMax ПУ-30.39.95-Б с РВ щель ВЧ кл.Е (к-т) 04780</t>
  </si>
  <si>
    <t>04780/1</t>
  </si>
  <si>
    <t>Пескоуловитель секционный  BetoMax ПУС-30.39.95-Б-В бетонный с РВ щель ВЧ кл.Е (к-т) 04780/1</t>
  </si>
  <si>
    <t>3.9. Системы DN 400 - НЕ КОМПЛЕКТЫ</t>
  </si>
  <si>
    <t>3.9.1 Бетон</t>
  </si>
  <si>
    <t>4840</t>
  </si>
  <si>
    <t>Лоток  BetoMax ЛВ-40.52.41-Б 4840</t>
  </si>
  <si>
    <t>4850</t>
  </si>
  <si>
    <t>Лоток BetoMax ЛВ-40.52.46–Б 4850</t>
  </si>
  <si>
    <t>4800</t>
  </si>
  <si>
    <t>Лоток BetoMax ЛВ-40.52.51–Б 4800</t>
  </si>
  <si>
    <t>4860</t>
  </si>
  <si>
    <t>Лоток BetoMax ЛВ-40.52.61–Б 4860</t>
  </si>
  <si>
    <t>4880</t>
  </si>
  <si>
    <t>Пескоуловитель BetoMax ПУ-40.52.95-Б 4880</t>
  </si>
  <si>
    <t>4880/1</t>
  </si>
  <si>
    <t>Пескоуловитель секционный BetoMax ПУС-40-52-95-Б-В 4880/1</t>
  </si>
  <si>
    <t>4880/3</t>
  </si>
  <si>
    <t>Пескоуловитель секционный BetoMax ПУС-40-52-95-Б-Н 4880/3</t>
  </si>
  <si>
    <t>4870</t>
  </si>
  <si>
    <t>Дождеприемник BetoMax ДП-40.52.95-Б 4870</t>
  </si>
  <si>
    <t>4870/1</t>
  </si>
  <si>
    <t>Дождеприемный колодец BetoMax ДК-40.52.95-Б-В 4870/1</t>
  </si>
  <si>
    <t>4870/3</t>
  </si>
  <si>
    <t>Дождеприемный колодец BetoMax ДК-40.52.95-Б-Н 4870/3</t>
  </si>
  <si>
    <t>3.9.2 Решетка</t>
  </si>
  <si>
    <t>28305</t>
  </si>
  <si>
    <t>Решетка Max РВ-40.51.50-щель-ВЧ кл.E 28305 (требуется 4 комплекта крепежа на 1 решетку)</t>
  </si>
  <si>
    <t>Е600</t>
  </si>
  <si>
    <t>3.9.3 Крепежи</t>
  </si>
  <si>
    <t>3.9.4 Услуги</t>
  </si>
  <si>
    <t>Услуга Оснащения Вертикальным выпуском
(по умолчанию устанавливается труба Ду 315)</t>
  </si>
  <si>
    <t>3.9.5 Доп. Принадлежности</t>
  </si>
  <si>
    <t>6181-4Б</t>
  </si>
  <si>
    <t>Заглушка ЗЛВ-40.52.41-Б-ОС 6181-4Б</t>
  </si>
  <si>
    <t>6181-409Б</t>
  </si>
  <si>
    <t>Заглушка ЗЛВ-40.52.41-Б-ОС с водоотводом 6181-409Б</t>
  </si>
  <si>
    <t>6181-5Б</t>
  </si>
  <si>
    <t>Заглушка ЗЛВ-40.52.46-Б-ОС 6181-5Б</t>
  </si>
  <si>
    <t>6181-509Б</t>
  </si>
  <si>
    <t>Заглушка ЗЛВ-40.52.46-Б-ОС с водоотводом 6181-509Б</t>
  </si>
  <si>
    <t>6181-Б</t>
  </si>
  <si>
    <t>Заглушка ЗЛВ-40.52.51-Б-ОС 6181-Б</t>
  </si>
  <si>
    <t>6181-09Б</t>
  </si>
  <si>
    <t>Заглушка ЗЛВ-40.52.51-Б-ОС с водоотводом 6181-09Б</t>
  </si>
  <si>
    <t>6181-6Б</t>
  </si>
  <si>
    <t>Заглушка ЗЛВ-40.52.61-Б-ОС 6181-6Б</t>
  </si>
  <si>
    <t>6181-609Б</t>
  </si>
  <si>
    <t>Заглушка ЗЛВ-40.52.61-Б-ОС с водоотводом 6181-609Б</t>
  </si>
  <si>
    <t>3.10. Системы DN 400 - КОМПЛЕКТЫ</t>
  </si>
  <si>
    <t>3.10.1 Бетон класс Е</t>
  </si>
  <si>
    <t>04840</t>
  </si>
  <si>
    <t>Лоток BetoMax ЛВ-40.52.41–Б с РВ щель ВЧ кл.Е (к-т) 04840</t>
  </si>
  <si>
    <t>04850</t>
  </si>
  <si>
    <t>Лоток BetoMax ЛВ-40.52.46–Б с РВ щель ВЧ кл.Е (к-т) 04850</t>
  </si>
  <si>
    <t>04800</t>
  </si>
  <si>
    <t>Лоток BetoMax ЛВ-40.52.51-Б с РВ щель ВЧ кл.Е (к-т) 04800</t>
  </si>
  <si>
    <t>04860</t>
  </si>
  <si>
    <t>Лоток BetoMax ЛВ-40.52.61–Б с РВ щель ВЧ кл.E(к-т) 04860</t>
  </si>
  <si>
    <t>04880/1</t>
  </si>
  <si>
    <t>Пескоуловитель секционный BetoMax ПУС-40-52-95 Б-В с РВ щель ВЧ кл. Е(к-т) 04880/1</t>
  </si>
  <si>
    <t>04870</t>
  </si>
  <si>
    <t>Дождеприемник BetoMax ДП-40.52.95-Б с РВ щель ВЧ кл.Е (к-т) 04870</t>
  </si>
  <si>
    <t>04870/1</t>
  </si>
  <si>
    <t>Дождеприемный колодец BetoMax ДК-40.52.95-Б-В с РВ щель ВЧ кл.Е (к-т) 04870/1</t>
  </si>
  <si>
    <t>3.11. Системы DN 500 - НЕ КОМПЛЕКТЫ</t>
  </si>
  <si>
    <t>3.11.1 Бетон</t>
  </si>
  <si>
    <t>4940</t>
  </si>
  <si>
    <t>Лоток BetoMax ЛВ-50.64.51–Б 4940</t>
  </si>
  <si>
    <t>4950</t>
  </si>
  <si>
    <t>Лоток BetoMax ЛВ-50.64.56–Б 4950</t>
  </si>
  <si>
    <t>4900</t>
  </si>
  <si>
    <t>Лоток BetoMax ЛВ-50.64.61–Б 4900</t>
  </si>
  <si>
    <t>4970/1</t>
  </si>
  <si>
    <t>Дождеприемный колодец BetoMax ДК-50.64.65-Б-В 4970/1</t>
  </si>
  <si>
    <t>4970/2</t>
  </si>
  <si>
    <t>Дождеприемный колодец BetoMax ДК-50.64.65-Б-С 4970/2</t>
  </si>
  <si>
    <t>4970/3</t>
  </si>
  <si>
    <t>Дождеприемный колодец BetoMax ДК-50.64.65-Б-Н 4970/3</t>
  </si>
  <si>
    <t>3.11.2 Решетка</t>
  </si>
  <si>
    <t>29305</t>
  </si>
  <si>
    <t>Решетка Max РВ-50.63.50-щель-ВЧ кл.E 29305 (требуется 4 комплекта крепежа на 1 решетку)</t>
  </si>
  <si>
    <t>3.11.3 Крепежи</t>
  </si>
  <si>
    <t>М12*55</t>
  </si>
  <si>
    <t>Болт М12*55 ГОСТ 7805-70</t>
  </si>
  <si>
    <t>3.11.4 Услуги</t>
  </si>
  <si>
    <t>Услуга Оснащения Вертикальным выпуском
(по умолчанию устанавливается труба Ду 400)</t>
  </si>
  <si>
    <t>3.12. Системы DN 500 - КОМПЛЕКТЫ</t>
  </si>
  <si>
    <t>3.12.1 Бетон класс Е</t>
  </si>
  <si>
    <t>04940</t>
  </si>
  <si>
    <t>Лоток BetoMax ЛВ-50.64.51–Б с РВ щель ВЧ кл.Е 04940</t>
  </si>
  <si>
    <t>04950</t>
  </si>
  <si>
    <t>Лоток BetoMax ЛВ-50.64.56–Б с РВ щель ВЧ кл.Е (к-т) 04950</t>
  </si>
  <si>
    <t>04900</t>
  </si>
  <si>
    <t>Лоток BetoMax ЛВ-50.64.61–Б с РВ щель ВЧ кл.Е (к-т) 04900</t>
  </si>
  <si>
    <t>04970/1</t>
  </si>
  <si>
    <t>Дождеприемный колодец BetoMax ДК–50.64.65–Б–В с РВ щель ВЧ кл.Е (к-т) 04970/1</t>
  </si>
  <si>
    <t>3.1.1 Полимербетон</t>
  </si>
  <si>
    <t>7100</t>
  </si>
  <si>
    <t>Лоток CompoMax ЛВ-11.19.23–П 7100</t>
  </si>
  <si>
    <t>7180</t>
  </si>
  <si>
    <t>Пескоуловитель CompoMax ПУ-11.19.49-П 7180</t>
  </si>
  <si>
    <t>E 602</t>
  </si>
  <si>
    <t>Услуга Оснащения Вертикальным выпуском в СП-Тула
(по умолчанию устанавливается труба Ду 110)</t>
  </si>
  <si>
    <t>Заглушка ЗЛВ-11.19.23-П-П 6711</t>
  </si>
  <si>
    <t>3.2.1 Полимербетон класс D</t>
  </si>
  <si>
    <t>07102</t>
  </si>
  <si>
    <t>Лоток CompoMax ЛВ-11.19.23-П с РВ щель ВЧ кл.D (к-т) 07102</t>
  </si>
  <si>
    <t>07182</t>
  </si>
  <si>
    <t>Пескоуловитель CompoMax ПУ-11.19.50-П с РВ щель ВЧ кл.D (к-т) 07182</t>
  </si>
  <si>
    <t>3.2.2 Полимербетон класс E</t>
  </si>
  <si>
    <t>07100</t>
  </si>
  <si>
    <t>Лоток CompoMax ЛВ-11.19.23–П с РВ щель ВЧ кл.Е (к-т) 07100</t>
  </si>
  <si>
    <t>07180</t>
  </si>
  <si>
    <t>Пескоуловитель CompoMax ПУ-11.19.49-П с РВ щель ВЧ кл.Е 07180 (к-т)</t>
  </si>
  <si>
    <t>07104</t>
  </si>
  <si>
    <t>Лоток CompoMax ЛВ-11.19.23–П с РВ яч. ВЧ кл.Е (к-т) 07104</t>
  </si>
  <si>
    <t>07184</t>
  </si>
  <si>
    <t>Пескоуловитель CompoMax ПУ-11.19.50-П с РВ яч. ВЧ кл.E (к-т) 07184</t>
  </si>
  <si>
    <t>3.3.1 Полимербетон</t>
  </si>
  <si>
    <t>7300</t>
  </si>
  <si>
    <t>Лоток CompoMax ЛВ-16.25.31–П 7300</t>
  </si>
  <si>
    <t>7380</t>
  </si>
  <si>
    <t>Пескоуловитель CompoMax ПУ–16.25.60–П 7380</t>
  </si>
  <si>
    <t>Решетка Max РВ-16.23.50-щель-ВЧ кл.E 23305</t>
  </si>
  <si>
    <t>23306</t>
  </si>
  <si>
    <t>Решетка Max РВ-16.23.50-щель-ВЧ кл.F 23306</t>
  </si>
  <si>
    <t>60</t>
  </si>
  <si>
    <t>10,660</t>
  </si>
  <si>
    <t>98</t>
  </si>
  <si>
    <t>Услуга Оснащения Вертикальным выпуском в СП-Тула
(по умолчанию устанавливается труба Ду 160)</t>
  </si>
  <si>
    <t>3.3.5 Доп принадлежности</t>
  </si>
  <si>
    <t>Заглушка ЗЛВ-16.25.31-П-П 6731</t>
  </si>
  <si>
    <t>3.4.1 Полимербетон класс Е</t>
  </si>
  <si>
    <t>07300</t>
  </si>
  <si>
    <t>Лоток CompoMax ЛВ-16.25.31–П с РВ щель ВЧ кл.Е (к-т) 07300</t>
  </si>
  <si>
    <t>07380</t>
  </si>
  <si>
    <t>Пескоуловитель CompoMax ПУ-16.25.60-П с РВ щель ВЧ кл.Е (к-т) 07380</t>
  </si>
  <si>
    <t>3.5.1 Полимербетон</t>
  </si>
  <si>
    <t>7500</t>
  </si>
  <si>
    <t>Лоток CompoMax ЛВ-20.29.33-П 7500</t>
  </si>
  <si>
    <t>7580</t>
  </si>
  <si>
    <t>Пескоуловитель CompoMax ПУ-20.29.60-П 7580</t>
  </si>
  <si>
    <t>7580/1</t>
  </si>
  <si>
    <t>Пескоуловитель секционный CompoMax ПУ-20.29.60-П-В 7580/1</t>
  </si>
  <si>
    <t>7580/2</t>
  </si>
  <si>
    <t>Пескоуловитель секционный CompoMax ПУ-20.29.60-П-С 7580/2</t>
  </si>
  <si>
    <t>7580/3</t>
  </si>
  <si>
    <t>Пескоуловитель секционный CompoMax ПУ-20.29.60-П-Н 7580/3</t>
  </si>
  <si>
    <t>253042</t>
  </si>
  <si>
    <t>Решетка Max РВ-20.27.50-щель-ВЧ"протектор", кл.D 253042</t>
  </si>
  <si>
    <t>253051</t>
  </si>
  <si>
    <t>Решетка РВ-20.27.50-щель-дорожная-ВЧ кл. Е 253051</t>
  </si>
  <si>
    <t>Услуга Оснащения Вертикальным выпуском в СП-Тула
(по умолчанию устанавливается труба Ду 200)</t>
  </si>
  <si>
    <t>Заглушка ЗЛВ-20.29.33-П-П 6751</t>
  </si>
  <si>
    <t>3.6.1 Полимербетон класс D</t>
  </si>
  <si>
    <t>075044</t>
  </si>
  <si>
    <t>Лоток CompoMax ЛВ-20.29.33-П с РВ ячейка ВЧ кл.D(к-т) 075044</t>
  </si>
  <si>
    <t>075844</t>
  </si>
  <si>
    <t>Пескоуловитель CompoMax ПУ-20.29.60-П с РВ яч. ВЧ кл.D  (к-т) 075844</t>
  </si>
  <si>
    <t>075844/1</t>
  </si>
  <si>
    <t>Пескоуловитель секционный CompoMax ПУС-20.29.60-П-В с РВ яч. ВЧ кл.D (к-т) 075844/1</t>
  </si>
  <si>
    <t>3.6.2 Полимербетон класс E</t>
  </si>
  <si>
    <t>07500</t>
  </si>
  <si>
    <t>Лоток CompoMax ЛВ-20.29.33-П с РВ щель ВЧ кл.Е (к-т) 07500</t>
  </si>
  <si>
    <t>07580</t>
  </si>
  <si>
    <t>Пескоуловитель CompoMax ПУ-20.29.60-П с РВ щель ВЧ кл.Е (к-т) 07580</t>
  </si>
  <si>
    <t>07580/1</t>
  </si>
  <si>
    <t>Пескоуловитель секционный CompoMax ПУС-20.29.60-П-В с РВ щель ВЧ кл.Е (к-т) 07580/1</t>
  </si>
  <si>
    <t>3.7.1 Полимербетон</t>
  </si>
  <si>
    <t>7700</t>
  </si>
  <si>
    <t>Лоток CompoMax ЛВ-30.38.41-П 7700</t>
  </si>
  <si>
    <t>7770/1</t>
  </si>
  <si>
    <t>Дождеприемный колодец CompoMax ДК-30.38.44-П-В 7770/1</t>
  </si>
  <si>
    <t>7770/2</t>
  </si>
  <si>
    <t>Дождеприемный колодец CompoMax ДК-30.38.44-П-С 7770/2</t>
  </si>
  <si>
    <t>7770/3</t>
  </si>
  <si>
    <t>Дождеприемный колодец CompoMax ДК-30.38.44-П-Н 7770/3</t>
  </si>
  <si>
    <t>Решетка РВ-30.37.50-щель-дорожная-ВЧ кл. D 273041</t>
  </si>
  <si>
    <t>Услуга Оснащения Вертикальным выпуском в СП-Тула
(по умолчанию устанавливается труба Ду 250)</t>
  </si>
  <si>
    <t>Заглушка ЗЛВ-30.38.41-П-П 6771</t>
  </si>
  <si>
    <t>3.8.1 Полимербетон класс D</t>
  </si>
  <si>
    <t>077014</t>
  </si>
  <si>
    <t>Лоток CompoMax ЛВ-30.38.41-П с РВ щель ВЧД кл.D (к-т) 077014</t>
  </si>
  <si>
    <t>077714/1</t>
  </si>
  <si>
    <t>Дождеприемный колодец CompoMax ДК-30.38.44-П-В с РВ щель ВЧД кл.D (к-т) 077714/1</t>
  </si>
  <si>
    <t>3.8.2 Полимербетон класс Е</t>
  </si>
  <si>
    <t>077015</t>
  </si>
  <si>
    <t>Лоток CompoMax ЛВ-30.38.41-П с РВ щель ВЧД кл.E (к-т) 077015</t>
  </si>
  <si>
    <t>077715/1</t>
  </si>
  <si>
    <t>Дождеприемный колодец CompoMax ДК-30.38.44-П-В с РВ щель ВЧД кл.E (к-т) 077715/1</t>
  </si>
  <si>
    <t>07700</t>
  </si>
  <si>
    <t>Лоток CompoMax ЛВ-30.38.41-П с РВ щель ВЧ кл.E (к-т) 07700</t>
  </si>
  <si>
    <t>07770/1</t>
  </si>
  <si>
    <t>Дождеприемный колодец CompoMax ДК-30.38.44-П-В с РВ щель ВЧ кл.Е (к-т) 07770/1</t>
  </si>
  <si>
    <t>Дилерская цена руб с ндс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</si>
</sst>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&quot;р.&quot;"/>
    <numFmt numFmtId="165" formatCode="0.0"/>
    <numFmt numFmtId="166" formatCode="#,##0_ ;[Red]\-#,##0\ "/>
    <numFmt numFmtId="167" formatCode="0%;[Red]\-0%"/>
    <numFmt numFmtId="168" formatCode="000000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rgb="FF444444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name val="Arial"/>
      <family val="2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 tint="4.9989318521683403E-2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sz val="20"/>
      <color theme="0"/>
      <name val="Arial Cyr"/>
      <charset val="204"/>
    </font>
    <font>
      <b/>
      <sz val="16"/>
      <name val="Arial Cyr"/>
      <family val="2"/>
      <charset val="204"/>
    </font>
    <font>
      <b/>
      <sz val="14"/>
      <color theme="0"/>
      <name val="Arial Cyr"/>
      <family val="2"/>
      <charset val="204"/>
    </font>
    <font>
      <b/>
      <sz val="20"/>
      <color indexed="9"/>
      <name val="Arial Cyr"/>
      <charset val="204"/>
    </font>
    <font>
      <b/>
      <sz val="14"/>
      <color indexed="9"/>
      <name val="Arial Cyr"/>
      <family val="2"/>
      <charset val="204"/>
    </font>
    <font>
      <sz val="14"/>
      <name val="Arial Cyr"/>
      <charset val="204"/>
    </font>
    <font>
      <b/>
      <sz val="16"/>
      <color theme="0"/>
      <name val="Arial Cyr"/>
      <charset val="204"/>
    </font>
    <font>
      <sz val="14"/>
      <name val="Arial Cyr"/>
      <family val="2"/>
      <charset val="204"/>
    </font>
    <font>
      <b/>
      <sz val="14"/>
      <color theme="0"/>
      <name val="Arial"/>
      <family val="2"/>
      <charset val="204"/>
    </font>
    <font>
      <sz val="14"/>
      <color indexed="8"/>
      <name val="Arial"/>
      <family val="2"/>
      <charset val="204"/>
    </font>
    <font>
      <sz val="8"/>
      <name val="Arial"/>
      <family val="2"/>
      <charset val="204"/>
    </font>
    <font>
      <sz val="10.5"/>
      <name val="Calibri"/>
      <family val="2"/>
      <charset val="204"/>
      <scheme val="minor"/>
    </font>
    <font>
      <sz val="14"/>
      <name val="Arial"/>
      <family val="2"/>
      <charset val="204"/>
    </font>
    <font>
      <b/>
      <sz val="14"/>
      <name val="Arial Cyr"/>
      <charset val="204"/>
    </font>
    <font>
      <b/>
      <sz val="14"/>
      <color theme="1"/>
      <name val="Arial Cyr"/>
      <family val="2"/>
      <charset val="204"/>
    </font>
    <font>
      <b/>
      <sz val="14"/>
      <color theme="1"/>
      <name val="Arial"/>
      <family val="2"/>
      <charset val="204"/>
    </font>
    <font>
      <b/>
      <sz val="14"/>
      <name val="Arial Cyr"/>
      <family val="2"/>
      <charset val="204"/>
    </font>
    <font>
      <b/>
      <sz val="14"/>
      <color indexed="8"/>
      <name val="Arial"/>
      <family val="2"/>
      <charset val="204"/>
    </font>
    <font>
      <b/>
      <sz val="14"/>
      <name val="Arial"/>
      <family val="2"/>
      <charset val="204"/>
    </font>
    <font>
      <b/>
      <sz val="14"/>
      <color theme="0"/>
      <name val="Arial Cyr"/>
      <charset val="204"/>
    </font>
    <font>
      <b/>
      <sz val="14"/>
      <color indexed="9"/>
      <name val="Arial Cyr"/>
      <charset val="204"/>
    </font>
    <font>
      <sz val="14"/>
      <color theme="1"/>
      <name val="Arial Cyr"/>
      <charset val="204"/>
    </font>
    <font>
      <b/>
      <sz val="18"/>
      <color indexed="9"/>
      <name val="Arial Cyr"/>
      <charset val="204"/>
    </font>
    <font>
      <sz val="20"/>
      <name val="Arial Cyr"/>
      <charset val="204"/>
    </font>
    <font>
      <sz val="8"/>
      <name val="Arial Cyr"/>
      <charset val="204"/>
    </font>
    <font>
      <b/>
      <sz val="16"/>
      <color theme="1"/>
      <name val="Calibri"/>
      <family val="2"/>
      <charset val="204"/>
      <scheme val="minor"/>
    </font>
    <font>
      <sz val="16"/>
      <color theme="1"/>
      <name val="Arial Cyr"/>
      <charset val="204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color indexed="8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name val="Arial Cyr"/>
      <charset val="204"/>
    </font>
    <font>
      <b/>
      <sz val="12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7F1A8"/>
        <bgColor indexed="64"/>
      </patternFill>
    </fill>
    <fill>
      <patternFill patternType="solid">
        <fgColor rgb="FFF9CC95"/>
        <bgColor indexed="64"/>
      </patternFill>
    </fill>
    <fill>
      <patternFill patternType="solid">
        <fgColor rgb="FF007000"/>
        <bgColor indexed="64"/>
      </patternFill>
    </fill>
    <fill>
      <patternFill patternType="solid">
        <fgColor rgb="FF51A200"/>
        <bgColor indexed="64"/>
      </patternFill>
    </fill>
    <fill>
      <patternFill patternType="solid">
        <fgColor rgb="FFB2CB7F"/>
        <bgColor indexed="64"/>
      </patternFill>
    </fill>
    <fill>
      <patternFill patternType="solid">
        <fgColor rgb="FFAEFF5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5">
    <xf numFmtId="0" fontId="0" fillId="0" borderId="0"/>
    <xf numFmtId="0" fontId="7" fillId="0" borderId="0"/>
    <xf numFmtId="0" fontId="2" fillId="0" borderId="0"/>
    <xf numFmtId="0" fontId="7" fillId="0" borderId="0"/>
    <xf numFmtId="0" fontId="13" fillId="0" borderId="0"/>
    <xf numFmtId="0" fontId="18" fillId="0" borderId="0"/>
    <xf numFmtId="0" fontId="31" fillId="0" borderId="0">
      <alignment horizontal="left"/>
    </xf>
    <xf numFmtId="0" fontId="31" fillId="0" borderId="0">
      <alignment horizontal="left"/>
    </xf>
    <xf numFmtId="0" fontId="1" fillId="0" borderId="0"/>
    <xf numFmtId="0" fontId="2" fillId="0" borderId="0"/>
    <xf numFmtId="9" fontId="18" fillId="0" borderId="0" applyFont="0" applyFill="0" applyBorder="0" applyAlignment="0" applyProtection="0"/>
    <xf numFmtId="0" fontId="2" fillId="0" borderId="0"/>
    <xf numFmtId="0" fontId="51" fillId="0" borderId="0"/>
    <xf numFmtId="0" fontId="51" fillId="0" borderId="0"/>
    <xf numFmtId="0" fontId="51" fillId="0" borderId="0"/>
  </cellStyleXfs>
  <cellXfs count="613">
    <xf numFmtId="0" fontId="0" fillId="0" borderId="0" xfId="0"/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 wrapText="1"/>
    </xf>
    <xf numFmtId="2" fontId="3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2" fontId="6" fillId="0" borderId="0" xfId="0" applyNumberFormat="1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5" fillId="2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center" vertical="center" wrapText="1"/>
    </xf>
    <xf numFmtId="2" fontId="3" fillId="2" borderId="1" xfId="0" applyNumberFormat="1" applyFont="1" applyFill="1" applyBorder="1" applyAlignment="1" applyProtection="1">
      <alignment horizontal="center" vertical="center" wrapText="1"/>
    </xf>
    <xf numFmtId="2" fontId="3" fillId="3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3" fillId="0" borderId="1" xfId="0" applyFont="1" applyBorder="1" applyAlignment="1" applyProtection="1">
      <alignment horizontal="center" vertical="center" wrapText="1"/>
    </xf>
    <xf numFmtId="49" fontId="5" fillId="5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left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1" fontId="5" fillId="5" borderId="1" xfId="0" applyNumberFormat="1" applyFont="1" applyFill="1" applyBorder="1" applyAlignment="1" applyProtection="1">
      <alignment horizontal="center" vertical="center" wrapText="1"/>
    </xf>
    <xf numFmtId="0" fontId="6" fillId="6" borderId="0" xfId="0" applyFont="1" applyFill="1" applyAlignment="1" applyProtection="1">
      <alignment vertical="center" wrapText="1"/>
    </xf>
    <xf numFmtId="49" fontId="7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 applyProtection="1">
      <alignment horizontal="left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2" fontId="7" fillId="5" borderId="1" xfId="0" applyNumberFormat="1" applyFont="1" applyFill="1" applyBorder="1" applyAlignment="1" applyProtection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2" fontId="4" fillId="5" borderId="1" xfId="0" applyNumberFormat="1" applyFont="1" applyFill="1" applyBorder="1" applyAlignment="1" applyProtection="1">
      <alignment horizontal="center" vertical="center" wrapText="1"/>
    </xf>
    <xf numFmtId="0" fontId="3" fillId="7" borderId="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5" borderId="1" xfId="0" applyFont="1" applyFill="1" applyBorder="1" applyAlignment="1" applyProtection="1">
      <alignment horizontal="center" vertical="center"/>
    </xf>
    <xf numFmtId="1" fontId="5" fillId="5" borderId="1" xfId="0" applyNumberFormat="1" applyFont="1" applyFill="1" applyBorder="1" applyAlignment="1" applyProtection="1">
      <alignment horizontal="center" vertical="center"/>
    </xf>
    <xf numFmtId="0" fontId="5" fillId="5" borderId="2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49" fontId="5" fillId="5" borderId="1" xfId="2" applyNumberFormat="1" applyFont="1" applyFill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6" fillId="6" borderId="0" xfId="0" applyFont="1" applyFill="1" applyAlignment="1" applyProtection="1">
      <alignment horizontal="left" vertical="center" wrapText="1"/>
    </xf>
    <xf numFmtId="1" fontId="5" fillId="5" borderId="1" xfId="0" applyNumberFormat="1" applyFont="1" applyFill="1" applyBorder="1" applyAlignment="1">
      <alignment horizontal="center" vertical="center" wrapText="1"/>
    </xf>
    <xf numFmtId="0" fontId="3" fillId="6" borderId="0" xfId="0" applyFont="1" applyFill="1" applyAlignment="1" applyProtection="1">
      <alignment vertical="center" wrapText="1"/>
    </xf>
    <xf numFmtId="2" fontId="5" fillId="5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left" vertical="center" wrapText="1" shrinkToFit="1"/>
    </xf>
    <xf numFmtId="0" fontId="4" fillId="8" borderId="1" xfId="0" applyFont="1" applyFill="1" applyBorder="1" applyAlignment="1" applyProtection="1">
      <alignment horizontal="center" vertical="center" wrapText="1"/>
    </xf>
    <xf numFmtId="0" fontId="5" fillId="8" borderId="0" xfId="0" applyFont="1" applyFill="1" applyAlignment="1" applyProtection="1">
      <alignment horizontal="left" vertical="center" wrapText="1" shrinkToFit="1"/>
    </xf>
    <xf numFmtId="0" fontId="5" fillId="8" borderId="1" xfId="0" applyFont="1" applyFill="1" applyBorder="1" applyAlignment="1" applyProtection="1">
      <alignment horizontal="left" wrapText="1" shrinkToFit="1"/>
    </xf>
    <xf numFmtId="1" fontId="6" fillId="6" borderId="0" xfId="0" applyNumberFormat="1" applyFont="1" applyFill="1" applyAlignment="1" applyProtection="1">
      <alignment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 wrapText="1"/>
    </xf>
    <xf numFmtId="0" fontId="0" fillId="9" borderId="0" xfId="0" applyFill="1"/>
    <xf numFmtId="0" fontId="10" fillId="9" borderId="0" xfId="0" applyFont="1" applyFill="1" applyAlignment="1">
      <alignment horizontal="right" vertical="center" wrapText="1"/>
    </xf>
    <xf numFmtId="0" fontId="11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 wrapText="1"/>
    </xf>
    <xf numFmtId="0" fontId="10" fillId="10" borderId="0" xfId="0" applyFont="1" applyFill="1" applyAlignment="1">
      <alignment horizontal="right" vertical="center" wrapText="1"/>
    </xf>
    <xf numFmtId="0" fontId="11" fillId="10" borderId="0" xfId="0" applyFont="1" applyFill="1" applyAlignment="1">
      <alignment horizontal="left" vertical="center"/>
    </xf>
    <xf numFmtId="0" fontId="10" fillId="10" borderId="0" xfId="0" applyFont="1" applyFill="1" applyAlignment="1">
      <alignment horizontal="left" vertical="center" wrapText="1"/>
    </xf>
    <xf numFmtId="0" fontId="10" fillId="9" borderId="0" xfId="0" applyFont="1" applyFill="1" applyAlignment="1">
      <alignment horizontal="right" vertical="center"/>
    </xf>
    <xf numFmtId="0" fontId="10" fillId="10" borderId="0" xfId="0" applyFont="1" applyFill="1" applyAlignment="1">
      <alignment horizontal="right" vertical="center"/>
    </xf>
    <xf numFmtId="0" fontId="12" fillId="9" borderId="0" xfId="0" applyFont="1" applyFill="1" applyAlignment="1">
      <alignment horizontal="left" vertical="center" wrapText="1"/>
    </xf>
    <xf numFmtId="0" fontId="12" fillId="9" borderId="0" xfId="0" applyFont="1" applyFill="1" applyAlignment="1">
      <alignment horizontal="right" vertical="center"/>
    </xf>
    <xf numFmtId="2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 applyProtection="1">
      <alignment horizontal="left" vertical="center" wrapText="1"/>
    </xf>
    <xf numFmtId="0" fontId="3" fillId="7" borderId="1" xfId="0" applyFont="1" applyFill="1" applyBorder="1" applyAlignment="1" applyProtection="1">
      <alignment vertical="center" wrapText="1"/>
    </xf>
    <xf numFmtId="0" fontId="3" fillId="0" borderId="1" xfId="0" applyFont="1" applyBorder="1" applyAlignment="1" applyProtection="1">
      <alignment vertical="center" wrapText="1"/>
    </xf>
    <xf numFmtId="2" fontId="3" fillId="5" borderId="1" xfId="0" applyNumberFormat="1" applyFont="1" applyFill="1" applyBorder="1" applyAlignment="1">
      <alignment horizontal="center" vertical="center" wrapText="1"/>
    </xf>
    <xf numFmtId="0" fontId="3" fillId="11" borderId="1" xfId="0" applyFont="1" applyFill="1" applyBorder="1" applyAlignment="1" applyProtection="1">
      <alignment horizontal="center" vertical="center" wrapText="1"/>
    </xf>
    <xf numFmtId="2" fontId="3" fillId="5" borderId="2" xfId="0" applyNumberFormat="1" applyFont="1" applyFill="1" applyBorder="1" applyAlignment="1">
      <alignment horizontal="center" vertical="center" wrapText="1"/>
    </xf>
    <xf numFmtId="9" fontId="5" fillId="3" borderId="1" xfId="0" applyNumberFormat="1" applyFont="1" applyFill="1" applyBorder="1" applyAlignment="1" applyProtection="1">
      <alignment horizontal="center" vertical="center" wrapText="1"/>
    </xf>
    <xf numFmtId="2" fontId="5" fillId="3" borderId="1" xfId="0" applyNumberFormat="1" applyFont="1" applyFill="1" applyBorder="1" applyAlignment="1" applyProtection="1">
      <alignment horizontal="center" vertical="center" wrapText="1"/>
    </xf>
    <xf numFmtId="0" fontId="3" fillId="11" borderId="1" xfId="0" applyFont="1" applyFill="1" applyBorder="1" applyAlignment="1" applyProtection="1">
      <alignment vertical="center" wrapText="1"/>
    </xf>
    <xf numFmtId="2" fontId="3" fillId="5" borderId="4" xfId="0" applyNumberFormat="1" applyFont="1" applyFill="1" applyBorder="1" applyAlignment="1">
      <alignment horizontal="center" vertical="center" wrapText="1"/>
    </xf>
    <xf numFmtId="0" fontId="5" fillId="12" borderId="1" xfId="0" applyFont="1" applyFill="1" applyBorder="1" applyAlignment="1" applyProtection="1">
      <alignment vertical="center"/>
    </xf>
    <xf numFmtId="0" fontId="5" fillId="12" borderId="2" xfId="0" applyFont="1" applyFill="1" applyBorder="1" applyAlignment="1" applyProtection="1">
      <alignment vertical="center"/>
    </xf>
    <xf numFmtId="0" fontId="5" fillId="12" borderId="2" xfId="0" applyFont="1" applyFill="1" applyBorder="1" applyAlignment="1">
      <alignment vertical="center"/>
    </xf>
    <xf numFmtId="0" fontId="5" fillId="12" borderId="2" xfId="0" applyFont="1" applyFill="1" applyBorder="1" applyAlignment="1" applyProtection="1">
      <alignment horizontal="left" vertical="center" wrapText="1"/>
    </xf>
    <xf numFmtId="2" fontId="3" fillId="12" borderId="1" xfId="0" applyNumberFormat="1" applyFont="1" applyFill="1" applyBorder="1" applyAlignment="1">
      <alignment horizontal="center" vertical="center"/>
    </xf>
    <xf numFmtId="2" fontId="3" fillId="12" borderId="2" xfId="0" applyNumberFormat="1" applyFont="1" applyFill="1" applyBorder="1" applyAlignment="1">
      <alignment horizontal="center" vertical="center"/>
    </xf>
    <xf numFmtId="9" fontId="5" fillId="12" borderId="2" xfId="0" applyNumberFormat="1" applyFont="1" applyFill="1" applyBorder="1" applyAlignment="1" applyProtection="1">
      <alignment horizontal="center" vertical="center" wrapText="1"/>
    </xf>
    <xf numFmtId="2" fontId="5" fillId="12" borderId="2" xfId="0" applyNumberFormat="1" applyFont="1" applyFill="1" applyBorder="1" applyAlignment="1" applyProtection="1">
      <alignment horizontal="center" vertical="center" wrapText="1"/>
    </xf>
    <xf numFmtId="1" fontId="5" fillId="12" borderId="1" xfId="0" applyNumberFormat="1" applyFont="1" applyFill="1" applyBorder="1" applyAlignment="1" applyProtection="1">
      <alignment vertical="center"/>
    </xf>
    <xf numFmtId="1" fontId="5" fillId="12" borderId="2" xfId="0" applyNumberFormat="1" applyFont="1" applyFill="1" applyBorder="1" applyAlignment="1" applyProtection="1">
      <alignment vertical="center"/>
    </xf>
    <xf numFmtId="1" fontId="5" fillId="12" borderId="2" xfId="0" applyNumberFormat="1" applyFont="1" applyFill="1" applyBorder="1" applyAlignment="1">
      <alignment vertical="center"/>
    </xf>
    <xf numFmtId="1" fontId="5" fillId="12" borderId="2" xfId="0" applyNumberFormat="1" applyFont="1" applyFill="1" applyBorder="1" applyAlignment="1" applyProtection="1">
      <alignment horizontal="left" vertical="center" wrapText="1"/>
    </xf>
    <xf numFmtId="9" fontId="5" fillId="12" borderId="2" xfId="0" applyNumberFormat="1" applyFont="1" applyFill="1" applyBorder="1" applyAlignment="1" applyProtection="1">
      <alignment horizontal="center" vertical="center"/>
    </xf>
    <xf numFmtId="2" fontId="5" fillId="12" borderId="2" xfId="0" applyNumberFormat="1" applyFont="1" applyFill="1" applyBorder="1" applyAlignment="1" applyProtection="1">
      <alignment horizontal="center" vertical="center"/>
    </xf>
    <xf numFmtId="2" fontId="3" fillId="5" borderId="5" xfId="0" applyNumberFormat="1" applyFont="1" applyFill="1" applyBorder="1" applyAlignment="1">
      <alignment horizontal="center" vertical="center" wrapText="1"/>
    </xf>
    <xf numFmtId="2" fontId="3" fillId="5" borderId="4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vertical="center"/>
    </xf>
    <xf numFmtId="0" fontId="5" fillId="12" borderId="2" xfId="0" applyFont="1" applyFill="1" applyBorder="1" applyAlignment="1">
      <alignment horizontal="left" vertical="center" wrapText="1"/>
    </xf>
    <xf numFmtId="0" fontId="5" fillId="12" borderId="1" xfId="1" applyFont="1" applyFill="1" applyBorder="1" applyAlignment="1" applyProtection="1">
      <alignment vertical="center"/>
    </xf>
    <xf numFmtId="0" fontId="5" fillId="12" borderId="2" xfId="1" applyFont="1" applyFill="1" applyBorder="1" applyAlignment="1" applyProtection="1">
      <alignment vertical="center"/>
    </xf>
    <xf numFmtId="0" fontId="5" fillId="12" borderId="2" xfId="1" applyFont="1" applyFill="1" applyBorder="1" applyAlignment="1">
      <alignment vertical="center"/>
    </xf>
    <xf numFmtId="0" fontId="5" fillId="12" borderId="2" xfId="1" applyFont="1" applyFill="1" applyBorder="1" applyAlignment="1" applyProtection="1">
      <alignment horizontal="left" vertical="center" wrapText="1"/>
    </xf>
    <xf numFmtId="2" fontId="3" fillId="12" borderId="1" xfId="1" applyNumberFormat="1" applyFont="1" applyFill="1" applyBorder="1" applyAlignment="1">
      <alignment horizontal="center" vertical="center"/>
    </xf>
    <xf numFmtId="2" fontId="3" fillId="12" borderId="2" xfId="1" applyNumberFormat="1" applyFont="1" applyFill="1" applyBorder="1" applyAlignment="1">
      <alignment horizontal="center" vertical="center"/>
    </xf>
    <xf numFmtId="0" fontId="5" fillId="5" borderId="1" xfId="1" applyFont="1" applyFill="1" applyBorder="1" applyAlignment="1" applyProtection="1">
      <alignment horizontal="center" vertical="center" wrapText="1"/>
    </xf>
    <xf numFmtId="2" fontId="3" fillId="5" borderId="5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</xf>
    <xf numFmtId="0" fontId="3" fillId="13" borderId="1" xfId="0" applyFont="1" applyFill="1" applyBorder="1" applyAlignment="1" applyProtection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 applyProtection="1">
      <alignment horizontal="center" vertical="center" wrapText="1"/>
    </xf>
    <xf numFmtId="0" fontId="5" fillId="13" borderId="1" xfId="0" applyFont="1" applyFill="1" applyBorder="1" applyAlignment="1" applyProtection="1">
      <alignment horizontal="left" vertical="center" wrapText="1"/>
    </xf>
    <xf numFmtId="0" fontId="4" fillId="13" borderId="1" xfId="0" applyFont="1" applyFill="1" applyBorder="1" applyAlignment="1" applyProtection="1">
      <alignment horizontal="center" vertical="center"/>
    </xf>
    <xf numFmtId="0" fontId="5" fillId="12" borderId="1" xfId="0" applyFont="1" applyFill="1" applyBorder="1" applyAlignment="1" applyProtection="1">
      <alignment horizontal="center" vertical="center" wrapText="1"/>
    </xf>
    <xf numFmtId="0" fontId="5" fillId="12" borderId="1" xfId="0" applyFont="1" applyFill="1" applyBorder="1" applyAlignment="1" applyProtection="1">
      <alignment horizontal="left" vertical="center" wrapText="1"/>
    </xf>
    <xf numFmtId="2" fontId="16" fillId="12" borderId="1" xfId="0" applyNumberFormat="1" applyFont="1" applyFill="1" applyBorder="1" applyAlignment="1">
      <alignment horizontal="center" vertical="center"/>
    </xf>
    <xf numFmtId="9" fontId="5" fillId="12" borderId="1" xfId="0" applyNumberFormat="1" applyFont="1" applyFill="1" applyBorder="1" applyAlignment="1" applyProtection="1">
      <alignment horizontal="center" vertical="center"/>
    </xf>
    <xf numFmtId="2" fontId="5" fillId="12" borderId="1" xfId="0" applyNumberFormat="1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left" vertical="center" wrapText="1"/>
    </xf>
    <xf numFmtId="0" fontId="4" fillId="13" borderId="1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vertical="center"/>
    </xf>
    <xf numFmtId="0" fontId="15" fillId="12" borderId="1" xfId="0" applyFont="1" applyFill="1" applyBorder="1" applyAlignment="1">
      <alignment vertical="center"/>
    </xf>
    <xf numFmtId="2" fontId="5" fillId="12" borderId="1" xfId="0" applyNumberFormat="1" applyFont="1" applyFill="1" applyBorder="1" applyAlignment="1">
      <alignment horizontal="center" vertical="center"/>
    </xf>
    <xf numFmtId="9" fontId="5" fillId="12" borderId="1" xfId="0" applyNumberFormat="1" applyFont="1" applyFill="1" applyBorder="1" applyAlignment="1" applyProtection="1">
      <alignment horizontal="center" vertical="center" wrapText="1"/>
    </xf>
    <xf numFmtId="2" fontId="5" fillId="12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vertical="center"/>
    </xf>
    <xf numFmtId="0" fontId="5" fillId="5" borderId="1" xfId="1" applyFont="1" applyFill="1" applyBorder="1" applyAlignment="1" applyProtection="1">
      <alignment horizontal="left" vertical="center" wrapText="1"/>
    </xf>
    <xf numFmtId="0" fontId="17" fillId="7" borderId="1" xfId="0" applyFont="1" applyFill="1" applyBorder="1" applyAlignment="1" applyProtection="1">
      <alignment horizontal="center" vertical="center" wrapText="1"/>
    </xf>
    <xf numFmtId="0" fontId="17" fillId="11" borderId="1" xfId="0" applyFont="1" applyFill="1" applyBorder="1" applyAlignment="1" applyProtection="1">
      <alignment horizontal="center" vertical="center" wrapText="1"/>
    </xf>
    <xf numFmtId="49" fontId="5" fillId="5" borderId="1" xfId="0" applyNumberFormat="1" applyFont="1" applyFill="1" applyBorder="1" applyAlignment="1" applyProtection="1">
      <alignment horizontal="left" vertical="center" wrapText="1"/>
    </xf>
    <xf numFmtId="0" fontId="5" fillId="5" borderId="2" xfId="0" applyFont="1" applyFill="1" applyBorder="1" applyAlignment="1" applyProtection="1">
      <alignment horizontal="center" vertical="center" wrapText="1"/>
    </xf>
    <xf numFmtId="0" fontId="17" fillId="7" borderId="2" xfId="0" applyFont="1" applyFill="1" applyBorder="1" applyAlignment="1" applyProtection="1">
      <alignment horizontal="center" vertical="center" wrapText="1"/>
    </xf>
    <xf numFmtId="0" fontId="5" fillId="5" borderId="2" xfId="0" applyFont="1" applyFill="1" applyBorder="1" applyAlignment="1" applyProtection="1">
      <alignment horizontal="left" vertical="center" wrapText="1"/>
    </xf>
    <xf numFmtId="0" fontId="4" fillId="5" borderId="2" xfId="0" applyFont="1" applyFill="1" applyBorder="1" applyAlignment="1" applyProtection="1">
      <alignment horizontal="center" vertical="center" wrapText="1"/>
    </xf>
    <xf numFmtId="9" fontId="5" fillId="12" borderId="6" xfId="0" applyNumberFormat="1" applyFont="1" applyFill="1" applyBorder="1" applyAlignment="1" applyProtection="1">
      <alignment horizontal="center" vertical="center"/>
    </xf>
    <xf numFmtId="2" fontId="5" fillId="12" borderId="6" xfId="0" applyNumberFormat="1" applyFont="1" applyFill="1" applyBorder="1" applyAlignment="1" applyProtection="1">
      <alignment horizontal="center" vertical="center"/>
    </xf>
    <xf numFmtId="0" fontId="5" fillId="12" borderId="1" xfId="0" applyFont="1" applyFill="1" applyBorder="1" applyAlignment="1" applyProtection="1">
      <alignment horizontal="left" vertical="center" wrapText="1" shrinkToFit="1"/>
    </xf>
    <xf numFmtId="1" fontId="5" fillId="12" borderId="1" xfId="0" applyNumberFormat="1" applyFont="1" applyFill="1" applyBorder="1" applyAlignment="1">
      <alignment vertical="center"/>
    </xf>
    <xf numFmtId="1" fontId="5" fillId="12" borderId="1" xfId="0" applyNumberFormat="1" applyFont="1" applyFill="1" applyBorder="1" applyAlignment="1" applyProtection="1">
      <alignment horizontal="left" vertical="center" wrapText="1"/>
    </xf>
    <xf numFmtId="0" fontId="5" fillId="8" borderId="1" xfId="0" applyFont="1" applyFill="1" applyBorder="1" applyAlignment="1" applyProtection="1">
      <alignment vertical="center" wrapText="1"/>
    </xf>
    <xf numFmtId="0" fontId="5" fillId="8" borderId="1" xfId="0" applyFont="1" applyFill="1" applyBorder="1" applyAlignment="1" applyProtection="1">
      <alignment horizontal="left" vertical="center" wrapText="1"/>
    </xf>
    <xf numFmtId="9" fontId="5" fillId="12" borderId="3" xfId="0" applyNumberFormat="1" applyFont="1" applyFill="1" applyBorder="1" applyAlignment="1" applyProtection="1">
      <alignment horizontal="center" vertical="center"/>
    </xf>
    <xf numFmtId="2" fontId="5" fillId="12" borderId="3" xfId="0" applyNumberFormat="1" applyFont="1" applyFill="1" applyBorder="1" applyAlignment="1" applyProtection="1">
      <alignment horizontal="center" vertical="center"/>
    </xf>
    <xf numFmtId="9" fontId="5" fillId="12" borderId="6" xfId="0" applyNumberFormat="1" applyFont="1" applyFill="1" applyBorder="1" applyAlignment="1" applyProtection="1">
      <alignment horizontal="center" vertical="center" wrapText="1"/>
    </xf>
    <xf numFmtId="2" fontId="5" fillId="12" borderId="6" xfId="0" applyNumberFormat="1" applyFont="1" applyFill="1" applyBorder="1" applyAlignment="1" applyProtection="1">
      <alignment horizontal="center" vertical="center" wrapText="1"/>
    </xf>
    <xf numFmtId="0" fontId="5" fillId="12" borderId="2" xfId="0" applyFont="1" applyFill="1" applyBorder="1" applyAlignment="1">
      <alignment vertical="center" wrapText="1"/>
    </xf>
    <xf numFmtId="0" fontId="5" fillId="12" borderId="2" xfId="0" applyFont="1" applyFill="1" applyBorder="1" applyAlignment="1" applyProtection="1">
      <alignment vertical="center" wrapText="1"/>
    </xf>
    <xf numFmtId="2" fontId="3" fillId="12" borderId="1" xfId="0" applyNumberFormat="1" applyFont="1" applyFill="1" applyBorder="1" applyAlignment="1">
      <alignment horizontal="center" vertical="center" wrapText="1"/>
    </xf>
    <xf numFmtId="2" fontId="3" fillId="12" borderId="2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Alignment="1" applyProtection="1">
      <alignment vertical="center"/>
    </xf>
    <xf numFmtId="1" fontId="3" fillId="0" borderId="1" xfId="0" applyNumberFormat="1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4" borderId="0" xfId="0" applyFont="1" applyFill="1" applyAlignment="1" applyProtection="1">
      <alignment horizontal="center" vertical="center" wrapText="1"/>
    </xf>
    <xf numFmtId="0" fontId="3" fillId="11" borderId="2" xfId="0" applyFont="1" applyFill="1" applyBorder="1" applyAlignment="1" applyProtection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6" fillId="0" borderId="0" xfId="3" applyFont="1" applyAlignment="1" applyProtection="1">
      <alignment vertical="center"/>
    </xf>
    <xf numFmtId="0" fontId="6" fillId="15" borderId="0" xfId="3" applyFont="1" applyFill="1" applyAlignment="1" applyProtection="1">
      <alignment vertical="center"/>
    </xf>
    <xf numFmtId="9" fontId="5" fillId="12" borderId="1" xfId="3" applyNumberFormat="1" applyFont="1" applyFill="1" applyBorder="1" applyAlignment="1" applyProtection="1">
      <alignment horizontal="center" vertical="center"/>
    </xf>
    <xf numFmtId="2" fontId="5" fillId="12" borderId="1" xfId="3" applyNumberFormat="1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vertical="center" wrapText="1"/>
    </xf>
    <xf numFmtId="0" fontId="5" fillId="7" borderId="1" xfId="0" applyFont="1" applyFill="1" applyBorder="1" applyAlignment="1" applyProtection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 applyProtection="1">
      <alignment horizontal="center" vertical="center" wrapText="1"/>
    </xf>
    <xf numFmtId="0" fontId="5" fillId="17" borderId="1" xfId="0" applyFont="1" applyFill="1" applyBorder="1" applyAlignment="1" applyProtection="1">
      <alignment horizontal="left" vertical="center" wrapText="1"/>
    </xf>
    <xf numFmtId="0" fontId="4" fillId="17" borderId="1" xfId="0" applyFont="1" applyFill="1" applyBorder="1" applyAlignment="1" applyProtection="1">
      <alignment horizontal="center" vertical="center" wrapText="1"/>
    </xf>
    <xf numFmtId="0" fontId="5" fillId="11" borderId="1" xfId="0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horizontal="left" vertical="center" wrapText="1"/>
    </xf>
    <xf numFmtId="0" fontId="5" fillId="7" borderId="2" xfId="0" applyFont="1" applyFill="1" applyBorder="1" applyAlignment="1" applyProtection="1">
      <alignment horizontal="left" vertical="center" wrapText="1"/>
    </xf>
    <xf numFmtId="49" fontId="5" fillId="17" borderId="2" xfId="0" applyNumberFormat="1" applyFont="1" applyFill="1" applyBorder="1" applyAlignment="1">
      <alignment horizontal="center" vertical="center" wrapText="1"/>
    </xf>
    <xf numFmtId="0" fontId="5" fillId="17" borderId="2" xfId="0" applyFont="1" applyFill="1" applyBorder="1" applyAlignment="1" applyProtection="1">
      <alignment horizontal="left" vertical="center" wrapText="1"/>
    </xf>
    <xf numFmtId="0" fontId="5" fillId="17" borderId="2" xfId="0" applyFont="1" applyFill="1" applyBorder="1" applyAlignment="1" applyProtection="1">
      <alignment horizontal="center" vertical="center" wrapText="1"/>
    </xf>
    <xf numFmtId="1" fontId="5" fillId="17" borderId="1" xfId="0" applyNumberFormat="1" applyFont="1" applyFill="1" applyBorder="1" applyAlignment="1">
      <alignment horizontal="center" vertical="center" wrapText="1"/>
    </xf>
    <xf numFmtId="1" fontId="5" fillId="17" borderId="1" xfId="0" applyNumberFormat="1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vertical="center" wrapText="1"/>
    </xf>
    <xf numFmtId="0" fontId="5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 applyProtection="1">
      <alignment horizontal="center" vertical="center"/>
    </xf>
    <xf numFmtId="0" fontId="5" fillId="17" borderId="1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vertical="center" wrapText="1"/>
    </xf>
    <xf numFmtId="0" fontId="5" fillId="0" borderId="1" xfId="0" applyFont="1" applyFill="1" applyBorder="1" applyAlignment="1" applyProtection="1">
      <alignment horizontal="center" vertical="center" wrapText="1"/>
    </xf>
    <xf numFmtId="1" fontId="5" fillId="18" borderId="1" xfId="0" applyNumberFormat="1" applyFont="1" applyFill="1" applyBorder="1" applyAlignment="1">
      <alignment horizontal="center" vertical="center" wrapText="1"/>
    </xf>
    <xf numFmtId="1" fontId="5" fillId="18" borderId="1" xfId="0" applyNumberFormat="1" applyFont="1" applyFill="1" applyBorder="1" applyAlignment="1" applyProtection="1">
      <alignment horizontal="center" vertical="center" wrapText="1"/>
    </xf>
    <xf numFmtId="0" fontId="5" fillId="18" borderId="1" xfId="0" applyFont="1" applyFill="1" applyBorder="1" applyAlignment="1" applyProtection="1">
      <alignment horizontal="left" vertical="center" wrapText="1"/>
    </xf>
    <xf numFmtId="0" fontId="4" fillId="18" borderId="1" xfId="0" applyFont="1" applyFill="1" applyBorder="1" applyAlignment="1" applyProtection="1">
      <alignment horizontal="center" vertical="center" wrapText="1"/>
    </xf>
    <xf numFmtId="0" fontId="5" fillId="18" borderId="1" xfId="0" applyFont="1" applyFill="1" applyBorder="1" applyAlignment="1" applyProtection="1">
      <alignment horizontal="center" vertical="center" wrapText="1"/>
    </xf>
    <xf numFmtId="1" fontId="5" fillId="12" borderId="1" xfId="0" applyNumberFormat="1" applyFont="1" applyFill="1" applyBorder="1" applyAlignment="1" applyProtection="1">
      <alignment horizontal="center" vertical="center" wrapText="1"/>
    </xf>
    <xf numFmtId="2" fontId="5" fillId="18" borderId="1" xfId="0" applyNumberFormat="1" applyFont="1" applyFill="1" applyBorder="1" applyAlignment="1" applyProtection="1">
      <alignment horizontal="left" vertical="center" wrapText="1"/>
    </xf>
    <xf numFmtId="0" fontId="5" fillId="19" borderId="1" xfId="0" applyFont="1" applyFill="1" applyBorder="1" applyAlignment="1">
      <alignment horizontal="center" vertical="center" wrapText="1"/>
    </xf>
    <xf numFmtId="0" fontId="5" fillId="19" borderId="1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 wrapText="1"/>
    </xf>
    <xf numFmtId="0" fontId="4" fillId="19" borderId="1" xfId="0" applyFont="1" applyFill="1" applyBorder="1" applyAlignment="1" applyProtection="1">
      <alignment horizontal="center" vertical="center" wrapText="1"/>
    </xf>
    <xf numFmtId="0" fontId="5" fillId="12" borderId="1" xfId="0" applyFont="1" applyFill="1" applyBorder="1" applyProtection="1"/>
    <xf numFmtId="0" fontId="5" fillId="12" borderId="2" xfId="0" applyFont="1" applyFill="1" applyBorder="1" applyProtection="1"/>
    <xf numFmtId="0" fontId="5" fillId="12" borderId="2" xfId="0" applyFont="1" applyFill="1" applyBorder="1"/>
    <xf numFmtId="0" fontId="5" fillId="12" borderId="2" xfId="0" applyFont="1" applyFill="1" applyBorder="1" applyAlignment="1" applyProtection="1">
      <alignment horizontal="left" wrapText="1"/>
    </xf>
    <xf numFmtId="2" fontId="3" fillId="12" borderId="1" xfId="3" applyNumberFormat="1" applyFont="1" applyFill="1" applyBorder="1" applyAlignment="1">
      <alignment horizontal="center" vertical="center" wrapText="1"/>
    </xf>
    <xf numFmtId="2" fontId="3" fillId="12" borderId="2" xfId="3" applyNumberFormat="1" applyFont="1" applyFill="1" applyBorder="1" applyAlignment="1">
      <alignment horizontal="center" vertical="center" wrapText="1"/>
    </xf>
    <xf numFmtId="0" fontId="4" fillId="0" borderId="0" xfId="0" applyFont="1" applyProtection="1"/>
    <xf numFmtId="0" fontId="4" fillId="0" borderId="3" xfId="0" applyFont="1" applyBorder="1" applyProtection="1"/>
    <xf numFmtId="0" fontId="4" fillId="0" borderId="1" xfId="0" applyFont="1" applyBorder="1" applyProtection="1"/>
    <xf numFmtId="0" fontId="5" fillId="0" borderId="1" xfId="0" applyFont="1" applyBorder="1" applyProtection="1"/>
    <xf numFmtId="0" fontId="5" fillId="19" borderId="1" xfId="0" applyFont="1" applyFill="1" applyBorder="1" applyAlignment="1">
      <alignment horizontal="center" vertical="center"/>
    </xf>
    <xf numFmtId="0" fontId="4" fillId="19" borderId="1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2" xfId="0" applyFont="1" applyFill="1" applyBorder="1" applyAlignment="1" applyProtection="1">
      <alignment horizontal="center" vertical="center"/>
    </xf>
    <xf numFmtId="0" fontId="5" fillId="12" borderId="1" xfId="0" applyFont="1" applyFill="1" applyBorder="1" applyAlignment="1" applyProtection="1">
      <alignment horizontal="left" vertical="center"/>
    </xf>
    <xf numFmtId="0" fontId="5" fillId="12" borderId="2" xfId="0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0" fontId="19" fillId="0" borderId="0" xfId="5" applyFont="1"/>
    <xf numFmtId="0" fontId="20" fillId="4" borderId="1" xfId="5" applyFont="1" applyFill="1" applyBorder="1" applyAlignment="1">
      <alignment horizontal="center" vertical="center" wrapText="1" shrinkToFit="1"/>
    </xf>
    <xf numFmtId="0" fontId="20" fillId="4" borderId="1" xfId="5" applyFont="1" applyFill="1" applyBorder="1" applyAlignment="1">
      <alignment horizontal="center" vertical="center" shrinkToFit="1"/>
    </xf>
    <xf numFmtId="164" fontId="20" fillId="4" borderId="1" xfId="5" applyNumberFormat="1" applyFont="1" applyFill="1" applyBorder="1" applyAlignment="1">
      <alignment horizontal="center" vertical="center" wrapText="1" shrinkToFit="1"/>
    </xf>
    <xf numFmtId="0" fontId="20" fillId="4" borderId="1" xfId="5" applyFont="1" applyFill="1" applyBorder="1" applyAlignment="1">
      <alignment horizontal="center" vertical="center" wrapText="1"/>
    </xf>
    <xf numFmtId="0" fontId="18" fillId="0" borderId="0" xfId="5" applyFont="1"/>
    <xf numFmtId="0" fontId="26" fillId="0" borderId="0" xfId="5" applyFont="1" applyAlignment="1">
      <alignment horizontal="left" vertical="center"/>
    </xf>
    <xf numFmtId="0" fontId="28" fillId="0" borderId="0" xfId="5" applyFont="1" applyFill="1" applyAlignment="1">
      <alignment horizontal="left" vertical="center"/>
    </xf>
    <xf numFmtId="49" fontId="28" fillId="0" borderId="9" xfId="5" applyNumberFormat="1" applyFont="1" applyFill="1" applyBorder="1" applyAlignment="1">
      <alignment horizontal="center" vertical="center" wrapText="1" shrinkToFit="1"/>
    </xf>
    <xf numFmtId="49" fontId="28" fillId="0" borderId="1" xfId="5" applyNumberFormat="1" applyFont="1" applyFill="1" applyBorder="1" applyAlignment="1">
      <alignment horizontal="center" vertical="center" wrapText="1" shrinkToFit="1"/>
    </xf>
    <xf numFmtId="49" fontId="28" fillId="0" borderId="1" xfId="5" applyNumberFormat="1" applyFont="1" applyFill="1" applyBorder="1" applyAlignment="1">
      <alignment horizontal="left" vertical="center" wrapText="1" shrinkToFit="1"/>
    </xf>
    <xf numFmtId="164" fontId="28" fillId="0" borderId="10" xfId="5" applyNumberFormat="1" applyFont="1" applyFill="1" applyBorder="1" applyAlignment="1">
      <alignment horizontal="center" vertical="center"/>
    </xf>
    <xf numFmtId="164" fontId="28" fillId="7" borderId="1" xfId="5" applyNumberFormat="1" applyFont="1" applyFill="1" applyBorder="1" applyAlignment="1">
      <alignment horizontal="center" vertical="center"/>
    </xf>
    <xf numFmtId="164" fontId="28" fillId="0" borderId="7" xfId="5" applyNumberFormat="1" applyFont="1" applyFill="1" applyBorder="1" applyAlignment="1">
      <alignment horizontal="center" vertical="center"/>
    </xf>
    <xf numFmtId="164" fontId="28" fillId="0" borderId="1" xfId="5" applyNumberFormat="1" applyFont="1" applyFill="1" applyBorder="1" applyAlignment="1">
      <alignment horizontal="center" vertical="center"/>
    </xf>
    <xf numFmtId="49" fontId="28" fillId="3" borderId="9" xfId="5" applyNumberFormat="1" applyFont="1" applyFill="1" applyBorder="1" applyAlignment="1">
      <alignment horizontal="center" vertical="center" wrapText="1" shrinkToFit="1"/>
    </xf>
    <xf numFmtId="49" fontId="28" fillId="3" borderId="1" xfId="5" applyNumberFormat="1" applyFont="1" applyFill="1" applyBorder="1" applyAlignment="1">
      <alignment horizontal="center" vertical="center" wrapText="1" shrinkToFit="1"/>
    </xf>
    <xf numFmtId="49" fontId="28" fillId="3" borderId="1" xfId="5" applyNumberFormat="1" applyFont="1" applyFill="1" applyBorder="1" applyAlignment="1">
      <alignment horizontal="left" vertical="center" wrapText="1" shrinkToFit="1"/>
    </xf>
    <xf numFmtId="164" fontId="28" fillId="3" borderId="1" xfId="5" applyNumberFormat="1" applyFont="1" applyFill="1" applyBorder="1" applyAlignment="1">
      <alignment horizontal="center" vertical="center"/>
    </xf>
    <xf numFmtId="0" fontId="19" fillId="3" borderId="0" xfId="5" applyFont="1" applyFill="1"/>
    <xf numFmtId="49" fontId="28" fillId="3" borderId="3" xfId="5" applyNumberFormat="1" applyFont="1" applyFill="1" applyBorder="1" applyAlignment="1">
      <alignment horizontal="center" vertical="center" wrapText="1" shrinkToFit="1"/>
    </xf>
    <xf numFmtId="49" fontId="28" fillId="21" borderId="7" xfId="5" applyNumberFormat="1" applyFont="1" applyFill="1" applyBorder="1" applyAlignment="1">
      <alignment horizontal="center" vertical="center" wrapText="1" shrinkToFit="1"/>
    </xf>
    <xf numFmtId="49" fontId="28" fillId="21" borderId="8" xfId="5" applyNumberFormat="1" applyFont="1" applyFill="1" applyBorder="1" applyAlignment="1">
      <alignment horizontal="center" vertical="center" wrapText="1" shrinkToFit="1"/>
    </xf>
    <xf numFmtId="0" fontId="29" fillId="21" borderId="8" xfId="5" applyFont="1" applyFill="1" applyBorder="1" applyAlignment="1">
      <alignment horizontal="center" vertical="center" wrapText="1"/>
    </xf>
    <xf numFmtId="164" fontId="26" fillId="21" borderId="8" xfId="5" applyNumberFormat="1" applyFont="1" applyFill="1" applyBorder="1" applyAlignment="1">
      <alignment horizontal="center" vertical="center"/>
    </xf>
    <xf numFmtId="164" fontId="28" fillId="21" borderId="3" xfId="5" applyNumberFormat="1" applyFont="1" applyFill="1" applyBorder="1" applyAlignment="1">
      <alignment horizontal="center" vertical="center"/>
    </xf>
    <xf numFmtId="49" fontId="28" fillId="0" borderId="9" xfId="5" applyNumberFormat="1" applyFont="1" applyBorder="1" applyAlignment="1">
      <alignment horizontal="center" vertical="center" wrapText="1" shrinkToFit="1"/>
    </xf>
    <xf numFmtId="49" fontId="28" fillId="0" borderId="1" xfId="5" applyNumberFormat="1" applyFont="1" applyBorder="1" applyAlignment="1">
      <alignment horizontal="center" vertical="center" wrapText="1" shrinkToFit="1"/>
    </xf>
    <xf numFmtId="0" fontId="30" fillId="7" borderId="1" xfId="5" applyFont="1" applyFill="1" applyBorder="1" applyAlignment="1">
      <alignment horizontal="left" vertical="center" wrapText="1"/>
    </xf>
    <xf numFmtId="164" fontId="26" fillId="0" borderId="10" xfId="5" applyNumberFormat="1" applyFont="1" applyBorder="1" applyAlignment="1">
      <alignment horizontal="center" vertical="center"/>
    </xf>
    <xf numFmtId="0" fontId="30" fillId="0" borderId="1" xfId="5" applyFont="1" applyFill="1" applyBorder="1" applyAlignment="1">
      <alignment horizontal="left" vertical="center" wrapText="1"/>
    </xf>
    <xf numFmtId="164" fontId="26" fillId="0" borderId="10" xfId="5" applyNumberFormat="1" applyFont="1" applyFill="1" applyBorder="1" applyAlignment="1">
      <alignment horizontal="center" vertical="center"/>
    </xf>
    <xf numFmtId="0" fontId="32" fillId="0" borderId="0" xfId="6" applyFont="1" applyFill="1" applyBorder="1" applyAlignment="1">
      <alignment vertical="center" wrapText="1"/>
    </xf>
    <xf numFmtId="0" fontId="33" fillId="0" borderId="1" xfId="6" applyNumberFormat="1" applyFont="1" applyFill="1" applyBorder="1" applyAlignment="1">
      <alignment horizontal="center" vertical="center" wrapText="1"/>
    </xf>
    <xf numFmtId="0" fontId="33" fillId="0" borderId="1" xfId="6" applyFont="1" applyFill="1" applyBorder="1" applyAlignment="1">
      <alignment horizontal="left" vertical="center" wrapText="1"/>
    </xf>
    <xf numFmtId="49" fontId="34" fillId="0" borderId="9" xfId="5" applyNumberFormat="1" applyFont="1" applyBorder="1" applyAlignment="1">
      <alignment horizontal="center" vertical="center" wrapText="1" shrinkToFit="1"/>
    </xf>
    <xf numFmtId="49" fontId="34" fillId="0" borderId="1" xfId="5" applyNumberFormat="1" applyFont="1" applyBorder="1" applyAlignment="1">
      <alignment horizontal="center" vertical="center" wrapText="1" shrinkToFit="1"/>
    </xf>
    <xf numFmtId="49" fontId="34" fillId="0" borderId="1" xfId="5" applyNumberFormat="1" applyFont="1" applyFill="1" applyBorder="1" applyAlignment="1">
      <alignment horizontal="left" vertical="center" wrapText="1" shrinkToFit="1"/>
    </xf>
    <xf numFmtId="164" fontId="34" fillId="0" borderId="10" xfId="5" applyNumberFormat="1" applyFont="1" applyBorder="1" applyAlignment="1">
      <alignment horizontal="center" vertical="center" wrapText="1" shrinkToFit="1"/>
    </xf>
    <xf numFmtId="164" fontId="34" fillId="7" borderId="1" xfId="5" applyNumberFormat="1" applyFont="1" applyFill="1" applyBorder="1" applyAlignment="1">
      <alignment horizontal="center" vertical="center"/>
    </xf>
    <xf numFmtId="0" fontId="26" fillId="0" borderId="0" xfId="5" applyFont="1"/>
    <xf numFmtId="0" fontId="28" fillId="0" borderId="9" xfId="5" applyNumberFormat="1" applyFont="1" applyBorder="1" applyAlignment="1">
      <alignment horizontal="center" vertical="center" wrapText="1" shrinkToFit="1"/>
    </xf>
    <xf numFmtId="49" fontId="28" fillId="0" borderId="1" xfId="5" applyNumberFormat="1" applyFont="1" applyBorder="1" applyAlignment="1">
      <alignment horizontal="left" vertical="center" wrapText="1" shrinkToFit="1"/>
    </xf>
    <xf numFmtId="164" fontId="28" fillId="0" borderId="10" xfId="5" applyNumberFormat="1" applyFont="1" applyBorder="1" applyAlignment="1">
      <alignment horizontal="center" vertical="center" wrapText="1" shrinkToFit="1"/>
    </xf>
    <xf numFmtId="49" fontId="35" fillId="0" borderId="9" xfId="5" applyNumberFormat="1" applyFont="1" applyFill="1" applyBorder="1" applyAlignment="1">
      <alignment horizontal="center" vertical="center" wrapText="1" shrinkToFit="1"/>
    </xf>
    <xf numFmtId="49" fontId="35" fillId="0" borderId="1" xfId="5" applyNumberFormat="1" applyFont="1" applyFill="1" applyBorder="1" applyAlignment="1">
      <alignment horizontal="center" vertical="center" wrapText="1" shrinkToFit="1"/>
    </xf>
    <xf numFmtId="0" fontId="36" fillId="0" borderId="1" xfId="5" applyFont="1" applyFill="1" applyBorder="1" applyAlignment="1">
      <alignment horizontal="left" vertical="center" wrapText="1"/>
    </xf>
    <xf numFmtId="0" fontId="35" fillId="0" borderId="1" xfId="5" applyNumberFormat="1" applyFont="1" applyBorder="1" applyAlignment="1">
      <alignment horizontal="center" vertical="center" wrapText="1" shrinkToFit="1"/>
    </xf>
    <xf numFmtId="164" fontId="36" fillId="0" borderId="10" xfId="5" applyNumberFormat="1" applyFont="1" applyFill="1" applyBorder="1" applyAlignment="1">
      <alignment horizontal="center" vertical="center" wrapText="1" shrinkToFit="1"/>
    </xf>
    <xf numFmtId="0" fontId="28" fillId="0" borderId="1" xfId="5" applyNumberFormat="1" applyFont="1" applyBorder="1" applyAlignment="1">
      <alignment horizontal="center" vertical="center" wrapText="1" shrinkToFit="1"/>
    </xf>
    <xf numFmtId="164" fontId="33" fillId="0" borderId="10" xfId="5" applyNumberFormat="1" applyFont="1" applyFill="1" applyBorder="1" applyAlignment="1">
      <alignment horizontal="center" vertical="center" wrapText="1" shrinkToFit="1"/>
    </xf>
    <xf numFmtId="49" fontId="37" fillId="0" borderId="9" xfId="5" applyNumberFormat="1" applyFont="1" applyFill="1" applyBorder="1" applyAlignment="1">
      <alignment horizontal="center" vertical="center" wrapText="1" shrinkToFit="1"/>
    </xf>
    <xf numFmtId="49" fontId="37" fillId="0" borderId="1" xfId="5" applyNumberFormat="1" applyFont="1" applyFill="1" applyBorder="1" applyAlignment="1">
      <alignment horizontal="center" vertical="center" wrapText="1" shrinkToFit="1"/>
    </xf>
    <xf numFmtId="0" fontId="38" fillId="0" borderId="1" xfId="5" applyFont="1" applyFill="1" applyBorder="1" applyAlignment="1">
      <alignment horizontal="left" vertical="center" wrapText="1"/>
    </xf>
    <xf numFmtId="0" fontId="37" fillId="0" borderId="1" xfId="5" applyNumberFormat="1" applyFont="1" applyBorder="1" applyAlignment="1">
      <alignment horizontal="center" vertical="center" wrapText="1" shrinkToFit="1"/>
    </xf>
    <xf numFmtId="164" fontId="39" fillId="0" borderId="10" xfId="5" applyNumberFormat="1" applyFont="1" applyFill="1" applyBorder="1" applyAlignment="1">
      <alignment horizontal="center" vertical="center" wrapText="1" shrinkToFit="1"/>
    </xf>
    <xf numFmtId="164" fontId="33" fillId="0" borderId="1" xfId="5" applyNumberFormat="1" applyFont="1" applyFill="1" applyBorder="1" applyAlignment="1">
      <alignment horizontal="center" vertical="center" wrapText="1" shrinkToFit="1"/>
    </xf>
    <xf numFmtId="0" fontId="26" fillId="0" borderId="1" xfId="5" applyFont="1" applyFill="1" applyBorder="1" applyAlignment="1">
      <alignment horizontal="center" vertical="center" shrinkToFit="1"/>
    </xf>
    <xf numFmtId="164" fontId="26" fillId="0" borderId="1" xfId="5" applyNumberFormat="1" applyFont="1" applyFill="1" applyBorder="1" applyAlignment="1">
      <alignment horizontal="center" vertical="center" shrinkToFit="1"/>
    </xf>
    <xf numFmtId="0" fontId="28" fillId="0" borderId="1" xfId="5" applyNumberFormat="1" applyFont="1" applyFill="1" applyBorder="1" applyAlignment="1">
      <alignment horizontal="center" vertical="center" wrapText="1" shrinkToFit="1"/>
    </xf>
    <xf numFmtId="49" fontId="37" fillId="0" borderId="9" xfId="5" applyNumberFormat="1" applyFont="1" applyBorder="1" applyAlignment="1">
      <alignment horizontal="center" vertical="center" wrapText="1" shrinkToFit="1"/>
    </xf>
    <xf numFmtId="49" fontId="37" fillId="0" borderId="1" xfId="5" applyNumberFormat="1" applyFont="1" applyBorder="1" applyAlignment="1">
      <alignment horizontal="center" vertical="center" wrapText="1" shrinkToFit="1"/>
    </xf>
    <xf numFmtId="0" fontId="26" fillId="0" borderId="9" xfId="5" applyFont="1" applyBorder="1" applyAlignment="1">
      <alignment horizontal="center" vertical="center"/>
    </xf>
    <xf numFmtId="0" fontId="37" fillId="0" borderId="1" xfId="5" applyNumberFormat="1" applyFont="1" applyFill="1" applyBorder="1" applyAlignment="1">
      <alignment horizontal="center" vertical="center" wrapText="1" shrinkToFit="1"/>
    </xf>
    <xf numFmtId="49" fontId="28" fillId="0" borderId="11" xfId="5" applyNumberFormat="1" applyFont="1" applyBorder="1" applyAlignment="1">
      <alignment horizontal="center" vertical="center" wrapText="1" shrinkToFit="1"/>
    </xf>
    <xf numFmtId="49" fontId="28" fillId="0" borderId="12" xfId="5" applyNumberFormat="1" applyFont="1" applyBorder="1" applyAlignment="1">
      <alignment horizontal="center" vertical="center" wrapText="1" shrinkToFit="1"/>
    </xf>
    <xf numFmtId="0" fontId="30" fillId="7" borderId="12" xfId="5" applyFont="1" applyFill="1" applyBorder="1" applyAlignment="1">
      <alignment horizontal="left" vertical="center" wrapText="1"/>
    </xf>
    <xf numFmtId="0" fontId="28" fillId="0" borderId="12" xfId="5" applyNumberFormat="1" applyFont="1" applyBorder="1" applyAlignment="1">
      <alignment horizontal="center" vertical="center" wrapText="1" shrinkToFit="1"/>
    </xf>
    <xf numFmtId="0" fontId="28" fillId="0" borderId="12" xfId="5" applyNumberFormat="1" applyFont="1" applyFill="1" applyBorder="1" applyAlignment="1">
      <alignment horizontal="center" vertical="center" wrapText="1" shrinkToFit="1"/>
    </xf>
    <xf numFmtId="164" fontId="33" fillId="0" borderId="13" xfId="5" applyNumberFormat="1" applyFont="1" applyFill="1" applyBorder="1" applyAlignment="1">
      <alignment horizontal="center" vertical="center" wrapText="1" shrinkToFit="1"/>
    </xf>
    <xf numFmtId="49" fontId="26" fillId="0" borderId="14" xfId="5" applyNumberFormat="1" applyFont="1" applyFill="1" applyBorder="1" applyAlignment="1">
      <alignment horizontal="center" vertical="center" wrapText="1" shrinkToFit="1"/>
    </xf>
    <xf numFmtId="49" fontId="28" fillId="0" borderId="4" xfId="5" applyNumberFormat="1" applyFont="1" applyBorder="1" applyAlignment="1">
      <alignment horizontal="center" vertical="center" wrapText="1" shrinkToFit="1"/>
    </xf>
    <xf numFmtId="0" fontId="30" fillId="7" borderId="4" xfId="5" applyFont="1" applyFill="1" applyBorder="1" applyAlignment="1">
      <alignment horizontal="left" vertical="center" wrapText="1"/>
    </xf>
    <xf numFmtId="0" fontId="28" fillId="0" borderId="4" xfId="5" applyNumberFormat="1" applyFont="1" applyBorder="1" applyAlignment="1">
      <alignment horizontal="center" vertical="center" wrapText="1" shrinkToFit="1"/>
    </xf>
    <xf numFmtId="164" fontId="33" fillId="0" borderId="15" xfId="5" applyNumberFormat="1" applyFont="1" applyFill="1" applyBorder="1" applyAlignment="1">
      <alignment horizontal="center" vertical="center" wrapText="1" shrinkToFit="1"/>
    </xf>
    <xf numFmtId="0" fontId="26" fillId="0" borderId="0" xfId="5" applyFont="1" applyAlignment="1">
      <alignment vertical="center"/>
    </xf>
    <xf numFmtId="49" fontId="26" fillId="7" borderId="1" xfId="5" applyNumberFormat="1" applyFont="1" applyFill="1" applyBorder="1" applyAlignment="1">
      <alignment horizontal="center" vertical="center" wrapText="1" shrinkToFit="1"/>
    </xf>
    <xf numFmtId="49" fontId="28" fillId="7" borderId="1" xfId="5" applyNumberFormat="1" applyFont="1" applyFill="1" applyBorder="1" applyAlignment="1">
      <alignment horizontal="center" vertical="center" wrapText="1" shrinkToFit="1"/>
    </xf>
    <xf numFmtId="0" fontId="28" fillId="7" borderId="1" xfId="5" applyNumberFormat="1" applyFont="1" applyFill="1" applyBorder="1" applyAlignment="1">
      <alignment horizontal="center" vertical="center" wrapText="1" shrinkToFit="1"/>
    </xf>
    <xf numFmtId="165" fontId="28" fillId="7" borderId="1" xfId="5" applyNumberFormat="1" applyFont="1" applyFill="1" applyBorder="1" applyAlignment="1">
      <alignment horizontal="center" vertical="center" wrapText="1" shrinkToFit="1"/>
    </xf>
    <xf numFmtId="164" fontId="28" fillId="7" borderId="3" xfId="5" applyNumberFormat="1" applyFont="1" applyFill="1" applyBorder="1" applyAlignment="1">
      <alignment horizontal="center" vertical="center"/>
    </xf>
    <xf numFmtId="0" fontId="26" fillId="0" borderId="0" xfId="5" applyFont="1" applyFill="1"/>
    <xf numFmtId="164" fontId="26" fillId="0" borderId="10" xfId="5" applyNumberFormat="1" applyFont="1" applyFill="1" applyBorder="1" applyAlignment="1">
      <alignment horizontal="center" vertical="center" shrinkToFit="1"/>
    </xf>
    <xf numFmtId="164" fontId="33" fillId="7" borderId="1" xfId="5" applyNumberFormat="1" applyFont="1" applyFill="1" applyBorder="1" applyAlignment="1">
      <alignment horizontal="center" vertical="center" wrapText="1" shrinkToFit="1"/>
    </xf>
    <xf numFmtId="164" fontId="26" fillId="0" borderId="1" xfId="5" applyNumberFormat="1" applyFont="1" applyFill="1" applyBorder="1" applyAlignment="1">
      <alignment horizontal="center" vertical="center"/>
    </xf>
    <xf numFmtId="0" fontId="18" fillId="7" borderId="1" xfId="5" applyFill="1" applyBorder="1" applyAlignment="1">
      <alignment vertical="center" wrapText="1"/>
    </xf>
    <xf numFmtId="0" fontId="26" fillId="7" borderId="1" xfId="5" applyFont="1" applyFill="1" applyBorder="1" applyAlignment="1">
      <alignment vertical="center" wrapText="1"/>
    </xf>
    <xf numFmtId="164" fontId="26" fillId="7" borderId="1" xfId="5" applyNumberFormat="1" applyFont="1" applyFill="1" applyBorder="1" applyAlignment="1">
      <alignment horizontal="center" vertical="center" wrapText="1"/>
    </xf>
    <xf numFmtId="164" fontId="26" fillId="7" borderId="1" xfId="5" applyNumberFormat="1" applyFont="1" applyFill="1" applyBorder="1" applyAlignment="1">
      <alignment vertical="center" wrapText="1"/>
    </xf>
    <xf numFmtId="0" fontId="26" fillId="7" borderId="1" xfId="5" applyFont="1" applyFill="1" applyBorder="1" applyAlignment="1">
      <alignment horizontal="center" vertical="center" shrinkToFit="1"/>
    </xf>
    <xf numFmtId="0" fontId="26" fillId="7" borderId="1" xfId="5" applyFont="1" applyFill="1" applyBorder="1" applyAlignment="1">
      <alignment horizontal="left" vertical="center" shrinkToFit="1"/>
    </xf>
    <xf numFmtId="164" fontId="26" fillId="7" borderId="1" xfId="5" applyNumberFormat="1" applyFont="1" applyFill="1" applyBorder="1" applyAlignment="1">
      <alignment horizontal="center" vertical="center" shrinkToFit="1"/>
    </xf>
    <xf numFmtId="164" fontId="26" fillId="7" borderId="1" xfId="5" applyNumberFormat="1" applyFont="1" applyFill="1" applyBorder="1" applyAlignment="1">
      <alignment horizontal="center"/>
    </xf>
    <xf numFmtId="49" fontId="26" fillId="0" borderId="9" xfId="5" applyNumberFormat="1" applyFont="1" applyBorder="1" applyAlignment="1">
      <alignment horizontal="center" vertical="center" wrapText="1" shrinkToFit="1"/>
    </xf>
    <xf numFmtId="49" fontId="26" fillId="0" borderId="1" xfId="5" applyNumberFormat="1" applyFont="1" applyBorder="1" applyAlignment="1">
      <alignment horizontal="center" vertical="center" wrapText="1" shrinkToFit="1"/>
    </xf>
    <xf numFmtId="0" fontId="26" fillId="0" borderId="1" xfId="5" applyNumberFormat="1" applyFont="1" applyBorder="1" applyAlignment="1">
      <alignment horizontal="center" vertical="center" wrapText="1" shrinkToFit="1"/>
    </xf>
    <xf numFmtId="49" fontId="28" fillId="7" borderId="9" xfId="5" applyNumberFormat="1" applyFont="1" applyFill="1" applyBorder="1" applyAlignment="1">
      <alignment horizontal="center" vertical="center" wrapText="1" shrinkToFit="1"/>
    </xf>
    <xf numFmtId="164" fontId="33" fillId="7" borderId="10" xfId="5" applyNumberFormat="1" applyFont="1" applyFill="1" applyBorder="1" applyAlignment="1">
      <alignment horizontal="center" vertical="center" wrapText="1" shrinkToFit="1"/>
    </xf>
    <xf numFmtId="49" fontId="28" fillId="0" borderId="14" xfId="5" applyNumberFormat="1" applyFont="1" applyBorder="1" applyAlignment="1">
      <alignment horizontal="center" vertical="center" wrapText="1" shrinkToFit="1"/>
    </xf>
    <xf numFmtId="0" fontId="28" fillId="7" borderId="4" xfId="5" applyNumberFormat="1" applyFont="1" applyFill="1" applyBorder="1" applyAlignment="1">
      <alignment horizontal="center" vertical="center" wrapText="1" shrinkToFit="1"/>
    </xf>
    <xf numFmtId="0" fontId="34" fillId="0" borderId="9" xfId="5" applyFont="1" applyFill="1" applyBorder="1" applyAlignment="1">
      <alignment horizontal="center" vertical="center" shrinkToFit="1"/>
    </xf>
    <xf numFmtId="0" fontId="34" fillId="0" borderId="1" xfId="5" applyFont="1" applyFill="1" applyBorder="1" applyAlignment="1">
      <alignment horizontal="center" vertical="center" shrinkToFit="1"/>
    </xf>
    <xf numFmtId="164" fontId="34" fillId="0" borderId="10" xfId="5" applyNumberFormat="1" applyFont="1" applyFill="1" applyBorder="1" applyAlignment="1">
      <alignment horizontal="center" vertical="center" shrinkToFit="1"/>
    </xf>
    <xf numFmtId="0" fontId="42" fillId="7" borderId="1" xfId="5" applyFont="1" applyFill="1" applyBorder="1" applyAlignment="1">
      <alignment horizontal="center" vertical="center" shrinkToFit="1"/>
    </xf>
    <xf numFmtId="164" fontId="42" fillId="7" borderId="10" xfId="5" applyNumberFormat="1" applyFont="1" applyFill="1" applyBorder="1" applyAlignment="1">
      <alignment horizontal="center" vertical="center" shrinkToFit="1"/>
    </xf>
    <xf numFmtId="0" fontId="26" fillId="0" borderId="9" xfId="5" applyFont="1" applyFill="1" applyBorder="1" applyAlignment="1">
      <alignment horizontal="center" vertical="center" shrinkToFit="1"/>
    </xf>
    <xf numFmtId="0" fontId="26" fillId="7" borderId="9" xfId="5" applyFont="1" applyFill="1" applyBorder="1" applyAlignment="1">
      <alignment horizontal="center" vertical="center" shrinkToFit="1"/>
    </xf>
    <xf numFmtId="165" fontId="26" fillId="7" borderId="1" xfId="5" applyNumberFormat="1" applyFont="1" applyFill="1" applyBorder="1" applyAlignment="1">
      <alignment horizontal="center" vertical="center" shrinkToFit="1"/>
    </xf>
    <xf numFmtId="3" fontId="26" fillId="7" borderId="10" xfId="5" applyNumberFormat="1" applyFont="1" applyFill="1" applyBorder="1" applyAlignment="1">
      <alignment horizontal="center" vertical="center" shrinkToFit="1"/>
    </xf>
    <xf numFmtId="0" fontId="26" fillId="7" borderId="11" xfId="5" applyFont="1" applyFill="1" applyBorder="1" applyAlignment="1">
      <alignment horizontal="center" vertical="center" shrinkToFit="1"/>
    </xf>
    <xf numFmtId="49" fontId="28" fillId="7" borderId="12" xfId="5" applyNumberFormat="1" applyFont="1" applyFill="1" applyBorder="1" applyAlignment="1">
      <alignment horizontal="center" vertical="center" wrapText="1" shrinkToFit="1"/>
    </xf>
    <xf numFmtId="0" fontId="28" fillId="7" borderId="12" xfId="5" applyNumberFormat="1" applyFont="1" applyFill="1" applyBorder="1" applyAlignment="1">
      <alignment horizontal="center" vertical="center" wrapText="1" shrinkToFit="1"/>
    </xf>
    <xf numFmtId="165" fontId="28" fillId="7" borderId="12" xfId="5" applyNumberFormat="1" applyFont="1" applyFill="1" applyBorder="1" applyAlignment="1">
      <alignment horizontal="center" vertical="center" wrapText="1" shrinkToFit="1"/>
    </xf>
    <xf numFmtId="3" fontId="26" fillId="7" borderId="13" xfId="5" applyNumberFormat="1" applyFont="1" applyFill="1" applyBorder="1" applyAlignment="1">
      <alignment horizontal="center" vertical="center" shrinkToFit="1"/>
    </xf>
    <xf numFmtId="0" fontId="18" fillId="0" borderId="0" xfId="5" applyFont="1" applyFill="1"/>
    <xf numFmtId="49" fontId="28" fillId="0" borderId="11" xfId="5" applyNumberFormat="1" applyFont="1" applyFill="1" applyBorder="1" applyAlignment="1">
      <alignment horizontal="center" vertical="center" wrapText="1" shrinkToFit="1"/>
    </xf>
    <xf numFmtId="49" fontId="28" fillId="0" borderId="12" xfId="5" applyNumberFormat="1" applyFont="1" applyFill="1" applyBorder="1" applyAlignment="1">
      <alignment horizontal="center" vertical="center" wrapText="1" shrinkToFit="1"/>
    </xf>
    <xf numFmtId="0" fontId="30" fillId="0" borderId="12" xfId="5" applyFont="1" applyFill="1" applyBorder="1" applyAlignment="1">
      <alignment horizontal="left" vertical="center" wrapText="1"/>
    </xf>
    <xf numFmtId="0" fontId="26" fillId="0" borderId="11" xfId="5" applyFont="1" applyFill="1" applyBorder="1" applyAlignment="1">
      <alignment horizontal="center" vertical="center" shrinkToFit="1"/>
    </xf>
    <xf numFmtId="164" fontId="26" fillId="0" borderId="13" xfId="5" applyNumberFormat="1" applyFont="1" applyFill="1" applyBorder="1" applyAlignment="1">
      <alignment horizontal="center" vertical="center" shrinkToFit="1"/>
    </xf>
    <xf numFmtId="164" fontId="26" fillId="0" borderId="1" xfId="5" applyNumberFormat="1" applyFont="1" applyBorder="1" applyAlignment="1">
      <alignment horizontal="center" vertical="center"/>
    </xf>
    <xf numFmtId="49" fontId="28" fillId="7" borderId="9" xfId="5" applyNumberFormat="1" applyFont="1" applyFill="1" applyBorder="1" applyAlignment="1">
      <alignment horizontal="center" vertical="center"/>
    </xf>
    <xf numFmtId="3" fontId="28" fillId="7" borderId="10" xfId="5" applyNumberFormat="1" applyFont="1" applyFill="1" applyBorder="1" applyAlignment="1">
      <alignment horizontal="center" vertical="center" wrapText="1" shrinkToFit="1"/>
    </xf>
    <xf numFmtId="164" fontId="26" fillId="7" borderId="1" xfId="5" applyNumberFormat="1" applyFont="1" applyFill="1" applyBorder="1" applyAlignment="1">
      <alignment horizontal="center" vertical="center"/>
    </xf>
    <xf numFmtId="49" fontId="37" fillId="7" borderId="9" xfId="5" applyNumberFormat="1" applyFont="1" applyFill="1" applyBorder="1" applyAlignment="1">
      <alignment horizontal="center" vertical="center"/>
    </xf>
    <xf numFmtId="49" fontId="37" fillId="7" borderId="1" xfId="5" applyNumberFormat="1" applyFont="1" applyFill="1" applyBorder="1" applyAlignment="1">
      <alignment horizontal="center" vertical="center" wrapText="1" shrinkToFit="1"/>
    </xf>
    <xf numFmtId="0" fontId="37" fillId="7" borderId="1" xfId="5" applyNumberFormat="1" applyFont="1" applyFill="1" applyBorder="1" applyAlignment="1">
      <alignment horizontal="center" vertical="center" wrapText="1" shrinkToFit="1"/>
    </xf>
    <xf numFmtId="164" fontId="37" fillId="0" borderId="10" xfId="5" applyNumberFormat="1" applyFont="1" applyFill="1" applyBorder="1" applyAlignment="1">
      <alignment horizontal="center" vertical="center" wrapText="1" shrinkToFit="1"/>
    </xf>
    <xf numFmtId="49" fontId="28" fillId="0" borderId="9" xfId="5" applyNumberFormat="1" applyFont="1" applyFill="1" applyBorder="1" applyAlignment="1">
      <alignment horizontal="center" vertical="center"/>
    </xf>
    <xf numFmtId="164" fontId="28" fillId="0" borderId="10" xfId="5" applyNumberFormat="1" applyFont="1" applyFill="1" applyBorder="1" applyAlignment="1">
      <alignment horizontal="center" vertical="center" wrapText="1" shrinkToFit="1"/>
    </xf>
    <xf numFmtId="49" fontId="37" fillId="0" borderId="9" xfId="5" applyNumberFormat="1" applyFont="1" applyFill="1" applyBorder="1" applyAlignment="1">
      <alignment horizontal="center" vertical="center"/>
    </xf>
    <xf numFmtId="0" fontId="33" fillId="7" borderId="1" xfId="5" applyFont="1" applyFill="1" applyBorder="1" applyAlignment="1">
      <alignment horizontal="left" vertical="center" wrapText="1"/>
    </xf>
    <xf numFmtId="164" fontId="28" fillId="7" borderId="10" xfId="5" applyNumberFormat="1" applyFont="1" applyFill="1" applyBorder="1" applyAlignment="1">
      <alignment horizontal="center" vertical="center" wrapText="1" shrinkToFit="1"/>
    </xf>
    <xf numFmtId="0" fontId="38" fillId="7" borderId="1" xfId="5" applyFont="1" applyFill="1" applyBorder="1" applyAlignment="1">
      <alignment horizontal="left" vertical="center" wrapText="1"/>
    </xf>
    <xf numFmtId="49" fontId="37" fillId="7" borderId="11" xfId="5" applyNumberFormat="1" applyFont="1" applyFill="1" applyBorder="1" applyAlignment="1">
      <alignment horizontal="center" vertical="center"/>
    </xf>
    <xf numFmtId="49" fontId="37" fillId="7" borderId="12" xfId="5" applyNumberFormat="1" applyFont="1" applyFill="1" applyBorder="1" applyAlignment="1">
      <alignment horizontal="center" vertical="center" wrapText="1" shrinkToFit="1"/>
    </xf>
    <xf numFmtId="0" fontId="38" fillId="7" borderId="12" xfId="5" applyFont="1" applyFill="1" applyBorder="1" applyAlignment="1">
      <alignment horizontal="left" vertical="center" wrapText="1"/>
    </xf>
    <xf numFmtId="0" fontId="37" fillId="7" borderId="12" xfId="5" applyNumberFormat="1" applyFont="1" applyFill="1" applyBorder="1" applyAlignment="1">
      <alignment horizontal="center" vertical="center" wrapText="1" shrinkToFit="1"/>
    </xf>
    <xf numFmtId="164" fontId="37" fillId="0" borderId="13" xfId="5" applyNumberFormat="1" applyFont="1" applyFill="1" applyBorder="1" applyAlignment="1">
      <alignment horizontal="center" vertical="center" wrapText="1" shrinkToFit="1"/>
    </xf>
    <xf numFmtId="0" fontId="26" fillId="0" borderId="1" xfId="5" applyFont="1" applyBorder="1" applyAlignment="1">
      <alignment horizontal="center" vertical="center"/>
    </xf>
    <xf numFmtId="49" fontId="28" fillId="0" borderId="1" xfId="5" applyNumberFormat="1" applyFont="1" applyFill="1" applyBorder="1" applyAlignment="1">
      <alignment horizontal="center" vertical="center"/>
    </xf>
    <xf numFmtId="49" fontId="28" fillId="7" borderId="1" xfId="5" applyNumberFormat="1" applyFont="1" applyFill="1" applyBorder="1" applyAlignment="1">
      <alignment horizontal="center" vertical="center"/>
    </xf>
    <xf numFmtId="164" fontId="28" fillId="0" borderId="1" xfId="5" applyNumberFormat="1" applyFont="1" applyFill="1" applyBorder="1" applyAlignment="1">
      <alignment horizontal="center" vertical="center" wrapText="1" shrinkToFit="1"/>
    </xf>
    <xf numFmtId="49" fontId="28" fillId="0" borderId="11" xfId="5" applyNumberFormat="1" applyFont="1" applyFill="1" applyBorder="1" applyAlignment="1">
      <alignment horizontal="center" vertical="center"/>
    </xf>
    <xf numFmtId="164" fontId="28" fillId="0" borderId="13" xfId="5" applyNumberFormat="1" applyFont="1" applyFill="1" applyBorder="1" applyAlignment="1">
      <alignment horizontal="center" vertical="center" wrapText="1" shrinkToFit="1"/>
    </xf>
    <xf numFmtId="49" fontId="28" fillId="7" borderId="14" xfId="5" applyNumberFormat="1" applyFont="1" applyFill="1" applyBorder="1" applyAlignment="1">
      <alignment horizontal="center" vertical="center"/>
    </xf>
    <xf numFmtId="49" fontId="28" fillId="7" borderId="4" xfId="5" applyNumberFormat="1" applyFont="1" applyFill="1" applyBorder="1" applyAlignment="1">
      <alignment horizontal="center" vertical="center" wrapText="1" shrinkToFit="1"/>
    </xf>
    <xf numFmtId="0" fontId="28" fillId="7" borderId="4" xfId="5" applyFont="1" applyFill="1" applyBorder="1" applyAlignment="1">
      <alignment horizontal="left" vertical="center" wrapText="1"/>
    </xf>
    <xf numFmtId="164" fontId="28" fillId="0" borderId="15" xfId="5" applyNumberFormat="1" applyFont="1" applyFill="1" applyBorder="1" applyAlignment="1">
      <alignment horizontal="center" vertical="center" wrapText="1" shrinkToFit="1"/>
    </xf>
    <xf numFmtId="49" fontId="28" fillId="7" borderId="11" xfId="5" applyNumberFormat="1" applyFont="1" applyFill="1" applyBorder="1" applyAlignment="1">
      <alignment horizontal="center" vertical="center"/>
    </xf>
    <xf numFmtId="0" fontId="28" fillId="7" borderId="12" xfId="5" applyFont="1" applyFill="1" applyBorder="1" applyAlignment="1">
      <alignment horizontal="left" vertical="center" wrapText="1"/>
    </xf>
    <xf numFmtId="164" fontId="28" fillId="7" borderId="13" xfId="5" applyNumberFormat="1" applyFont="1" applyFill="1" applyBorder="1" applyAlignment="1">
      <alignment horizontal="center" vertical="center" wrapText="1" shrinkToFit="1"/>
    </xf>
    <xf numFmtId="0" fontId="28" fillId="7" borderId="1" xfId="5" applyFont="1" applyFill="1" applyBorder="1" applyAlignment="1">
      <alignment vertical="center" wrapText="1"/>
    </xf>
    <xf numFmtId="164" fontId="28" fillId="7" borderId="1" xfId="5" applyNumberFormat="1" applyFont="1" applyFill="1" applyBorder="1" applyAlignment="1">
      <alignment horizontal="center" vertical="center" wrapText="1" shrinkToFit="1"/>
    </xf>
    <xf numFmtId="9" fontId="18" fillId="0" borderId="0" xfId="5" applyNumberFormat="1" applyFont="1" applyFill="1" applyAlignment="1">
      <alignment horizontal="center" vertical="center"/>
    </xf>
    <xf numFmtId="0" fontId="18" fillId="0" borderId="0" xfId="5" applyFont="1" applyAlignment="1">
      <alignment horizontal="center" vertical="center"/>
    </xf>
    <xf numFmtId="164" fontId="45" fillId="0" borderId="0" xfId="5" applyNumberFormat="1" applyFont="1" applyFill="1" applyBorder="1" applyAlignment="1">
      <alignment horizontal="center" vertical="center"/>
    </xf>
    <xf numFmtId="164" fontId="18" fillId="0" borderId="0" xfId="5" applyNumberFormat="1" applyFont="1" applyBorder="1" applyAlignment="1">
      <alignment horizontal="center" vertical="center"/>
    </xf>
    <xf numFmtId="164" fontId="45" fillId="0" borderId="0" xfId="5" applyNumberFormat="1" applyFont="1" applyFill="1" applyBorder="1" applyAlignment="1">
      <alignment horizontal="center" vertical="center" shrinkToFit="1"/>
    </xf>
    <xf numFmtId="164" fontId="45" fillId="0" borderId="0" xfId="5" applyNumberFormat="1" applyFont="1" applyBorder="1" applyAlignment="1">
      <alignment horizontal="center" vertical="center"/>
    </xf>
    <xf numFmtId="164" fontId="18" fillId="0" borderId="0" xfId="5" applyNumberFormat="1" applyFont="1" applyAlignment="1">
      <alignment horizontal="center" vertical="center"/>
    </xf>
    <xf numFmtId="49" fontId="3" fillId="25" borderId="1" xfId="7" applyNumberFormat="1" applyFont="1" applyFill="1" applyBorder="1" applyAlignment="1">
      <alignment horizontal="left" vertical="center"/>
    </xf>
    <xf numFmtId="0" fontId="3" fillId="25" borderId="1" xfId="7" applyFont="1" applyFill="1" applyBorder="1" applyAlignment="1">
      <alignment horizontal="center" vertical="center" wrapText="1"/>
    </xf>
    <xf numFmtId="49" fontId="3" fillId="25" borderId="1" xfId="7" applyNumberFormat="1" applyFont="1" applyFill="1" applyBorder="1" applyAlignment="1">
      <alignment horizontal="center" vertical="center" wrapText="1"/>
    </xf>
    <xf numFmtId="49" fontId="3" fillId="25" borderId="1" xfId="8" applyNumberFormat="1" applyFont="1" applyFill="1" applyBorder="1" applyAlignment="1">
      <alignment horizontal="center" vertical="center" wrapText="1"/>
    </xf>
    <xf numFmtId="49" fontId="3" fillId="25" borderId="1" xfId="9" applyNumberFormat="1" applyFont="1" applyFill="1" applyBorder="1" applyAlignment="1">
      <alignment horizontal="center" vertical="center" wrapText="1"/>
    </xf>
    <xf numFmtId="166" fontId="3" fillId="25" borderId="1" xfId="8" applyNumberFormat="1" applyFont="1" applyFill="1" applyBorder="1" applyAlignment="1">
      <alignment horizontal="center" vertical="center" wrapText="1"/>
    </xf>
    <xf numFmtId="4" fontId="3" fillId="25" borderId="1" xfId="10" applyNumberFormat="1" applyFont="1" applyFill="1" applyBorder="1" applyAlignment="1">
      <alignment horizontal="center" vertical="center" wrapText="1"/>
    </xf>
    <xf numFmtId="0" fontId="18" fillId="0" borderId="0" xfId="5"/>
    <xf numFmtId="0" fontId="48" fillId="27" borderId="1" xfId="3" applyFont="1" applyFill="1" applyBorder="1" applyAlignment="1">
      <alignment horizontal="left"/>
    </xf>
    <xf numFmtId="0" fontId="48" fillId="27" borderId="1" xfId="3" applyFont="1" applyFill="1" applyBorder="1" applyAlignment="1">
      <alignment horizontal="center"/>
    </xf>
    <xf numFmtId="166" fontId="48" fillId="27" borderId="1" xfId="3" applyNumberFormat="1" applyFont="1" applyFill="1" applyBorder="1" applyAlignment="1">
      <alignment horizontal="center"/>
    </xf>
    <xf numFmtId="4" fontId="48" fillId="27" borderId="1" xfId="10" applyNumberFormat="1" applyFont="1" applyFill="1" applyBorder="1" applyAlignment="1">
      <alignment horizontal="center"/>
    </xf>
    <xf numFmtId="0" fontId="48" fillId="24" borderId="1" xfId="3" applyFont="1" applyFill="1" applyBorder="1" applyAlignment="1">
      <alignment horizontal="left"/>
    </xf>
    <xf numFmtId="0" fontId="48" fillId="24" borderId="1" xfId="3" applyFont="1" applyFill="1" applyBorder="1" applyAlignment="1">
      <alignment horizontal="center"/>
    </xf>
    <xf numFmtId="166" fontId="48" fillId="24" borderId="1" xfId="3" applyNumberFormat="1" applyFont="1" applyFill="1" applyBorder="1" applyAlignment="1">
      <alignment horizontal="center"/>
    </xf>
    <xf numFmtId="4" fontId="48" fillId="24" borderId="1" xfId="10" applyNumberFormat="1" applyFont="1" applyFill="1" applyBorder="1" applyAlignment="1">
      <alignment horizontal="center"/>
    </xf>
    <xf numFmtId="0" fontId="48" fillId="6" borderId="1" xfId="3" applyFont="1" applyFill="1" applyBorder="1" applyAlignment="1">
      <alignment horizontal="left"/>
    </xf>
    <xf numFmtId="0" fontId="48" fillId="6" borderId="1" xfId="3" applyFont="1" applyFill="1" applyBorder="1" applyAlignment="1">
      <alignment horizontal="center"/>
    </xf>
    <xf numFmtId="166" fontId="48" fillId="6" borderId="1" xfId="3" applyNumberFormat="1" applyFont="1" applyFill="1" applyBorder="1" applyAlignment="1">
      <alignment horizontal="center"/>
    </xf>
    <xf numFmtId="4" fontId="48" fillId="6" borderId="1" xfId="10" applyNumberFormat="1" applyFont="1" applyFill="1" applyBorder="1" applyAlignment="1">
      <alignment horizontal="center"/>
    </xf>
    <xf numFmtId="49" fontId="49" fillId="0" borderId="1" xfId="3" applyNumberFormat="1" applyFont="1" applyBorder="1" applyAlignment="1">
      <alignment horizontal="left"/>
    </xf>
    <xf numFmtId="0" fontId="49" fillId="0" borderId="1" xfId="3" applyFont="1" applyBorder="1" applyAlignment="1">
      <alignment horizontal="center" vertical="center"/>
    </xf>
    <xf numFmtId="166" fontId="49" fillId="0" borderId="1" xfId="3" applyNumberFormat="1" applyFont="1" applyFill="1" applyBorder="1" applyAlignment="1">
      <alignment horizontal="center" vertical="center"/>
    </xf>
    <xf numFmtId="4" fontId="49" fillId="0" borderId="1" xfId="10" applyNumberFormat="1" applyFont="1" applyFill="1" applyBorder="1" applyAlignment="1">
      <alignment horizontal="center" vertical="center"/>
    </xf>
    <xf numFmtId="49" fontId="49" fillId="0" borderId="1" xfId="11" applyNumberFormat="1" applyFont="1" applyBorder="1" applyAlignment="1">
      <alignment horizontal="left" vertical="top"/>
    </xf>
    <xf numFmtId="166" fontId="50" fillId="0" borderId="1" xfId="3" applyNumberFormat="1" applyFont="1" applyBorder="1" applyAlignment="1">
      <alignment horizontal="center" vertical="center"/>
    </xf>
    <xf numFmtId="4" fontId="50" fillId="0" borderId="1" xfId="10" applyNumberFormat="1" applyFont="1" applyBorder="1" applyAlignment="1">
      <alignment horizontal="center" vertical="center"/>
    </xf>
    <xf numFmtId="166" fontId="49" fillId="0" borderId="1" xfId="3" applyNumberFormat="1" applyFont="1" applyBorder="1" applyAlignment="1">
      <alignment horizontal="center" vertical="center"/>
    </xf>
    <xf numFmtId="4" fontId="49" fillId="0" borderId="1" xfId="10" applyNumberFormat="1" applyFont="1" applyBorder="1" applyAlignment="1">
      <alignment horizontal="center" vertical="center"/>
    </xf>
    <xf numFmtId="49" fontId="49" fillId="0" borderId="1" xfId="3" applyNumberFormat="1" applyFont="1" applyFill="1" applyBorder="1" applyAlignment="1">
      <alignment horizontal="left"/>
    </xf>
    <xf numFmtId="49" fontId="49" fillId="0" borderId="1" xfId="12" applyNumberFormat="1" applyFont="1" applyFill="1" applyBorder="1" applyAlignment="1">
      <alignment horizontal="left" vertical="center" wrapText="1"/>
    </xf>
    <xf numFmtId="0" fontId="49" fillId="0" borderId="1" xfId="3" applyFont="1" applyFill="1" applyBorder="1" applyAlignment="1">
      <alignment horizontal="center" vertical="center"/>
    </xf>
    <xf numFmtId="0" fontId="18" fillId="0" borderId="0" xfId="5" applyFill="1"/>
    <xf numFmtId="49" fontId="52" fillId="0" borderId="1" xfId="13" applyNumberFormat="1" applyFont="1" applyFill="1" applyBorder="1" applyAlignment="1">
      <alignment horizontal="left" vertical="center"/>
    </xf>
    <xf numFmtId="49" fontId="52" fillId="0" borderId="1" xfId="13" applyNumberFormat="1" applyFont="1" applyFill="1" applyBorder="1" applyAlignment="1">
      <alignment horizontal="left" vertical="top"/>
    </xf>
    <xf numFmtId="0" fontId="48" fillId="0" borderId="1" xfId="3" applyFont="1" applyFill="1" applyBorder="1" applyAlignment="1">
      <alignment horizontal="center"/>
    </xf>
    <xf numFmtId="166" fontId="49" fillId="0" borderId="1" xfId="3" applyNumberFormat="1" applyFont="1" applyFill="1" applyBorder="1" applyAlignment="1">
      <alignment horizontal="center"/>
    </xf>
    <xf numFmtId="4" fontId="49" fillId="0" borderId="1" xfId="10" applyNumberFormat="1" applyFont="1" applyFill="1" applyBorder="1" applyAlignment="1">
      <alignment horizontal="center"/>
    </xf>
    <xf numFmtId="49" fontId="49" fillId="0" borderId="1" xfId="3" applyNumberFormat="1" applyFont="1" applyBorder="1" applyAlignment="1">
      <alignment horizontal="left" vertical="center"/>
    </xf>
    <xf numFmtId="49" fontId="49" fillId="0" borderId="1" xfId="3" applyNumberFormat="1" applyFont="1" applyBorder="1" applyAlignment="1">
      <alignment horizontal="left" vertical="top"/>
    </xf>
    <xf numFmtId="49" fontId="49" fillId="0" borderId="1" xfId="11" applyNumberFormat="1" applyFont="1" applyBorder="1" applyAlignment="1">
      <alignment horizontal="left" vertical="center"/>
    </xf>
    <xf numFmtId="49" fontId="50" fillId="0" borderId="1" xfId="3" applyNumberFormat="1" applyFont="1" applyBorder="1" applyAlignment="1">
      <alignment horizontal="left"/>
    </xf>
    <xf numFmtId="49" fontId="50" fillId="7" borderId="1" xfId="3" applyNumberFormat="1" applyFont="1" applyFill="1" applyBorder="1" applyAlignment="1">
      <alignment horizontal="left"/>
    </xf>
    <xf numFmtId="0" fontId="49" fillId="7" borderId="1" xfId="3" applyFont="1" applyFill="1" applyBorder="1" applyAlignment="1">
      <alignment horizontal="center" vertical="center"/>
    </xf>
    <xf numFmtId="49" fontId="49" fillId="0" borderId="1" xfId="14" applyNumberFormat="1" applyFont="1" applyFill="1" applyBorder="1" applyAlignment="1">
      <alignment horizontal="left" vertical="center"/>
    </xf>
    <xf numFmtId="49" fontId="49" fillId="0" borderId="1" xfId="12" applyNumberFormat="1" applyFont="1" applyFill="1" applyBorder="1" applyAlignment="1">
      <alignment horizontal="left" vertical="center"/>
    </xf>
    <xf numFmtId="49" fontId="49" fillId="7" borderId="1" xfId="14" applyNumberFormat="1" applyFont="1" applyFill="1" applyBorder="1" applyAlignment="1">
      <alignment horizontal="left" vertical="center"/>
    </xf>
    <xf numFmtId="49" fontId="49" fillId="7" borderId="1" xfId="12" applyNumberFormat="1" applyFont="1" applyFill="1" applyBorder="1" applyAlignment="1">
      <alignment horizontal="left" vertical="center"/>
    </xf>
    <xf numFmtId="49" fontId="49" fillId="28" borderId="1" xfId="12" applyNumberFormat="1" applyFont="1" applyFill="1" applyBorder="1" applyAlignment="1">
      <alignment horizontal="left" vertical="center"/>
    </xf>
    <xf numFmtId="49" fontId="52" fillId="28" borderId="1" xfId="13" applyNumberFormat="1" applyFont="1" applyFill="1" applyBorder="1" applyAlignment="1">
      <alignment horizontal="left" vertical="center"/>
    </xf>
    <xf numFmtId="49" fontId="52" fillId="28" borderId="1" xfId="13" applyNumberFormat="1" applyFont="1" applyFill="1" applyBorder="1" applyAlignment="1">
      <alignment horizontal="left" vertical="top"/>
    </xf>
    <xf numFmtId="166" fontId="50" fillId="0" borderId="1" xfId="3" applyNumberFormat="1" applyFont="1" applyFill="1" applyBorder="1" applyAlignment="1">
      <alignment horizontal="center" vertical="center"/>
    </xf>
    <xf numFmtId="49" fontId="49" fillId="7" borderId="1" xfId="3" applyNumberFormat="1" applyFont="1" applyFill="1" applyBorder="1" applyAlignment="1">
      <alignment horizontal="left"/>
    </xf>
    <xf numFmtId="49" fontId="49" fillId="7" borderId="1" xfId="3" applyNumberFormat="1" applyFont="1" applyFill="1" applyBorder="1" applyAlignment="1">
      <alignment horizontal="left" vertical="center"/>
    </xf>
    <xf numFmtId="49" fontId="50" fillId="7" borderId="1" xfId="3" applyNumberFormat="1" applyFont="1" applyFill="1" applyBorder="1" applyAlignment="1">
      <alignment horizontal="left" vertical="center"/>
    </xf>
    <xf numFmtId="0" fontId="50" fillId="7" borderId="1" xfId="3" applyFont="1" applyFill="1" applyBorder="1" applyAlignment="1">
      <alignment horizontal="center" vertical="center"/>
    </xf>
    <xf numFmtId="0" fontId="53" fillId="24" borderId="1" xfId="3" applyFont="1" applyFill="1" applyBorder="1" applyAlignment="1">
      <alignment horizontal="left"/>
    </xf>
    <xf numFmtId="0" fontId="53" fillId="24" borderId="1" xfId="3" applyFont="1" applyFill="1" applyBorder="1" applyAlignment="1">
      <alignment horizontal="center"/>
    </xf>
    <xf numFmtId="166" fontId="53" fillId="24" borderId="1" xfId="3" applyNumberFormat="1" applyFont="1" applyFill="1" applyBorder="1" applyAlignment="1">
      <alignment horizontal="center"/>
    </xf>
    <xf numFmtId="4" fontId="53" fillId="24" borderId="1" xfId="10" applyNumberFormat="1" applyFont="1" applyFill="1" applyBorder="1" applyAlignment="1">
      <alignment horizontal="center"/>
    </xf>
    <xf numFmtId="0" fontId="53" fillId="6" borderId="1" xfId="3" applyFont="1" applyFill="1" applyBorder="1" applyAlignment="1">
      <alignment horizontal="left"/>
    </xf>
    <xf numFmtId="0" fontId="53" fillId="6" borderId="1" xfId="3" applyFont="1" applyFill="1" applyBorder="1" applyAlignment="1">
      <alignment horizontal="center"/>
    </xf>
    <xf numFmtId="166" fontId="53" fillId="6" borderId="1" xfId="3" applyNumberFormat="1" applyFont="1" applyFill="1" applyBorder="1" applyAlignment="1">
      <alignment horizontal="center"/>
    </xf>
    <xf numFmtId="4" fontId="53" fillId="6" borderId="1" xfId="10" applyNumberFormat="1" applyFont="1" applyFill="1" applyBorder="1" applyAlignment="1">
      <alignment horizontal="center"/>
    </xf>
    <xf numFmtId="49" fontId="50" fillId="7" borderId="1" xfId="3" applyNumberFormat="1" applyFont="1" applyFill="1" applyBorder="1" applyAlignment="1">
      <alignment horizontal="center" vertical="center"/>
    </xf>
    <xf numFmtId="166" fontId="50" fillId="7" borderId="1" xfId="3" applyNumberFormat="1" applyFont="1" applyFill="1" applyBorder="1" applyAlignment="1">
      <alignment horizontal="center" vertical="center"/>
    </xf>
    <xf numFmtId="4" fontId="50" fillId="7" borderId="1" xfId="10" applyNumberFormat="1" applyFont="1" applyFill="1" applyBorder="1" applyAlignment="1">
      <alignment horizontal="center" vertical="center"/>
    </xf>
    <xf numFmtId="49" fontId="50" fillId="0" borderId="1" xfId="14" applyNumberFormat="1" applyFont="1" applyFill="1" applyBorder="1" applyAlignment="1">
      <alignment horizontal="left" vertical="center"/>
    </xf>
    <xf numFmtId="49" fontId="50" fillId="0" borderId="1" xfId="12" applyNumberFormat="1" applyFont="1" applyFill="1" applyBorder="1" applyAlignment="1">
      <alignment horizontal="left" vertical="center"/>
    </xf>
    <xf numFmtId="0" fontId="50" fillId="0" borderId="1" xfId="3" applyFont="1" applyBorder="1" applyAlignment="1">
      <alignment horizontal="center" vertical="center"/>
    </xf>
    <xf numFmtId="49" fontId="50" fillId="7" borderId="1" xfId="14" applyNumberFormat="1" applyFont="1" applyFill="1" applyBorder="1" applyAlignment="1">
      <alignment horizontal="left" vertical="center"/>
    </xf>
    <xf numFmtId="49" fontId="50" fillId="7" borderId="1" xfId="12" applyNumberFormat="1" applyFont="1" applyFill="1" applyBorder="1" applyAlignment="1">
      <alignment horizontal="left" vertical="center"/>
    </xf>
    <xf numFmtId="49" fontId="50" fillId="28" borderId="1" xfId="12" applyNumberFormat="1" applyFont="1" applyFill="1" applyBorder="1" applyAlignment="1">
      <alignment horizontal="left" vertical="center"/>
    </xf>
    <xf numFmtId="49" fontId="50" fillId="0" borderId="1" xfId="12" applyNumberFormat="1" applyFont="1" applyFill="1" applyBorder="1" applyAlignment="1">
      <alignment horizontal="left" vertical="center" wrapText="1"/>
    </xf>
    <xf numFmtId="0" fontId="50" fillId="0" borderId="1" xfId="3" applyFont="1" applyFill="1" applyBorder="1" applyAlignment="1">
      <alignment horizontal="center" vertical="center"/>
    </xf>
    <xf numFmtId="4" fontId="50" fillId="0" borderId="1" xfId="10" applyNumberFormat="1" applyFont="1" applyFill="1" applyBorder="1" applyAlignment="1">
      <alignment horizontal="center" vertical="center"/>
    </xf>
    <xf numFmtId="49" fontId="50" fillId="7" borderId="1" xfId="3" applyNumberFormat="1" applyFont="1" applyFill="1" applyBorder="1" applyAlignment="1">
      <alignment horizontal="right" vertical="center"/>
    </xf>
    <xf numFmtId="0" fontId="50" fillId="0" borderId="0" xfId="3" applyFont="1"/>
    <xf numFmtId="9" fontId="48" fillId="24" borderId="1" xfId="10" applyFont="1" applyFill="1" applyBorder="1" applyAlignment="1">
      <alignment horizontal="center"/>
    </xf>
    <xf numFmtId="9" fontId="48" fillId="6" borderId="1" xfId="10" applyFont="1" applyFill="1" applyBorder="1" applyAlignment="1">
      <alignment horizontal="center"/>
    </xf>
    <xf numFmtId="166" fontId="50" fillId="0" borderId="1" xfId="3" applyNumberFormat="1" applyFont="1" applyBorder="1" applyAlignment="1">
      <alignment horizontal="center"/>
    </xf>
    <xf numFmtId="4" fontId="50" fillId="0" borderId="1" xfId="10" applyNumberFormat="1" applyFont="1" applyBorder="1" applyAlignment="1">
      <alignment horizontal="center"/>
    </xf>
    <xf numFmtId="166" fontId="50" fillId="0" borderId="1" xfId="3" applyNumberFormat="1" applyFont="1" applyFill="1" applyBorder="1" applyAlignment="1">
      <alignment horizontal="center"/>
    </xf>
    <xf numFmtId="4" fontId="50" fillId="0" borderId="1" xfId="10" applyNumberFormat="1" applyFont="1" applyFill="1" applyBorder="1" applyAlignment="1">
      <alignment horizontal="center"/>
    </xf>
    <xf numFmtId="0" fontId="50" fillId="0" borderId="0" xfId="3" applyFont="1" applyFill="1"/>
    <xf numFmtId="4" fontId="18" fillId="0" borderId="0" xfId="5" applyNumberFormat="1"/>
    <xf numFmtId="0" fontId="48" fillId="24" borderId="1" xfId="5" applyFont="1" applyFill="1" applyBorder="1" applyAlignment="1">
      <alignment horizontal="left" vertical="center"/>
    </xf>
    <xf numFmtId="0" fontId="48" fillId="24" borderId="1" xfId="5" applyFont="1" applyFill="1" applyBorder="1" applyAlignment="1">
      <alignment horizontal="left" vertical="center" wrapText="1"/>
    </xf>
    <xf numFmtId="0" fontId="49" fillId="24" borderId="1" xfId="5" applyNumberFormat="1" applyFont="1" applyFill="1" applyBorder="1" applyAlignment="1">
      <alignment horizontal="center" vertical="center" wrapText="1"/>
    </xf>
    <xf numFmtId="4" fontId="49" fillId="24" borderId="1" xfId="5" applyNumberFormat="1" applyFont="1" applyFill="1" applyBorder="1" applyAlignment="1">
      <alignment horizontal="center" vertical="center" wrapText="1"/>
    </xf>
    <xf numFmtId="166" fontId="49" fillId="24" borderId="1" xfId="5" applyNumberFormat="1" applyFont="1" applyFill="1" applyBorder="1" applyAlignment="1">
      <alignment horizontal="center" vertical="center" wrapText="1"/>
    </xf>
    <xf numFmtId="167" fontId="49" fillId="24" borderId="1" xfId="10" applyNumberFormat="1" applyFont="1" applyFill="1" applyBorder="1" applyAlignment="1">
      <alignment horizontal="center" vertical="center" wrapText="1"/>
    </xf>
    <xf numFmtId="0" fontId="49" fillId="0" borderId="1" xfId="5" applyNumberFormat="1" applyFont="1" applyFill="1" applyBorder="1" applyAlignment="1">
      <alignment horizontal="left" vertical="center"/>
    </xf>
    <xf numFmtId="0" fontId="49" fillId="0" borderId="1" xfId="5" applyNumberFormat="1" applyFont="1" applyFill="1" applyBorder="1" applyAlignment="1">
      <alignment horizontal="left" vertical="center" wrapText="1"/>
    </xf>
    <xf numFmtId="0" fontId="49" fillId="0" borderId="1" xfId="5" applyNumberFormat="1" applyFont="1" applyFill="1" applyBorder="1" applyAlignment="1">
      <alignment horizontal="center" vertical="center" wrapText="1"/>
    </xf>
    <xf numFmtId="4" fontId="49" fillId="0" borderId="1" xfId="5" applyNumberFormat="1" applyFont="1" applyFill="1" applyBorder="1" applyAlignment="1">
      <alignment horizontal="center" vertical="center" wrapText="1"/>
    </xf>
    <xf numFmtId="166" fontId="50" fillId="0" borderId="1" xfId="5" applyNumberFormat="1" applyFont="1" applyFill="1" applyBorder="1" applyAlignment="1">
      <alignment horizontal="center" vertical="center" wrapText="1"/>
    </xf>
    <xf numFmtId="4" fontId="50" fillId="0" borderId="1" xfId="10" applyNumberFormat="1" applyFont="1" applyFill="1" applyBorder="1" applyAlignment="1">
      <alignment horizontal="center" vertical="center" wrapText="1"/>
    </xf>
    <xf numFmtId="4" fontId="49" fillId="24" borderId="1" xfId="10" applyNumberFormat="1" applyFont="1" applyFill="1" applyBorder="1" applyAlignment="1">
      <alignment horizontal="center" vertical="center" wrapText="1"/>
    </xf>
    <xf numFmtId="49" fontId="3" fillId="25" borderId="1" xfId="7" applyNumberFormat="1" applyFont="1" applyFill="1" applyBorder="1" applyAlignment="1">
      <alignment horizontal="left" vertical="center" wrapText="1"/>
    </xf>
    <xf numFmtId="49" fontId="49" fillId="0" borderId="1" xfId="3" applyNumberFormat="1" applyFont="1" applyFill="1" applyBorder="1" applyAlignment="1">
      <alignment horizontal="left" vertical="center"/>
    </xf>
    <xf numFmtId="49" fontId="49" fillId="0" borderId="1" xfId="14" applyNumberFormat="1" applyFont="1" applyFill="1" applyBorder="1" applyAlignment="1">
      <alignment horizontal="left" vertical="center" wrapText="1"/>
    </xf>
    <xf numFmtId="49" fontId="49" fillId="0" borderId="1" xfId="13" applyNumberFormat="1" applyFont="1" applyFill="1" applyBorder="1" applyAlignment="1">
      <alignment horizontal="left" vertical="center"/>
    </xf>
    <xf numFmtId="0" fontId="49" fillId="7" borderId="1" xfId="11" applyFont="1" applyFill="1" applyBorder="1" applyAlignment="1">
      <alignment horizontal="center" vertical="center"/>
    </xf>
    <xf numFmtId="0" fontId="49" fillId="7" borderId="1" xfId="14" applyNumberFormat="1" applyFont="1" applyFill="1" applyBorder="1" applyAlignment="1">
      <alignment horizontal="center" vertical="center"/>
    </xf>
    <xf numFmtId="0" fontId="49" fillId="7" borderId="1" xfId="3" applyNumberFormat="1" applyFont="1" applyFill="1" applyBorder="1" applyAlignment="1">
      <alignment horizontal="center" vertical="center"/>
    </xf>
    <xf numFmtId="49" fontId="50" fillId="0" borderId="1" xfId="3" applyNumberFormat="1" applyFont="1" applyBorder="1" applyAlignment="1">
      <alignment horizontal="left" vertical="center"/>
    </xf>
    <xf numFmtId="49" fontId="50" fillId="0" borderId="1" xfId="3" applyNumberFormat="1" applyFont="1" applyFill="1" applyBorder="1" applyAlignment="1">
      <alignment horizontal="left" vertical="center"/>
    </xf>
    <xf numFmtId="0" fontId="49" fillId="28" borderId="1" xfId="12" applyNumberFormat="1" applyFont="1" applyFill="1" applyBorder="1" applyAlignment="1">
      <alignment horizontal="center" vertical="center"/>
    </xf>
    <xf numFmtId="0" fontId="49" fillId="0" borderId="1" xfId="14" applyNumberFormat="1" applyFont="1" applyFill="1" applyBorder="1" applyAlignment="1">
      <alignment horizontal="center" vertical="center"/>
    </xf>
    <xf numFmtId="0" fontId="49" fillId="0" borderId="1" xfId="3" applyNumberFormat="1" applyFont="1" applyFill="1" applyBorder="1" applyAlignment="1">
      <alignment horizontal="center" vertical="center"/>
    </xf>
    <xf numFmtId="0" fontId="49" fillId="0" borderId="1" xfId="3" applyNumberFormat="1" applyFont="1" applyBorder="1" applyAlignment="1">
      <alignment horizontal="center" vertical="center"/>
    </xf>
    <xf numFmtId="168" fontId="49" fillId="7" borderId="1" xfId="3" applyNumberFormat="1" applyFont="1" applyFill="1" applyBorder="1" applyAlignment="1">
      <alignment horizontal="left"/>
    </xf>
    <xf numFmtId="0" fontId="49" fillId="7" borderId="1" xfId="3" applyFont="1" applyFill="1" applyBorder="1" applyAlignment="1">
      <alignment horizontal="left"/>
    </xf>
    <xf numFmtId="0" fontId="49" fillId="7" borderId="1" xfId="3" applyFont="1" applyFill="1" applyBorder="1" applyAlignment="1">
      <alignment horizontal="center"/>
    </xf>
    <xf numFmtId="166" fontId="49" fillId="7" borderId="1" xfId="3" applyNumberFormat="1" applyFont="1" applyFill="1" applyBorder="1" applyAlignment="1">
      <alignment horizontal="center"/>
    </xf>
    <xf numFmtId="4" fontId="49" fillId="7" borderId="1" xfId="10" applyNumberFormat="1" applyFont="1" applyFill="1" applyBorder="1" applyAlignment="1">
      <alignment horizontal="center"/>
    </xf>
    <xf numFmtId="49" fontId="50" fillId="0" borderId="1" xfId="3" applyNumberFormat="1" applyFont="1" applyBorder="1" applyAlignment="1">
      <alignment horizontal="left" vertical="top"/>
    </xf>
    <xf numFmtId="0" fontId="49" fillId="0" borderId="1" xfId="12" applyNumberFormat="1" applyFont="1" applyFill="1" applyBorder="1" applyAlignment="1">
      <alignment horizontal="center" vertical="center"/>
    </xf>
    <xf numFmtId="0" fontId="49" fillId="0" borderId="1" xfId="11" applyFont="1" applyBorder="1" applyAlignment="1">
      <alignment horizontal="center" vertical="center"/>
    </xf>
    <xf numFmtId="49" fontId="5" fillId="0" borderId="1" xfId="5" applyNumberFormat="1" applyFont="1" applyFill="1" applyBorder="1" applyAlignment="1">
      <alignment horizontal="left" vertical="center"/>
    </xf>
    <xf numFmtId="0" fontId="5" fillId="0" borderId="1" xfId="5" applyFont="1" applyFill="1" applyBorder="1" applyAlignment="1">
      <alignment horizontal="left" vertical="center"/>
    </xf>
    <xf numFmtId="0" fontId="5" fillId="0" borderId="1" xfId="5" applyFont="1" applyFill="1" applyBorder="1" applyAlignment="1">
      <alignment horizontal="center" vertical="center"/>
    </xf>
    <xf numFmtId="1" fontId="18" fillId="0" borderId="1" xfId="5" applyNumberFormat="1" applyBorder="1" applyAlignment="1">
      <alignment horizontal="center"/>
    </xf>
    <xf numFmtId="4" fontId="18" fillId="0" borderId="1" xfId="5" applyNumberFormat="1" applyBorder="1" applyAlignment="1">
      <alignment horizontal="center"/>
    </xf>
    <xf numFmtId="49" fontId="5" fillId="0" borderId="1" xfId="14" applyNumberFormat="1" applyFont="1" applyFill="1" applyBorder="1" applyAlignment="1">
      <alignment horizontal="left" vertical="center" wrapText="1"/>
    </xf>
    <xf numFmtId="0" fontId="5" fillId="0" borderId="1" xfId="12" applyNumberFormat="1" applyFont="1" applyFill="1" applyBorder="1" applyAlignment="1">
      <alignment horizontal="left" vertical="center"/>
    </xf>
    <xf numFmtId="1" fontId="18" fillId="0" borderId="1" xfId="5" applyNumberFormat="1" applyFill="1" applyBorder="1" applyAlignment="1">
      <alignment horizontal="center"/>
    </xf>
    <xf numFmtId="4" fontId="18" fillId="0" borderId="1" xfId="5" applyNumberFormat="1" applyFill="1" applyBorder="1" applyAlignment="1">
      <alignment horizontal="center"/>
    </xf>
    <xf numFmtId="0" fontId="5" fillId="28" borderId="1" xfId="12" applyNumberFormat="1" applyFont="1" applyFill="1" applyBorder="1" applyAlignment="1">
      <alignment horizontal="left" vertical="center"/>
    </xf>
    <xf numFmtId="0" fontId="5" fillId="0" borderId="1" xfId="5" applyFont="1" applyBorder="1" applyAlignment="1">
      <alignment horizontal="center" vertical="center"/>
    </xf>
    <xf numFmtId="49" fontId="5" fillId="0" borderId="1" xfId="13" applyNumberFormat="1" applyFont="1" applyFill="1" applyBorder="1" applyAlignment="1">
      <alignment horizontal="left" vertical="center"/>
    </xf>
    <xf numFmtId="49" fontId="5" fillId="7" borderId="1" xfId="14" applyNumberFormat="1" applyFont="1" applyFill="1" applyBorder="1" applyAlignment="1">
      <alignment horizontal="left" vertical="center"/>
    </xf>
    <xf numFmtId="0" fontId="5" fillId="0" borderId="1" xfId="5" applyFont="1" applyFill="1" applyBorder="1" applyAlignment="1">
      <alignment horizontal="left"/>
    </xf>
    <xf numFmtId="0" fontId="18" fillId="0" borderId="1" xfId="5" applyNumberFormat="1" applyFill="1" applyBorder="1" applyAlignment="1">
      <alignment horizontal="center"/>
    </xf>
    <xf numFmtId="1" fontId="58" fillId="0" borderId="1" xfId="13" applyNumberFormat="1" applyFont="1" applyFill="1" applyBorder="1" applyAlignment="1">
      <alignment horizontal="left" vertical="center"/>
    </xf>
    <xf numFmtId="0" fontId="58" fillId="0" borderId="1" xfId="13" applyNumberFormat="1" applyFont="1" applyFill="1" applyBorder="1" applyAlignment="1">
      <alignment horizontal="left" vertical="top"/>
    </xf>
    <xf numFmtId="1" fontId="18" fillId="0" borderId="1" xfId="5" applyNumberFormat="1" applyFont="1" applyFill="1" applyBorder="1" applyAlignment="1">
      <alignment horizontal="center"/>
    </xf>
    <xf numFmtId="4" fontId="18" fillId="0" borderId="1" xfId="5" applyNumberFormat="1" applyFont="1" applyFill="1" applyBorder="1" applyAlignment="1">
      <alignment horizontal="center"/>
    </xf>
    <xf numFmtId="49" fontId="5" fillId="0" borderId="1" xfId="5" applyNumberFormat="1" applyFont="1" applyBorder="1" applyAlignment="1">
      <alignment horizontal="left" vertical="top"/>
    </xf>
    <xf numFmtId="0" fontId="5" fillId="0" borderId="1" xfId="5" applyFont="1" applyBorder="1" applyAlignment="1"/>
    <xf numFmtId="1" fontId="18" fillId="7" borderId="1" xfId="5" applyNumberFormat="1" applyFill="1" applyBorder="1" applyAlignment="1">
      <alignment horizontal="center"/>
    </xf>
    <xf numFmtId="0" fontId="5" fillId="0" borderId="1" xfId="5" applyFont="1" applyBorder="1" applyAlignment="1">
      <alignment horizontal="left" vertical="center"/>
    </xf>
    <xf numFmtId="49" fontId="5" fillId="0" borderId="1" xfId="5" applyNumberFormat="1" applyFont="1" applyBorder="1" applyAlignment="1">
      <alignment horizontal="left" vertical="center"/>
    </xf>
    <xf numFmtId="49" fontId="5" fillId="0" borderId="1" xfId="14" applyNumberFormat="1" applyFont="1" applyFill="1" applyBorder="1" applyAlignment="1">
      <alignment horizontal="left" vertical="center"/>
    </xf>
    <xf numFmtId="0" fontId="5" fillId="0" borderId="1" xfId="11" applyFont="1" applyBorder="1" applyAlignment="1">
      <alignment horizontal="center" vertical="center"/>
    </xf>
    <xf numFmtId="0" fontId="5" fillId="0" borderId="1" xfId="14" applyNumberFormat="1" applyFont="1" applyFill="1" applyBorder="1" applyAlignment="1">
      <alignment horizontal="center" vertical="center"/>
    </xf>
    <xf numFmtId="0" fontId="5" fillId="0" borderId="1" xfId="5" applyNumberFormat="1" applyFont="1" applyFill="1" applyBorder="1" applyAlignment="1">
      <alignment horizontal="center" vertical="center"/>
    </xf>
    <xf numFmtId="0" fontId="5" fillId="28" borderId="1" xfId="12" applyNumberFormat="1" applyFont="1" applyFill="1" applyBorder="1" applyAlignment="1">
      <alignment horizontal="center" vertical="center"/>
    </xf>
    <xf numFmtId="49" fontId="5" fillId="0" borderId="1" xfId="14" applyNumberFormat="1" applyFont="1" applyFill="1" applyBorder="1" applyAlignment="1">
      <alignment horizontal="center" vertical="center"/>
    </xf>
    <xf numFmtId="1" fontId="58" fillId="28" borderId="1" xfId="13" applyNumberFormat="1" applyFont="1" applyFill="1" applyBorder="1" applyAlignment="1">
      <alignment horizontal="left" vertical="center"/>
    </xf>
    <xf numFmtId="0" fontId="58" fillId="28" borderId="1" xfId="13" applyNumberFormat="1" applyFont="1" applyFill="1" applyBorder="1" applyAlignment="1">
      <alignment horizontal="left" vertical="top"/>
    </xf>
    <xf numFmtId="1" fontId="18" fillId="0" borderId="1" xfId="5" applyNumberFormat="1" applyFont="1" applyBorder="1" applyAlignment="1">
      <alignment horizontal="center"/>
    </xf>
    <xf numFmtId="4" fontId="18" fillId="0" borderId="1" xfId="5" applyNumberFormat="1" applyFont="1" applyBorder="1" applyAlignment="1">
      <alignment horizontal="center"/>
    </xf>
    <xf numFmtId="49" fontId="5" fillId="0" borderId="1" xfId="13" applyNumberFormat="1" applyFont="1" applyFill="1" applyBorder="1" applyAlignment="1">
      <alignment horizontal="center" vertical="center"/>
    </xf>
    <xf numFmtId="4" fontId="5" fillId="0" borderId="1" xfId="5" applyNumberFormat="1" applyFont="1" applyFill="1" applyBorder="1" applyAlignment="1">
      <alignment horizontal="center" vertical="center"/>
    </xf>
    <xf numFmtId="0" fontId="5" fillId="0" borderId="1" xfId="12" applyNumberFormat="1" applyFont="1" applyFill="1" applyBorder="1" applyAlignment="1">
      <alignment horizontal="center" vertical="center"/>
    </xf>
    <xf numFmtId="1" fontId="5" fillId="0" borderId="1" xfId="5" applyNumberFormat="1" applyFont="1" applyFill="1" applyBorder="1" applyAlignment="1">
      <alignment horizontal="center" vertical="center"/>
    </xf>
    <xf numFmtId="0" fontId="5" fillId="0" borderId="1" xfId="5" applyNumberFormat="1" applyFont="1" applyBorder="1" applyAlignment="1">
      <alignment horizontal="center" vertical="center"/>
    </xf>
    <xf numFmtId="49" fontId="5" fillId="0" borderId="1" xfId="5" applyNumberFormat="1" applyFont="1" applyFill="1" applyBorder="1" applyAlignment="1">
      <alignment horizontal="left" vertical="top"/>
    </xf>
    <xf numFmtId="0" fontId="5" fillId="0" borderId="1" xfId="5" applyFont="1" applyFill="1" applyBorder="1" applyAlignment="1"/>
    <xf numFmtId="0" fontId="18" fillId="0" borderId="0" xfId="5" applyAlignment="1">
      <alignment horizontal="left"/>
    </xf>
    <xf numFmtId="164" fontId="26" fillId="0" borderId="7" xfId="5" applyNumberFormat="1" applyFont="1" applyBorder="1" applyAlignment="1">
      <alignment horizontal="center" vertical="center"/>
    </xf>
    <xf numFmtId="164" fontId="26" fillId="0" borderId="7" xfId="5" applyNumberFormat="1" applyFont="1" applyFill="1" applyBorder="1" applyAlignment="1">
      <alignment horizontal="center" vertical="center"/>
    </xf>
    <xf numFmtId="164" fontId="34" fillId="0" borderId="7" xfId="5" applyNumberFormat="1" applyFont="1" applyBorder="1" applyAlignment="1">
      <alignment horizontal="center" vertical="center" wrapText="1" shrinkToFit="1"/>
    </xf>
    <xf numFmtId="164" fontId="28" fillId="0" borderId="7" xfId="5" applyNumberFormat="1" applyFont="1" applyBorder="1" applyAlignment="1">
      <alignment horizontal="center" vertical="center" wrapText="1" shrinkToFit="1"/>
    </xf>
    <xf numFmtId="164" fontId="36" fillId="0" borderId="7" xfId="5" applyNumberFormat="1" applyFont="1" applyFill="1" applyBorder="1" applyAlignment="1">
      <alignment horizontal="center" vertical="center" wrapText="1" shrinkToFit="1"/>
    </xf>
    <xf numFmtId="164" fontId="33" fillId="0" borderId="7" xfId="5" applyNumberFormat="1" applyFont="1" applyFill="1" applyBorder="1" applyAlignment="1">
      <alignment horizontal="center" vertical="center" wrapText="1" shrinkToFit="1"/>
    </xf>
    <xf numFmtId="164" fontId="39" fillId="0" borderId="7" xfId="5" applyNumberFormat="1" applyFont="1" applyFill="1" applyBorder="1" applyAlignment="1">
      <alignment horizontal="center" vertical="center" wrapText="1" shrinkToFit="1"/>
    </xf>
    <xf numFmtId="164" fontId="33" fillId="0" borderId="21" xfId="5" applyNumberFormat="1" applyFont="1" applyFill="1" applyBorder="1" applyAlignment="1">
      <alignment horizontal="center" vertical="center" wrapText="1" shrinkToFit="1"/>
    </xf>
    <xf numFmtId="164" fontId="33" fillId="0" borderId="8" xfId="5" applyNumberFormat="1" applyFont="1" applyFill="1" applyBorder="1" applyAlignment="1">
      <alignment horizontal="center" vertical="center" wrapText="1" shrinkToFit="1"/>
    </xf>
    <xf numFmtId="164" fontId="26" fillId="0" borderId="8" xfId="5" applyNumberFormat="1" applyFont="1" applyFill="1" applyBorder="1" applyAlignment="1">
      <alignment horizontal="center" vertical="center" shrinkToFit="1"/>
    </xf>
    <xf numFmtId="164" fontId="26" fillId="0" borderId="7" xfId="5" applyNumberFormat="1" applyFont="1" applyFill="1" applyBorder="1" applyAlignment="1">
      <alignment horizontal="center" vertical="center" shrinkToFit="1"/>
    </xf>
    <xf numFmtId="164" fontId="33" fillId="7" borderId="7" xfId="5" applyNumberFormat="1" applyFont="1" applyFill="1" applyBorder="1" applyAlignment="1">
      <alignment horizontal="center" vertical="center" wrapText="1" shrinkToFit="1"/>
    </xf>
    <xf numFmtId="164" fontId="34" fillId="0" borderId="7" xfId="5" applyNumberFormat="1" applyFont="1" applyFill="1" applyBorder="1" applyAlignment="1">
      <alignment horizontal="center" vertical="center" shrinkToFit="1"/>
    </xf>
    <xf numFmtId="164" fontId="42" fillId="7" borderId="7" xfId="5" applyNumberFormat="1" applyFont="1" applyFill="1" applyBorder="1" applyAlignment="1">
      <alignment horizontal="center" vertical="center" shrinkToFit="1"/>
    </xf>
    <xf numFmtId="3" fontId="26" fillId="7" borderId="8" xfId="5" applyNumberFormat="1" applyFont="1" applyFill="1" applyBorder="1" applyAlignment="1">
      <alignment horizontal="center" vertical="center" shrinkToFit="1"/>
    </xf>
    <xf numFmtId="3" fontId="26" fillId="7" borderId="22" xfId="5" applyNumberFormat="1" applyFont="1" applyFill="1" applyBorder="1" applyAlignment="1">
      <alignment horizontal="center" vertical="center" shrinkToFit="1"/>
    </xf>
    <xf numFmtId="164" fontId="26" fillId="0" borderId="21" xfId="5" applyNumberFormat="1" applyFont="1" applyFill="1" applyBorder="1" applyAlignment="1">
      <alignment horizontal="center" vertical="center" shrinkToFit="1"/>
    </xf>
    <xf numFmtId="3" fontId="28" fillId="7" borderId="7" xfId="5" applyNumberFormat="1" applyFont="1" applyFill="1" applyBorder="1" applyAlignment="1">
      <alignment horizontal="center" vertical="center" wrapText="1" shrinkToFit="1"/>
    </xf>
    <xf numFmtId="164" fontId="37" fillId="0" borderId="7" xfId="5" applyNumberFormat="1" applyFont="1" applyFill="1" applyBorder="1" applyAlignment="1">
      <alignment horizontal="center" vertical="center" wrapText="1" shrinkToFit="1"/>
    </xf>
    <xf numFmtId="164" fontId="28" fillId="0" borderId="7" xfId="5" applyNumberFormat="1" applyFont="1" applyFill="1" applyBorder="1" applyAlignment="1">
      <alignment horizontal="center" vertical="center" wrapText="1" shrinkToFit="1"/>
    </xf>
    <xf numFmtId="164" fontId="28" fillId="7" borderId="7" xfId="5" applyNumberFormat="1" applyFont="1" applyFill="1" applyBorder="1" applyAlignment="1">
      <alignment horizontal="center" vertical="center" wrapText="1" shrinkToFit="1"/>
    </xf>
    <xf numFmtId="164" fontId="37" fillId="0" borderId="21" xfId="5" applyNumberFormat="1" applyFont="1" applyFill="1" applyBorder="1" applyAlignment="1">
      <alignment horizontal="center" vertical="center" wrapText="1" shrinkToFit="1"/>
    </xf>
    <xf numFmtId="164" fontId="28" fillId="0" borderId="21" xfId="5" applyNumberFormat="1" applyFont="1" applyFill="1" applyBorder="1" applyAlignment="1">
      <alignment horizontal="center" vertical="center" wrapText="1" shrinkToFit="1"/>
    </xf>
    <xf numFmtId="164" fontId="28" fillId="7" borderId="21" xfId="5" applyNumberFormat="1" applyFont="1" applyFill="1" applyBorder="1" applyAlignment="1">
      <alignment horizontal="center" vertical="center" wrapText="1" shrinkToFit="1"/>
    </xf>
    <xf numFmtId="0" fontId="26" fillId="0" borderId="3" xfId="5" applyFont="1" applyBorder="1" applyAlignment="1"/>
    <xf numFmtId="49" fontId="46" fillId="26" borderId="7" xfId="7" applyNumberFormat="1" applyFont="1" applyFill="1" applyBorder="1" applyAlignment="1">
      <alignment vertical="center"/>
    </xf>
    <xf numFmtId="0" fontId="47" fillId="26" borderId="8" xfId="5" applyFont="1" applyFill="1" applyBorder="1" applyAlignment="1">
      <alignment vertical="center"/>
    </xf>
    <xf numFmtId="0" fontId="47" fillId="26" borderId="3" xfId="5" applyFont="1" applyFill="1" applyBorder="1" applyAlignment="1">
      <alignment vertical="center"/>
    </xf>
    <xf numFmtId="0" fontId="48" fillId="6" borderId="7" xfId="3" applyFont="1" applyFill="1" applyBorder="1" applyAlignment="1"/>
    <xf numFmtId="0" fontId="48" fillId="6" borderId="3" xfId="3" applyFont="1" applyFill="1" applyBorder="1" applyAlignment="1"/>
    <xf numFmtId="0" fontId="54" fillId="27" borderId="7" xfId="3" applyFont="1" applyFill="1" applyBorder="1" applyAlignment="1"/>
    <xf numFmtId="0" fontId="26" fillId="0" borderId="8" xfId="5" applyFont="1" applyBorder="1" applyAlignment="1"/>
    <xf numFmtId="0" fontId="54" fillId="27" borderId="7" xfId="3" applyFont="1" applyFill="1" applyBorder="1" applyAlignment="1">
      <alignment vertical="center"/>
    </xf>
    <xf numFmtId="0" fontId="23" fillId="21" borderId="7" xfId="5" applyFont="1" applyFill="1" applyBorder="1" applyAlignment="1">
      <alignment horizontal="center" vertical="center" shrinkToFit="1"/>
    </xf>
    <xf numFmtId="0" fontId="23" fillId="21" borderId="8" xfId="5" applyFont="1" applyFill="1" applyBorder="1" applyAlignment="1">
      <alignment horizontal="center" vertical="center" shrinkToFit="1"/>
    </xf>
    <xf numFmtId="0" fontId="18" fillId="0" borderId="3" xfId="5" applyBorder="1" applyAlignment="1"/>
    <xf numFmtId="0" fontId="30" fillId="24" borderId="7" xfId="5" applyFont="1" applyFill="1" applyBorder="1" applyAlignment="1">
      <alignment horizontal="left" vertical="center" wrapText="1"/>
    </xf>
    <xf numFmtId="0" fontId="18" fillId="0" borderId="8" xfId="5" applyBorder="1" applyAlignment="1">
      <alignment vertical="center"/>
    </xf>
    <xf numFmtId="0" fontId="18" fillId="0" borderId="3" xfId="5" applyBorder="1" applyAlignment="1">
      <alignment vertical="center"/>
    </xf>
    <xf numFmtId="0" fontId="21" fillId="20" borderId="7" xfId="5" applyFont="1" applyFill="1" applyBorder="1" applyAlignment="1">
      <alignment horizontal="center" vertical="center" shrinkToFit="1"/>
    </xf>
    <xf numFmtId="0" fontId="21" fillId="20" borderId="8" xfId="5" applyFont="1" applyFill="1" applyBorder="1" applyAlignment="1">
      <alignment horizontal="center" vertical="center" shrinkToFit="1"/>
    </xf>
    <xf numFmtId="0" fontId="44" fillId="3" borderId="0" xfId="5" applyFont="1" applyFill="1" applyAlignment="1">
      <alignment horizontal="center" vertical="center"/>
    </xf>
    <xf numFmtId="0" fontId="18" fillId="3" borderId="0" xfId="5" applyFill="1" applyAlignment="1"/>
    <xf numFmtId="0" fontId="26" fillId="0" borderId="3" xfId="5" applyFont="1" applyBorder="1" applyAlignment="1"/>
    <xf numFmtId="0" fontId="18" fillId="24" borderId="8" xfId="5" applyFill="1" applyBorder="1" applyAlignment="1">
      <alignment vertical="center"/>
    </xf>
    <xf numFmtId="0" fontId="18" fillId="24" borderId="3" xfId="5" applyFill="1" applyBorder="1" applyAlignment="1">
      <alignment vertical="center"/>
    </xf>
    <xf numFmtId="0" fontId="23" fillId="21" borderId="16" xfId="5" applyFont="1" applyFill="1" applyBorder="1" applyAlignment="1">
      <alignment horizontal="center" vertical="center" shrinkToFit="1"/>
    </xf>
    <xf numFmtId="0" fontId="23" fillId="21" borderId="0" xfId="5" applyFont="1" applyFill="1" applyBorder="1" applyAlignment="1">
      <alignment horizontal="center" vertical="center" shrinkToFit="1"/>
    </xf>
    <xf numFmtId="0" fontId="18" fillId="0" borderId="17" xfId="5" applyBorder="1" applyAlignment="1">
      <alignment horizontal="center" vertical="center"/>
    </xf>
    <xf numFmtId="0" fontId="34" fillId="23" borderId="18" xfId="5" applyFont="1" applyFill="1" applyBorder="1" applyAlignment="1">
      <alignment horizontal="center" vertical="center" shrinkToFit="1"/>
    </xf>
    <xf numFmtId="0" fontId="34" fillId="23" borderId="19" xfId="5" applyFont="1" applyFill="1" applyBorder="1" applyAlignment="1">
      <alignment horizontal="center" vertical="center" shrinkToFit="1"/>
    </xf>
    <xf numFmtId="0" fontId="18" fillId="0" borderId="6" xfId="5" applyBorder="1" applyAlignment="1">
      <alignment horizontal="center" vertical="center"/>
    </xf>
    <xf numFmtId="0" fontId="23" fillId="21" borderId="20" xfId="5" applyFont="1" applyFill="1" applyBorder="1" applyAlignment="1">
      <alignment horizontal="center" vertical="center" shrinkToFit="1"/>
    </xf>
    <xf numFmtId="0" fontId="18" fillId="0" borderId="3" xfId="5" applyBorder="1" applyAlignment="1">
      <alignment horizontal="center" vertical="center"/>
    </xf>
    <xf numFmtId="0" fontId="27" fillId="22" borderId="7" xfId="5" applyFont="1" applyFill="1" applyBorder="1" applyAlignment="1">
      <alignment horizontal="center" vertical="center" shrinkToFit="1"/>
    </xf>
    <xf numFmtId="0" fontId="27" fillId="22" borderId="8" xfId="5" applyFont="1" applyFill="1" applyBorder="1" applyAlignment="1">
      <alignment horizontal="center" vertical="center" shrinkToFit="1"/>
    </xf>
    <xf numFmtId="0" fontId="40" fillId="21" borderId="7" xfId="5" applyFont="1" applyFill="1" applyBorder="1" applyAlignment="1">
      <alignment horizontal="center" vertical="center" shrinkToFit="1"/>
    </xf>
    <xf numFmtId="0" fontId="40" fillId="21" borderId="8" xfId="5" applyFont="1" applyFill="1" applyBorder="1" applyAlignment="1">
      <alignment horizontal="center" vertical="center" shrinkToFit="1"/>
    </xf>
    <xf numFmtId="49" fontId="40" fillId="21" borderId="7" xfId="5" applyNumberFormat="1" applyFont="1" applyFill="1" applyBorder="1" applyAlignment="1">
      <alignment horizontal="center" vertical="center" wrapText="1" shrinkToFit="1"/>
    </xf>
    <xf numFmtId="0" fontId="18" fillId="21" borderId="8" xfId="5" applyFill="1" applyBorder="1" applyAlignment="1">
      <alignment vertical="center" wrapText="1"/>
    </xf>
    <xf numFmtId="0" fontId="18" fillId="21" borderId="3" xfId="5" applyFill="1" applyBorder="1" applyAlignment="1">
      <alignment vertical="center" wrapText="1"/>
    </xf>
    <xf numFmtId="0" fontId="27" fillId="22" borderId="3" xfId="5" applyFont="1" applyFill="1" applyBorder="1" applyAlignment="1">
      <alignment horizontal="center" vertical="center" shrinkToFit="1"/>
    </xf>
    <xf numFmtId="0" fontId="34" fillId="7" borderId="7" xfId="5" applyFont="1" applyFill="1" applyBorder="1" applyAlignment="1">
      <alignment horizontal="center" vertical="center" shrinkToFit="1"/>
    </xf>
    <xf numFmtId="0" fontId="34" fillId="7" borderId="8" xfId="5" applyFont="1" applyFill="1" applyBorder="1" applyAlignment="1">
      <alignment horizontal="center" vertical="center" shrinkToFit="1"/>
    </xf>
    <xf numFmtId="0" fontId="22" fillId="20" borderId="8" xfId="5" applyFont="1" applyFill="1" applyBorder="1" applyAlignment="1">
      <alignment horizontal="center" vertical="center" shrinkToFit="1"/>
    </xf>
    <xf numFmtId="0" fontId="23" fillId="22" borderId="8" xfId="5" applyFont="1" applyFill="1" applyBorder="1" applyAlignment="1">
      <alignment horizontal="center" vertical="center" shrinkToFit="1"/>
    </xf>
    <xf numFmtId="0" fontId="23" fillId="21" borderId="3" xfId="5" applyFont="1" applyFill="1" applyBorder="1" applyAlignment="1">
      <alignment horizontal="center" vertical="center" shrinkToFit="1"/>
    </xf>
    <xf numFmtId="0" fontId="57" fillId="6" borderId="7" xfId="5" applyFont="1" applyFill="1" applyBorder="1" applyAlignment="1">
      <alignment horizontal="center"/>
    </xf>
    <xf numFmtId="0" fontId="57" fillId="6" borderId="8" xfId="5" applyFont="1" applyFill="1" applyBorder="1" applyAlignment="1">
      <alignment horizontal="center"/>
    </xf>
    <xf numFmtId="0" fontId="54" fillId="24" borderId="7" xfId="5" applyFont="1" applyFill="1" applyBorder="1" applyAlignment="1">
      <alignment horizontal="center"/>
    </xf>
    <xf numFmtId="0" fontId="54" fillId="24" borderId="8" xfId="5" applyFont="1" applyFill="1" applyBorder="1" applyAlignment="1">
      <alignment horizontal="center"/>
    </xf>
    <xf numFmtId="0" fontId="3" fillId="6" borderId="7" xfId="5" applyFont="1" applyFill="1" applyBorder="1" applyAlignment="1">
      <alignment horizontal="center"/>
    </xf>
    <xf numFmtId="0" fontId="3" fillId="6" borderId="8" xfId="5" applyFont="1" applyFill="1" applyBorder="1" applyAlignment="1">
      <alignment horizontal="center"/>
    </xf>
    <xf numFmtId="0" fontId="55" fillId="27" borderId="7" xfId="3" applyFont="1" applyFill="1" applyBorder="1" applyAlignment="1">
      <alignment horizontal="center"/>
    </xf>
    <xf numFmtId="0" fontId="56" fillId="0" borderId="8" xfId="5" applyFont="1" applyBorder="1" applyAlignment="1">
      <alignment horizontal="center"/>
    </xf>
    <xf numFmtId="0" fontId="56" fillId="0" borderId="3" xfId="5" applyFont="1" applyBorder="1" applyAlignment="1">
      <alignment horizontal="center"/>
    </xf>
    <xf numFmtId="0" fontId="48" fillId="6" borderId="7" xfId="3" applyFont="1" applyFill="1" applyBorder="1" applyAlignment="1">
      <alignment horizontal="left" wrapText="1"/>
    </xf>
    <xf numFmtId="0" fontId="18" fillId="6" borderId="8" xfId="5" applyFill="1" applyBorder="1" applyAlignment="1">
      <alignment wrapText="1"/>
    </xf>
    <xf numFmtId="0" fontId="18" fillId="6" borderId="3" xfId="5" applyFill="1" applyBorder="1" applyAlignment="1">
      <alignment wrapText="1"/>
    </xf>
  </cellXfs>
  <cellStyles count="15">
    <cellStyle name="Обычный" xfId="0" builtinId="0"/>
    <cellStyle name="Обычный 2" xfId="2"/>
    <cellStyle name="Обычный 2 2" xfId="3"/>
    <cellStyle name="Обычный 2 2 2" xfId="7"/>
    <cellStyle name="Обычный 2 2 2 2" xfId="9"/>
    <cellStyle name="Обычный 3" xfId="1"/>
    <cellStyle name="Обычный 38 2" xfId="11"/>
    <cellStyle name="Обычный 4" xfId="5"/>
    <cellStyle name="Обычный 42" xfId="8"/>
    <cellStyle name="Обычный 5" xfId="4"/>
    <cellStyle name="Обычный 8" xfId="6"/>
    <cellStyle name="Обычный_Лист1" xfId="13"/>
    <cellStyle name="Обычный_Лист3" xfId="12"/>
    <cellStyle name="Обычный_Лист4" xfId="14"/>
    <cellStyle name="Процентный 2" xfId="10"/>
  </cellStyles>
  <dxfs count="86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8080/phpmyadmin/tbl_structure.php?db=drain_prices&amp;table=line_drain_lotki&amp;goto=tbl_structure.php&amp;back=tbl_structure.php&amp;field=DN&amp;change_column=1" TargetMode="External"/><Relationship Id="rId13" Type="http://schemas.openxmlformats.org/officeDocument/2006/relationships/hyperlink" Target="http://127.0.0.1:8080/phpmyadmin/tbl_structure.php?db=drain_prices&amp;table=line_drain_lotki&amp;goto=tbl_structure.php&amp;back=tbl_structure.php&amp;field=weight&amp;change_column=1" TargetMode="External"/><Relationship Id="rId18" Type="http://schemas.openxmlformats.org/officeDocument/2006/relationships/hyperlink" Target="http://127.0.0.1:8080/phpmyadmin/tbl_structure.php?db=drain_prices&amp;table=line_drain_lotki&amp;goto=tbl_structure.php&amp;back=tbl_structure.php&amp;field=typeProduct&amp;change_column=1" TargetMode="External"/><Relationship Id="rId3" Type="http://schemas.openxmlformats.org/officeDocument/2006/relationships/hyperlink" Target="http://127.0.0.1:8080/phpmyadmin/sql.php" TargetMode="External"/><Relationship Id="rId21" Type="http://schemas.openxmlformats.org/officeDocument/2006/relationships/hyperlink" Target="http://127.0.0.1:8080/phpmyadmin/tbl_change.php" TargetMode="External"/><Relationship Id="rId7" Type="http://schemas.openxmlformats.org/officeDocument/2006/relationships/hyperlink" Target="http://127.0.0.1:8080/phpmyadmin/tbl_structure.php?db=drain_prices&amp;table=line_drain_lotki&amp;goto=tbl_structure.php&amp;back=tbl_structure.php&amp;field=name&amp;change_column=1" TargetMode="External"/><Relationship Id="rId12" Type="http://schemas.openxmlformats.org/officeDocument/2006/relationships/hyperlink" Target="http://127.0.0.1:8080/phpmyadmin/tbl_structure.php?db=drain_prices&amp;table=line_drain_lotki&amp;goto=tbl_structure.php&amp;back=tbl_structure.php&amp;field=load_class&amp;change_column=1" TargetMode="External"/><Relationship Id="rId17" Type="http://schemas.openxmlformats.org/officeDocument/2006/relationships/hyperlink" Target="http://127.0.0.1:8080/phpmyadmin/tbl_structure.php?db=drain_prices&amp;table=line_drain_lotki&amp;goto=tbl_structure.php&amp;back=tbl_structure.php&amp;field=option_article&amp;change_column=1" TargetMode="External"/><Relationship Id="rId2" Type="http://schemas.openxmlformats.org/officeDocument/2006/relationships/hyperlink" Target="http://127.0.0.1:8080/phpmyadmin/tbl_structure.php?db=drain_prices&amp;table=line_drain_lotki&amp;goto=tbl_structure.php&amp;back=tbl_structure.php&amp;field=id&amp;change_column=1" TargetMode="External"/><Relationship Id="rId16" Type="http://schemas.openxmlformats.org/officeDocument/2006/relationships/hyperlink" Target="http://127.0.0.1:8080/phpmyadmin/tbl_structure.php?db=drain_prices&amp;table=line_drain_lotki&amp;goto=tbl_structure.php&amp;back=tbl_structure.php&amp;field=date_write&amp;change_column=1" TargetMode="External"/><Relationship Id="rId20" Type="http://schemas.openxmlformats.org/officeDocument/2006/relationships/hyperlink" Target="http://127.0.0.1:8080/phpmyadmin/tbl_structure.php?db=drain_prices&amp;table=line_drain_lotki&amp;goto=tbl_structure.php&amp;back=tbl_structure.php&amp;field=uklon&amp;change_column=1" TargetMode="External"/><Relationship Id="rId1" Type="http://schemas.openxmlformats.org/officeDocument/2006/relationships/image" Target="../media/image4.gif"/><Relationship Id="rId6" Type="http://schemas.openxmlformats.org/officeDocument/2006/relationships/hyperlink" Target="http://127.0.0.1:8080/phpmyadmin/tbl_structure.php?db=drain_prices&amp;table=line_drain_lotki&amp;goto=tbl_structure.php&amp;back=tbl_structure.php&amp;field=article&amp;change_column=1" TargetMode="External"/><Relationship Id="rId11" Type="http://schemas.openxmlformats.org/officeDocument/2006/relationships/hyperlink" Target="http://127.0.0.1:8080/phpmyadmin/tbl_structure.php?db=drain_prices&amp;table=line_drain_lotki&amp;goto=tbl_structure.php&amp;back=tbl_structure.php&amp;field=height&amp;change_column=1" TargetMode="External"/><Relationship Id="rId5" Type="http://schemas.openxmlformats.org/officeDocument/2006/relationships/hyperlink" Target="http://127.0.0.1:8080/phpmyadmin/tbl_structure.php?db=drain_prices&amp;table=line_drain_lotki&amp;goto=tbl_structure.php&amp;back=tbl_structure.php&amp;field=maker&amp;change_column=1" TargetMode="External"/><Relationship Id="rId15" Type="http://schemas.openxmlformats.org/officeDocument/2006/relationships/hyperlink" Target="http://127.0.0.1:8080/phpmyadmin/tbl_structure.php?db=drain_prices&amp;table=line_drain_lotki&amp;goto=tbl_structure.php&amp;back=tbl_structure.php&amp;field=discount&amp;change_column=1" TargetMode="External"/><Relationship Id="rId10" Type="http://schemas.openxmlformats.org/officeDocument/2006/relationships/hyperlink" Target="http://127.0.0.1:8080/phpmyadmin/tbl_structure.php?db=drain_prices&amp;table=line_drain_lotki&amp;goto=tbl_structure.php&amp;back=tbl_structure.php&amp;field=width&amp;change_column=1" TargetMode="External"/><Relationship Id="rId19" Type="http://schemas.openxmlformats.org/officeDocument/2006/relationships/hyperlink" Target="http://127.0.0.1:8080/phpmyadmin/tbl_structure.php?db=drain_prices&amp;table=line_drain_lotki&amp;goto=tbl_structure.php&amp;back=tbl_structure.php&amp;field=material&amp;change_column=1" TargetMode="External"/><Relationship Id="rId4" Type="http://schemas.openxmlformats.org/officeDocument/2006/relationships/hyperlink" Target="http://127.0.0.1:8080/phpmyadmin/tbl_structure.php?db=drain_prices&amp;table=line_drain_lotki" TargetMode="External"/><Relationship Id="rId9" Type="http://schemas.openxmlformats.org/officeDocument/2006/relationships/hyperlink" Target="http://127.0.0.1:8080/phpmyadmin/tbl_structure.php?db=drain_prices&amp;table=line_drain_lotki&amp;goto=tbl_structure.php&amp;back=tbl_structure.php&amp;field=length&amp;change_column=1" TargetMode="External"/><Relationship Id="rId14" Type="http://schemas.openxmlformats.org/officeDocument/2006/relationships/hyperlink" Target="http://127.0.0.1:8080/phpmyadmin/tbl_structure.php?db=drain_prices&amp;table=line_drain_lotki&amp;goto=tbl_structure.php&amp;back=tbl_structure.php&amp;field=price&amp;change_column=1" TargetMode="Externa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1381125</xdr:colOff>
          <xdr:row>0</xdr:row>
          <xdr:rowOff>0</xdr:rowOff>
        </xdr:from>
        <xdr:to>
          <xdr:col>4</xdr:col>
          <xdr:colOff>4371975</xdr:colOff>
          <xdr:row>0</xdr:row>
          <xdr:rowOff>438150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9525</xdr:colOff>
      <xdr:row>1</xdr:row>
      <xdr:rowOff>9525</xdr:rowOff>
    </xdr:to>
    <xdr:pic>
      <xdr:nvPicPr>
        <xdr:cNvPr id="2" name="Рисунок 1" descr="Первичный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3" name="Рисунок 2" descr="Изменить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4" name="Рисунок 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5" name="Рисунок 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9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257175</xdr:colOff>
          <xdr:row>3</xdr:row>
          <xdr:rowOff>57150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7" name="Рисунок 6" descr="Изменить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71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8" name="Рисунок 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71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9" name="Рисунок 8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571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57150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1" name="Рисунок 10" descr="Изменить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057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2" name="Рисунок 11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057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3" name="Рисунок 12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057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257175</xdr:colOff>
          <xdr:row>5</xdr:row>
          <xdr:rowOff>57150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5" name="Рисунок 14" descr="Изменить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543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6" name="Рисунок 15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543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7" name="Рисунок 16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257175</xdr:colOff>
          <xdr:row>6</xdr:row>
          <xdr:rowOff>57150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19" name="Рисунок 18" descr="Изменить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0288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20" name="Рисунок 19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0288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21" name="Рисунок 20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288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257175</xdr:colOff>
          <xdr:row>7</xdr:row>
          <xdr:rowOff>57150</xdr:rowOff>
        </xdr:to>
        <xdr:sp macro="" textlink="">
          <xdr:nvSpPr>
            <xdr:cNvPr id="3093" name="Control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23" name="Рисунок 22" descr="Изменить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514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24" name="Рисунок 2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514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25" name="Рисунок 2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514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257175</xdr:colOff>
          <xdr:row>8</xdr:row>
          <xdr:rowOff>57150</xdr:rowOff>
        </xdr:to>
        <xdr:sp macro="" textlink="">
          <xdr:nvSpPr>
            <xdr:cNvPr id="3097" name="Control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7" name="Рисунок 26" descr="Изменить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2895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8" name="Рисунок 2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2895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9" name="Рисунок 28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895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257175</xdr:colOff>
          <xdr:row>9</xdr:row>
          <xdr:rowOff>57150</xdr:rowOff>
        </xdr:to>
        <xdr:sp macro="" textlink="">
          <xdr:nvSpPr>
            <xdr:cNvPr id="3101" name="Control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31" name="Рисунок 30" descr="Изменить">
          <a:hlinkClick xmlns:r="http://schemas.openxmlformats.org/officeDocument/2006/relationships" r:id="rId1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276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32" name="Рисунок 31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276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33" name="Рисунок 32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276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257175</xdr:colOff>
          <xdr:row>10</xdr:row>
          <xdr:rowOff>57150</xdr:rowOff>
        </xdr:to>
        <xdr:sp macro="" textlink="">
          <xdr:nvSpPr>
            <xdr:cNvPr id="3105" name="Contro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35" name="Рисунок 34" descr="Изменить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3657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36" name="Рисунок 35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3657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37" name="Рисунок 36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6576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257175</xdr:colOff>
          <xdr:row>11</xdr:row>
          <xdr:rowOff>57150</xdr:rowOff>
        </xdr:to>
        <xdr:sp macro="" textlink="">
          <xdr:nvSpPr>
            <xdr:cNvPr id="3109" name="Contro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39" name="Рисунок 38" descr="Изменить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143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40" name="Рисунок 39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143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41" name="Рисунок 40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143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257175</xdr:colOff>
          <xdr:row>12</xdr:row>
          <xdr:rowOff>57150</xdr:rowOff>
        </xdr:to>
        <xdr:sp macro="" textlink="">
          <xdr:nvSpPr>
            <xdr:cNvPr id="3113" name="Control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43" name="Рисунок 42" descr="Изменить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524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44" name="Рисунок 4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524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45" name="Рисунок 4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524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257175</xdr:colOff>
          <xdr:row>13</xdr:row>
          <xdr:rowOff>57150</xdr:rowOff>
        </xdr:to>
        <xdr:sp macro="" textlink="">
          <xdr:nvSpPr>
            <xdr:cNvPr id="3117" name="Control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47" name="Рисунок 46" descr="Изменить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90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48" name="Рисунок 4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490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49" name="Рисунок 48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905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257175</xdr:colOff>
          <xdr:row>14</xdr:row>
          <xdr:rowOff>57150</xdr:rowOff>
        </xdr:to>
        <xdr:sp macro="" textlink="">
          <xdr:nvSpPr>
            <xdr:cNvPr id="3121" name="Contro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51" name="Рисунок 50" descr="Изменить">
          <a:hlinkClick xmlns:r="http://schemas.openxmlformats.org/officeDocument/2006/relationships" r:id="rId1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286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52" name="Рисунок 51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286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53" name="Рисунок 52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5286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257175</xdr:colOff>
          <xdr:row>15</xdr:row>
          <xdr:rowOff>57150</xdr:rowOff>
        </xdr:to>
        <xdr:sp macro="" textlink="">
          <xdr:nvSpPr>
            <xdr:cNvPr id="3125" name="Control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55" name="Рисунок 54" descr="Изменить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667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56" name="Рисунок 55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5667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57" name="Рисунок 56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56673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257175</xdr:colOff>
          <xdr:row>16</xdr:row>
          <xdr:rowOff>57150</xdr:rowOff>
        </xdr:to>
        <xdr:sp macro="" textlink="">
          <xdr:nvSpPr>
            <xdr:cNvPr id="3129" name="Contro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15</xdr:row>
      <xdr:rowOff>0</xdr:rowOff>
    </xdr:from>
    <xdr:to>
      <xdr:col>2</xdr:col>
      <xdr:colOff>9525</xdr:colOff>
      <xdr:row>15</xdr:row>
      <xdr:rowOff>9525</xdr:rowOff>
    </xdr:to>
    <xdr:pic>
      <xdr:nvPicPr>
        <xdr:cNvPr id="59" name="Рисунок 58" descr="Изменить">
          <a:hlinkClick xmlns:r="http://schemas.openxmlformats.org/officeDocument/2006/relationships" r:id="rId1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153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</xdr:colOff>
      <xdr:row>15</xdr:row>
      <xdr:rowOff>9525</xdr:rowOff>
    </xdr:to>
    <xdr:pic>
      <xdr:nvPicPr>
        <xdr:cNvPr id="60" name="Рисунок 59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153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9525</xdr:colOff>
      <xdr:row>15</xdr:row>
      <xdr:rowOff>9525</xdr:rowOff>
    </xdr:to>
    <xdr:pic>
      <xdr:nvPicPr>
        <xdr:cNvPr id="61" name="Рисунок 60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153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257175</xdr:colOff>
          <xdr:row>17</xdr:row>
          <xdr:rowOff>57150</xdr:rowOff>
        </xdr:to>
        <xdr:sp macro="" textlink="">
          <xdr:nvSpPr>
            <xdr:cNvPr id="3133" name="Contro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16</xdr:row>
      <xdr:rowOff>0</xdr:rowOff>
    </xdr:from>
    <xdr:to>
      <xdr:col>2</xdr:col>
      <xdr:colOff>9525</xdr:colOff>
      <xdr:row>16</xdr:row>
      <xdr:rowOff>9525</xdr:rowOff>
    </xdr:to>
    <xdr:pic>
      <xdr:nvPicPr>
        <xdr:cNvPr id="63" name="Рисунок 62" descr="Изменить">
          <a:hlinkClick xmlns:r="http://schemas.openxmlformats.org/officeDocument/2006/relationships" r:id="rId1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534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</xdr:colOff>
      <xdr:row>16</xdr:row>
      <xdr:rowOff>9525</xdr:rowOff>
    </xdr:to>
    <xdr:pic>
      <xdr:nvPicPr>
        <xdr:cNvPr id="64" name="Рисунок 63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534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9525</xdr:colOff>
      <xdr:row>16</xdr:row>
      <xdr:rowOff>9525</xdr:rowOff>
    </xdr:to>
    <xdr:pic>
      <xdr:nvPicPr>
        <xdr:cNvPr id="65" name="Рисунок 64" descr="Ещё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534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257175</xdr:colOff>
          <xdr:row>18</xdr:row>
          <xdr:rowOff>57150</xdr:rowOff>
        </xdr:to>
        <xdr:sp macro="" textlink="">
          <xdr:nvSpPr>
            <xdr:cNvPr id="3137" name="Control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17</xdr:row>
      <xdr:rowOff>0</xdr:rowOff>
    </xdr:from>
    <xdr:to>
      <xdr:col>2</xdr:col>
      <xdr:colOff>9525</xdr:colOff>
      <xdr:row>17</xdr:row>
      <xdr:rowOff>9525</xdr:rowOff>
    </xdr:to>
    <xdr:pic>
      <xdr:nvPicPr>
        <xdr:cNvPr id="67" name="Рисунок 66" descr="Изменить">
          <a:hlinkClick xmlns:r="http://schemas.openxmlformats.org/officeDocument/2006/relationships" r:id="rId2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915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9525</xdr:colOff>
      <xdr:row>17</xdr:row>
      <xdr:rowOff>9525</xdr:rowOff>
    </xdr:to>
    <xdr:pic>
      <xdr:nvPicPr>
        <xdr:cNvPr id="68" name="Рисунок 67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69151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69" name="Рисунок 68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70" name="Рисунок 69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9525</xdr:colOff>
      <xdr:row>2</xdr:row>
      <xdr:rowOff>9525</xdr:rowOff>
    </xdr:to>
    <xdr:pic>
      <xdr:nvPicPr>
        <xdr:cNvPr id="71" name="Рисунок 70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257175</xdr:colOff>
          <xdr:row>4</xdr:row>
          <xdr:rowOff>76200</xdr:rowOff>
        </xdr:to>
        <xdr:sp macro="" textlink="">
          <xdr:nvSpPr>
            <xdr:cNvPr id="3143" name="Control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5</xdr:col>
      <xdr:colOff>9525</xdr:colOff>
      <xdr:row>3</xdr:row>
      <xdr:rowOff>9525</xdr:rowOff>
    </xdr:to>
    <xdr:pic>
      <xdr:nvPicPr>
        <xdr:cNvPr id="73" name="Рисунок 72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762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9525</xdr:colOff>
      <xdr:row>3</xdr:row>
      <xdr:rowOff>9525</xdr:rowOff>
    </xdr:to>
    <xdr:pic>
      <xdr:nvPicPr>
        <xdr:cNvPr id="74" name="Рисунок 73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762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9525</xdr:colOff>
      <xdr:row>3</xdr:row>
      <xdr:rowOff>9525</xdr:rowOff>
    </xdr:to>
    <xdr:pic>
      <xdr:nvPicPr>
        <xdr:cNvPr id="75" name="Рисунок 74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762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257175</xdr:colOff>
          <xdr:row>5</xdr:row>
          <xdr:rowOff>76200</xdr:rowOff>
        </xdr:to>
        <xdr:sp macro="" textlink="">
          <xdr:nvSpPr>
            <xdr:cNvPr id="3147" name="Control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4</xdr:row>
      <xdr:rowOff>0</xdr:rowOff>
    </xdr:from>
    <xdr:to>
      <xdr:col>5</xdr:col>
      <xdr:colOff>9525</xdr:colOff>
      <xdr:row>4</xdr:row>
      <xdr:rowOff>9525</xdr:rowOff>
    </xdr:to>
    <xdr:pic>
      <xdr:nvPicPr>
        <xdr:cNvPr id="77" name="Рисунок 76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9525</xdr:colOff>
      <xdr:row>4</xdr:row>
      <xdr:rowOff>9525</xdr:rowOff>
    </xdr:to>
    <xdr:pic>
      <xdr:nvPicPr>
        <xdr:cNvPr id="78" name="Рисунок 77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9525</xdr:colOff>
      <xdr:row>4</xdr:row>
      <xdr:rowOff>9525</xdr:rowOff>
    </xdr:to>
    <xdr:pic>
      <xdr:nvPicPr>
        <xdr:cNvPr id="79" name="Рисунок 78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257175</xdr:colOff>
          <xdr:row>6</xdr:row>
          <xdr:rowOff>76200</xdr:rowOff>
        </xdr:to>
        <xdr:sp macro="" textlink="">
          <xdr:nvSpPr>
            <xdr:cNvPr id="3151" name="Control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5</xdr:row>
      <xdr:rowOff>0</xdr:rowOff>
    </xdr:from>
    <xdr:to>
      <xdr:col>5</xdr:col>
      <xdr:colOff>9525</xdr:colOff>
      <xdr:row>5</xdr:row>
      <xdr:rowOff>9525</xdr:rowOff>
    </xdr:to>
    <xdr:pic>
      <xdr:nvPicPr>
        <xdr:cNvPr id="81" name="Рисунок 80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52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9525</xdr:colOff>
      <xdr:row>5</xdr:row>
      <xdr:rowOff>9525</xdr:rowOff>
    </xdr:to>
    <xdr:pic>
      <xdr:nvPicPr>
        <xdr:cNvPr id="82" name="Рисунок 81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52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9525</xdr:colOff>
      <xdr:row>5</xdr:row>
      <xdr:rowOff>9525</xdr:rowOff>
    </xdr:to>
    <xdr:pic>
      <xdr:nvPicPr>
        <xdr:cNvPr id="83" name="Рисунок 82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52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257175</xdr:colOff>
          <xdr:row>7</xdr:row>
          <xdr:rowOff>76200</xdr:rowOff>
        </xdr:to>
        <xdr:sp macro="" textlink="">
          <xdr:nvSpPr>
            <xdr:cNvPr id="3155" name="Control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6</xdr:row>
      <xdr:rowOff>0</xdr:rowOff>
    </xdr:from>
    <xdr:to>
      <xdr:col>5</xdr:col>
      <xdr:colOff>9525</xdr:colOff>
      <xdr:row>6</xdr:row>
      <xdr:rowOff>9525</xdr:rowOff>
    </xdr:to>
    <xdr:pic>
      <xdr:nvPicPr>
        <xdr:cNvPr id="85" name="Рисунок 84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9525</xdr:colOff>
      <xdr:row>6</xdr:row>
      <xdr:rowOff>9525</xdr:rowOff>
    </xdr:to>
    <xdr:pic>
      <xdr:nvPicPr>
        <xdr:cNvPr id="86" name="Рисунок 85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9525</xdr:colOff>
      <xdr:row>6</xdr:row>
      <xdr:rowOff>9525</xdr:rowOff>
    </xdr:to>
    <xdr:pic>
      <xdr:nvPicPr>
        <xdr:cNvPr id="87" name="Рисунок 86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257175</xdr:colOff>
          <xdr:row>8</xdr:row>
          <xdr:rowOff>76200</xdr:rowOff>
        </xdr:to>
        <xdr:sp macro="" textlink="">
          <xdr:nvSpPr>
            <xdr:cNvPr id="3159" name="Control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7</xdr:row>
      <xdr:rowOff>0</xdr:rowOff>
    </xdr:from>
    <xdr:to>
      <xdr:col>5</xdr:col>
      <xdr:colOff>9525</xdr:colOff>
      <xdr:row>7</xdr:row>
      <xdr:rowOff>9525</xdr:rowOff>
    </xdr:to>
    <xdr:pic>
      <xdr:nvPicPr>
        <xdr:cNvPr id="89" name="Рисунок 88" descr="Измени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2286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9525</xdr:colOff>
      <xdr:row>7</xdr:row>
      <xdr:rowOff>9525</xdr:rowOff>
    </xdr:to>
    <xdr:pic>
      <xdr:nvPicPr>
        <xdr:cNvPr id="90" name="Рисунок 89" descr="Копировать">
          <a:hlinkClick xmlns:r="http://schemas.openxmlformats.org/officeDocument/2006/relationships" r:id="rId2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2286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9525</xdr:colOff>
      <xdr:row>7</xdr:row>
      <xdr:rowOff>9525</xdr:rowOff>
    </xdr:to>
    <xdr:pic>
      <xdr:nvPicPr>
        <xdr:cNvPr id="91" name="Рисунок 90" descr="Удалить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0" y="2286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1381125</xdr:colOff>
          <xdr:row>0</xdr:row>
          <xdr:rowOff>0</xdr:rowOff>
        </xdr:from>
        <xdr:to>
          <xdr:col>4</xdr:col>
          <xdr:colOff>4371975</xdr:colOff>
          <xdr:row>0</xdr:row>
          <xdr:rowOff>438150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1381125</xdr:colOff>
          <xdr:row>0</xdr:row>
          <xdr:rowOff>0</xdr:rowOff>
        </xdr:from>
        <xdr:to>
          <xdr:col>4</xdr:col>
          <xdr:colOff>4371975</xdr:colOff>
          <xdr:row>0</xdr:row>
          <xdr:rowOff>438150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image" Target="../media/image2.emf"/><Relationship Id="rId25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8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image" Target="../media/image3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1"/>
  <dimension ref="B1:IY192"/>
  <sheetViews>
    <sheetView tabSelected="1" workbookViewId="0">
      <selection activeCell="L14" sqref="L14"/>
    </sheetView>
  </sheetViews>
  <sheetFormatPr defaultColWidth="11.42578125" defaultRowHeight="15" outlineLevelCol="1" x14ac:dyDescent="0.25"/>
  <cols>
    <col min="1" max="1" width="11.42578125" style="7"/>
    <col min="2" max="2" width="12" style="1" customWidth="1"/>
    <col min="3" max="3" width="13.5703125" style="2" customWidth="1"/>
    <col min="4" max="4" width="10.28515625" style="2" customWidth="1" outlineLevel="1"/>
    <col min="5" max="5" width="47.85546875" style="3" customWidth="1" outlineLevel="1"/>
    <col min="6" max="7" width="8.140625" style="2" customWidth="1" outlineLevel="1"/>
    <col min="8" max="8" width="12.5703125" style="2" customWidth="1" outlineLevel="1"/>
    <col min="9" max="10" width="8.140625" style="2" customWidth="1" outlineLevel="1"/>
    <col min="11" max="13" width="10.7109375" style="4" customWidth="1"/>
    <col min="14" max="14" width="18.7109375" style="5" customWidth="1"/>
    <col min="15" max="15" width="11.42578125" style="6"/>
    <col min="16" max="16" width="7.7109375" style="56" customWidth="1"/>
    <col min="17" max="16384" width="11.42578125" style="7"/>
  </cols>
  <sheetData>
    <row r="1" spans="2:19" s="12" customFormat="1" ht="45" x14ac:dyDescent="0.25">
      <c r="B1" s="57"/>
      <c r="C1" s="8" t="s">
        <v>0</v>
      </c>
      <c r="D1" s="8" t="s">
        <v>1</v>
      </c>
      <c r="E1" s="8" t="s">
        <v>2</v>
      </c>
      <c r="F1" s="9"/>
      <c r="G1" s="8" t="s">
        <v>3</v>
      </c>
      <c r="H1" s="8" t="s">
        <v>4</v>
      </c>
      <c r="I1" s="8" t="s">
        <v>5</v>
      </c>
      <c r="J1" s="8" t="s">
        <v>6</v>
      </c>
      <c r="K1" s="10" t="s">
        <v>7</v>
      </c>
      <c r="L1" s="10"/>
      <c r="M1" s="11" t="s">
        <v>8</v>
      </c>
      <c r="N1" s="10" t="s">
        <v>1544</v>
      </c>
      <c r="O1" s="11" t="s">
        <v>11</v>
      </c>
      <c r="P1" s="55" t="s">
        <v>9</v>
      </c>
      <c r="Q1" s="12" t="s">
        <v>268</v>
      </c>
      <c r="R1" s="12" t="s">
        <v>269</v>
      </c>
      <c r="S1" s="12" t="s">
        <v>270</v>
      </c>
    </row>
    <row r="2" spans="2:19" s="379" customFormat="1" ht="12.75" x14ac:dyDescent="0.2">
      <c r="C2" s="392" t="s">
        <v>865</v>
      </c>
      <c r="D2" s="393" t="s">
        <v>867</v>
      </c>
      <c r="E2" s="392" t="s">
        <v>866</v>
      </c>
      <c r="F2" s="392"/>
      <c r="G2" s="393">
        <v>1000</v>
      </c>
      <c r="H2" s="393">
        <v>160</v>
      </c>
      <c r="I2" s="393">
        <v>160</v>
      </c>
      <c r="J2" s="393">
        <v>35.49</v>
      </c>
      <c r="K2" s="394">
        <v>2317</v>
      </c>
      <c r="L2" s="394"/>
      <c r="M2" s="395">
        <f>K2*0.65</f>
        <v>1506.05</v>
      </c>
    </row>
    <row r="3" spans="2:19" s="379" customFormat="1" ht="12.75" x14ac:dyDescent="0.2">
      <c r="C3" s="392" t="s">
        <v>868</v>
      </c>
      <c r="D3" s="393" t="s">
        <v>867</v>
      </c>
      <c r="E3" s="392" t="s">
        <v>869</v>
      </c>
      <c r="F3" s="392"/>
      <c r="G3" s="393">
        <v>1000</v>
      </c>
      <c r="H3" s="393">
        <v>160</v>
      </c>
      <c r="I3" s="393">
        <v>210</v>
      </c>
      <c r="J3" s="393">
        <v>42.69</v>
      </c>
      <c r="K3" s="394">
        <v>2483</v>
      </c>
      <c r="L3" s="394"/>
      <c r="M3" s="395">
        <f>K3*0.65</f>
        <v>1613.95</v>
      </c>
    </row>
    <row r="4" spans="2:19" s="379" customFormat="1" ht="12.75" x14ac:dyDescent="0.2">
      <c r="C4" s="392" t="s">
        <v>870</v>
      </c>
      <c r="D4" s="393" t="s">
        <v>867</v>
      </c>
      <c r="E4" s="392" t="s">
        <v>871</v>
      </c>
      <c r="F4" s="392"/>
      <c r="G4" s="393">
        <v>1000</v>
      </c>
      <c r="H4" s="393">
        <v>160</v>
      </c>
      <c r="I4" s="393">
        <v>230</v>
      </c>
      <c r="J4" s="393">
        <v>45.57</v>
      </c>
      <c r="K4" s="394">
        <v>2533</v>
      </c>
      <c r="L4" s="394"/>
      <c r="M4" s="395">
        <f>K4*0.65</f>
        <v>1646.45</v>
      </c>
    </row>
    <row r="5" spans="2:19" s="379" customFormat="1" ht="12.75" x14ac:dyDescent="0.2">
      <c r="C5" s="396" t="s">
        <v>872</v>
      </c>
      <c r="D5" s="393" t="s">
        <v>867</v>
      </c>
      <c r="E5" s="396" t="s">
        <v>873</v>
      </c>
      <c r="F5" s="396"/>
      <c r="G5" s="393">
        <v>500</v>
      </c>
      <c r="H5" s="393">
        <v>160</v>
      </c>
      <c r="I5" s="393">
        <v>500</v>
      </c>
      <c r="J5" s="393">
        <v>50.7</v>
      </c>
      <c r="K5" s="394">
        <v>2567</v>
      </c>
      <c r="L5" s="394"/>
      <c r="M5" s="395">
        <f>K5*0.65</f>
        <v>1668.55</v>
      </c>
    </row>
    <row r="6" spans="2:19" s="379" customFormat="1" ht="12.75" x14ac:dyDescent="0.2">
      <c r="C6" s="562" t="s">
        <v>874</v>
      </c>
      <c r="D6" s="389"/>
      <c r="E6" s="563"/>
      <c r="F6" s="563"/>
      <c r="G6" s="389"/>
      <c r="H6" s="389"/>
      <c r="I6" s="389"/>
      <c r="J6" s="389"/>
      <c r="K6" s="390"/>
      <c r="L6" s="390"/>
      <c r="M6" s="391" t="str">
        <f>IFERROR(K6/#REF!-1,"")</f>
        <v/>
      </c>
    </row>
    <row r="7" spans="2:19" s="379" customFormat="1" ht="12.75" x14ac:dyDescent="0.2">
      <c r="C7" s="392" t="s">
        <v>875</v>
      </c>
      <c r="D7" s="393" t="s">
        <v>877</v>
      </c>
      <c r="E7" s="392" t="s">
        <v>876</v>
      </c>
      <c r="F7" s="392"/>
      <c r="G7" s="393">
        <v>498</v>
      </c>
      <c r="H7" s="393">
        <v>148</v>
      </c>
      <c r="I7" s="393">
        <v>25</v>
      </c>
      <c r="J7" s="393">
        <v>3.79</v>
      </c>
      <c r="K7" s="397">
        <v>1085</v>
      </c>
      <c r="L7" s="397"/>
      <c r="M7" s="398">
        <f>K7*0.65</f>
        <v>705.25</v>
      </c>
    </row>
    <row r="8" spans="2:19" s="379" customFormat="1" ht="12.75" x14ac:dyDescent="0.2">
      <c r="C8" s="392" t="s">
        <v>878</v>
      </c>
      <c r="D8" s="393" t="s">
        <v>880</v>
      </c>
      <c r="E8" s="392" t="s">
        <v>879</v>
      </c>
      <c r="F8" s="392"/>
      <c r="G8" s="393">
        <v>498</v>
      </c>
      <c r="H8" s="393">
        <v>148</v>
      </c>
      <c r="I8" s="393">
        <v>35</v>
      </c>
      <c r="J8" s="393">
        <v>4.43</v>
      </c>
      <c r="K8" s="397">
        <v>1345</v>
      </c>
      <c r="L8" s="397"/>
      <c r="M8" s="398">
        <f>K8*0.65</f>
        <v>874.25</v>
      </c>
    </row>
    <row r="9" spans="2:19" s="379" customFormat="1" ht="12.75" x14ac:dyDescent="0.2">
      <c r="C9" s="388" t="s">
        <v>881</v>
      </c>
      <c r="D9" s="389"/>
      <c r="E9" s="389"/>
      <c r="F9" s="389"/>
      <c r="G9" s="389"/>
      <c r="H9" s="389"/>
      <c r="I9" s="389"/>
      <c r="J9" s="389"/>
      <c r="K9" s="390"/>
      <c r="L9" s="390"/>
      <c r="M9" s="391" t="str">
        <f>IFERROR(K9/#REF!-1,"")</f>
        <v/>
      </c>
    </row>
    <row r="10" spans="2:19" s="379" customFormat="1" ht="12.75" x14ac:dyDescent="0.2">
      <c r="C10" s="392" t="s">
        <v>882</v>
      </c>
      <c r="D10" s="393" t="s">
        <v>877</v>
      </c>
      <c r="E10" s="392" t="s">
        <v>883</v>
      </c>
      <c r="F10" s="392"/>
      <c r="G10" s="393"/>
      <c r="H10" s="393"/>
      <c r="I10" s="393"/>
      <c r="J10" s="393"/>
      <c r="K10" s="399">
        <v>15</v>
      </c>
      <c r="L10" s="399"/>
      <c r="M10" s="400">
        <f>K10*0.75</f>
        <v>11.25</v>
      </c>
    </row>
    <row r="11" spans="2:19" s="379" customFormat="1" ht="12.75" x14ac:dyDescent="0.2">
      <c r="C11" s="392" t="s">
        <v>884</v>
      </c>
      <c r="D11" s="393" t="s">
        <v>877</v>
      </c>
      <c r="E11" s="392" t="s">
        <v>885</v>
      </c>
      <c r="F11" s="392"/>
      <c r="G11" s="393"/>
      <c r="H11" s="393"/>
      <c r="I11" s="393"/>
      <c r="J11" s="393"/>
      <c r="K11" s="399">
        <v>15</v>
      </c>
      <c r="L11" s="399"/>
      <c r="M11" s="400">
        <f>K11*0.75</f>
        <v>11.25</v>
      </c>
    </row>
    <row r="12" spans="2:19" s="379" customFormat="1" ht="12.75" x14ac:dyDescent="0.2">
      <c r="C12" s="388" t="s">
        <v>886</v>
      </c>
      <c r="D12" s="389"/>
      <c r="E12" s="389"/>
      <c r="F12" s="389"/>
      <c r="G12" s="389"/>
      <c r="H12" s="389"/>
      <c r="I12" s="389"/>
      <c r="J12" s="389"/>
      <c r="K12" s="390"/>
      <c r="L12" s="390"/>
      <c r="M12" s="391" t="str">
        <f>IFERROR(K12/#REF!-1,"")</f>
        <v/>
      </c>
    </row>
    <row r="13" spans="2:19" s="379" customFormat="1" ht="12.75" x14ac:dyDescent="0.2">
      <c r="C13" s="388" t="s">
        <v>888</v>
      </c>
      <c r="D13" s="389"/>
      <c r="E13" s="389"/>
      <c r="F13" s="389"/>
      <c r="G13" s="389"/>
      <c r="H13" s="389"/>
      <c r="I13" s="389"/>
      <c r="J13" s="389"/>
      <c r="K13" s="390"/>
      <c r="L13" s="390"/>
      <c r="M13" s="391" t="str">
        <f>IFERROR(K13/#REF!-1,"")</f>
        <v/>
      </c>
    </row>
    <row r="14" spans="2:19" s="404" customFormat="1" ht="12.75" x14ac:dyDescent="0.2">
      <c r="C14" s="405" t="s">
        <v>889</v>
      </c>
      <c r="D14" s="407"/>
      <c r="E14" s="406" t="s">
        <v>890</v>
      </c>
      <c r="F14" s="406"/>
      <c r="G14" s="407"/>
      <c r="H14" s="407"/>
      <c r="I14" s="407"/>
      <c r="J14" s="407"/>
      <c r="K14" s="408">
        <v>142</v>
      </c>
      <c r="L14" s="408"/>
      <c r="M14" s="409">
        <f>K14*0.8</f>
        <v>113.60000000000001</v>
      </c>
    </row>
    <row r="15" spans="2:19" s="404" customFormat="1" ht="12.75" x14ac:dyDescent="0.2">
      <c r="C15" s="405" t="s">
        <v>891</v>
      </c>
      <c r="D15" s="407"/>
      <c r="E15" s="406" t="s">
        <v>892</v>
      </c>
      <c r="F15" s="406"/>
      <c r="G15" s="407"/>
      <c r="H15" s="407"/>
      <c r="I15" s="407"/>
      <c r="J15" s="407"/>
      <c r="K15" s="408">
        <v>687</v>
      </c>
      <c r="L15" s="408"/>
      <c r="M15" s="409">
        <f>K15*0.8</f>
        <v>549.6</v>
      </c>
    </row>
    <row r="16" spans="2:19" s="404" customFormat="1" ht="12.75" x14ac:dyDescent="0.2">
      <c r="C16" s="405" t="s">
        <v>893</v>
      </c>
      <c r="D16" s="407"/>
      <c r="E16" s="406" t="s">
        <v>894</v>
      </c>
      <c r="F16" s="406"/>
      <c r="G16" s="407"/>
      <c r="H16" s="407"/>
      <c r="I16" s="407"/>
      <c r="J16" s="407"/>
      <c r="K16" s="408">
        <v>165</v>
      </c>
      <c r="L16" s="408"/>
      <c r="M16" s="409">
        <f>K16*0.8</f>
        <v>132</v>
      </c>
    </row>
    <row r="17" spans="3:13" s="404" customFormat="1" ht="12.75" x14ac:dyDescent="0.2">
      <c r="C17" s="405" t="s">
        <v>895</v>
      </c>
      <c r="D17" s="407"/>
      <c r="E17" s="406" t="s">
        <v>896</v>
      </c>
      <c r="F17" s="406"/>
      <c r="G17" s="407"/>
      <c r="H17" s="407"/>
      <c r="I17" s="407"/>
      <c r="J17" s="407"/>
      <c r="K17" s="408">
        <v>705</v>
      </c>
      <c r="L17" s="408"/>
      <c r="M17" s="409">
        <f>K17*0.8</f>
        <v>564</v>
      </c>
    </row>
    <row r="18" spans="3:13" s="404" customFormat="1" ht="12.75" x14ac:dyDescent="0.2">
      <c r="C18" s="405" t="s">
        <v>897</v>
      </c>
      <c r="D18" s="407"/>
      <c r="E18" s="406" t="s">
        <v>898</v>
      </c>
      <c r="F18" s="406"/>
      <c r="G18" s="407"/>
      <c r="H18" s="407"/>
      <c r="I18" s="407"/>
      <c r="J18" s="407"/>
      <c r="K18" s="408">
        <v>177</v>
      </c>
      <c r="L18" s="408"/>
      <c r="M18" s="409">
        <f>K18*0.8</f>
        <v>141.6</v>
      </c>
    </row>
    <row r="19" spans="3:13" s="404" customFormat="1" ht="12.75" x14ac:dyDescent="0.2">
      <c r="C19" s="405" t="s">
        <v>899</v>
      </c>
      <c r="D19" s="407"/>
      <c r="E19" s="406" t="s">
        <v>900</v>
      </c>
      <c r="F19" s="406"/>
      <c r="G19" s="407"/>
      <c r="H19" s="407"/>
      <c r="I19" s="407"/>
      <c r="J19" s="407"/>
      <c r="K19" s="408">
        <v>815</v>
      </c>
      <c r="L19" s="408"/>
      <c r="M19" s="409">
        <f>K19*0.8</f>
        <v>652</v>
      </c>
    </row>
    <row r="20" spans="3:13" s="404" customFormat="1" ht="12.75" x14ac:dyDescent="0.2">
      <c r="C20" s="405" t="s">
        <v>901</v>
      </c>
      <c r="D20" s="407"/>
      <c r="E20" s="406" t="s">
        <v>902</v>
      </c>
      <c r="F20" s="406"/>
      <c r="G20" s="407"/>
      <c r="H20" s="407"/>
      <c r="I20" s="407"/>
      <c r="J20" s="407"/>
      <c r="K20" s="408">
        <v>1291.6666666666667</v>
      </c>
      <c r="L20" s="408"/>
      <c r="M20" s="409">
        <f>K20*0.8</f>
        <v>1033.3333333333335</v>
      </c>
    </row>
    <row r="21" spans="3:13" s="379" customFormat="1" ht="12.75" x14ac:dyDescent="0.2">
      <c r="C21" s="384" t="s">
        <v>903</v>
      </c>
      <c r="D21" s="385"/>
      <c r="E21" s="385"/>
      <c r="F21" s="385"/>
      <c r="G21" s="385"/>
      <c r="H21" s="385"/>
      <c r="I21" s="385"/>
      <c r="J21" s="385"/>
      <c r="K21" s="386"/>
      <c r="L21" s="386"/>
      <c r="M21" s="387" t="str">
        <f>IFERROR(K21/#REF!-1,"")</f>
        <v/>
      </c>
    </row>
    <row r="22" spans="3:13" s="379" customFormat="1" ht="12.75" x14ac:dyDescent="0.2">
      <c r="C22" s="388" t="s">
        <v>904</v>
      </c>
      <c r="D22" s="389"/>
      <c r="E22" s="389"/>
      <c r="F22" s="389"/>
      <c r="G22" s="389"/>
      <c r="H22" s="389"/>
      <c r="I22" s="389"/>
      <c r="J22" s="389"/>
      <c r="K22" s="390"/>
      <c r="L22" s="390"/>
      <c r="M22" s="391" t="str">
        <f>IFERROR(K22/#REF!-1,"")</f>
        <v/>
      </c>
    </row>
    <row r="23" spans="3:13" s="379" customFormat="1" ht="12.75" x14ac:dyDescent="0.2">
      <c r="C23" s="410" t="s">
        <v>905</v>
      </c>
      <c r="D23" s="393" t="s">
        <v>877</v>
      </c>
      <c r="E23" s="411" t="s">
        <v>906</v>
      </c>
      <c r="F23" s="411"/>
      <c r="G23" s="393">
        <v>1000</v>
      </c>
      <c r="H23" s="393">
        <v>160</v>
      </c>
      <c r="I23" s="393">
        <v>160</v>
      </c>
      <c r="J23" s="393">
        <v>43.1</v>
      </c>
      <c r="K23" s="397">
        <v>4667</v>
      </c>
      <c r="L23" s="397"/>
      <c r="M23" s="398">
        <f>K23*0.65</f>
        <v>3033.55</v>
      </c>
    </row>
    <row r="24" spans="3:13" s="379" customFormat="1" ht="12.75" x14ac:dyDescent="0.2">
      <c r="C24" s="410" t="s">
        <v>907</v>
      </c>
      <c r="D24" s="393" t="s">
        <v>877</v>
      </c>
      <c r="E24" s="411" t="s">
        <v>908</v>
      </c>
      <c r="F24" s="411"/>
      <c r="G24" s="393">
        <v>1000</v>
      </c>
      <c r="H24" s="393">
        <v>160</v>
      </c>
      <c r="I24" s="393">
        <v>210</v>
      </c>
      <c r="J24" s="393">
        <v>50.3</v>
      </c>
      <c r="K24" s="397">
        <v>4833</v>
      </c>
      <c r="L24" s="397"/>
      <c r="M24" s="398">
        <f>K24*0.65</f>
        <v>3141.4500000000003</v>
      </c>
    </row>
    <row r="25" spans="3:13" s="379" customFormat="1" ht="12.75" x14ac:dyDescent="0.2">
      <c r="C25" s="410" t="s">
        <v>909</v>
      </c>
      <c r="D25" s="393" t="s">
        <v>877</v>
      </c>
      <c r="E25" s="411" t="s">
        <v>910</v>
      </c>
      <c r="F25" s="411"/>
      <c r="G25" s="393">
        <v>1000</v>
      </c>
      <c r="H25" s="393">
        <v>160</v>
      </c>
      <c r="I25" s="393">
        <v>230</v>
      </c>
      <c r="J25" s="393">
        <v>53.19</v>
      </c>
      <c r="K25" s="397">
        <v>4883</v>
      </c>
      <c r="L25" s="397"/>
      <c r="M25" s="398">
        <f>K25*0.65</f>
        <v>3173.9500000000003</v>
      </c>
    </row>
    <row r="26" spans="3:13" s="379" customFormat="1" ht="12.75" x14ac:dyDescent="0.2">
      <c r="C26" s="412" t="s">
        <v>911</v>
      </c>
      <c r="D26" s="393" t="s">
        <v>877</v>
      </c>
      <c r="E26" s="411" t="s">
        <v>912</v>
      </c>
      <c r="F26" s="411"/>
      <c r="G26" s="393">
        <v>500</v>
      </c>
      <c r="H26" s="393">
        <v>160</v>
      </c>
      <c r="I26" s="393">
        <v>500</v>
      </c>
      <c r="J26" s="393">
        <v>54.82</v>
      </c>
      <c r="K26" s="397">
        <v>3800</v>
      </c>
      <c r="L26" s="397"/>
      <c r="M26" s="398">
        <f>K26*0.65</f>
        <v>2470</v>
      </c>
    </row>
    <row r="27" spans="3:13" s="379" customFormat="1" ht="12.75" x14ac:dyDescent="0.2">
      <c r="C27" s="388" t="s">
        <v>913</v>
      </c>
      <c r="D27" s="389"/>
      <c r="E27" s="389"/>
      <c r="F27" s="389"/>
      <c r="G27" s="389"/>
      <c r="H27" s="389"/>
      <c r="I27" s="389"/>
      <c r="J27" s="389"/>
      <c r="K27" s="390"/>
      <c r="L27" s="390"/>
      <c r="M27" s="391" t="str">
        <f>IFERROR(K27/#REF!-1,"")</f>
        <v/>
      </c>
    </row>
    <row r="28" spans="3:13" s="379" customFormat="1" ht="12.75" x14ac:dyDescent="0.2">
      <c r="C28" s="410" t="s">
        <v>914</v>
      </c>
      <c r="D28" s="393" t="s">
        <v>867</v>
      </c>
      <c r="E28" s="410" t="s">
        <v>915</v>
      </c>
      <c r="F28" s="410"/>
      <c r="G28" s="393">
        <v>1000</v>
      </c>
      <c r="H28" s="393">
        <v>160</v>
      </c>
      <c r="I28" s="393">
        <v>160</v>
      </c>
      <c r="J28" s="393">
        <v>43.07</v>
      </c>
      <c r="K28" s="397">
        <v>5500</v>
      </c>
      <c r="L28" s="397"/>
      <c r="M28" s="398">
        <f>K28*0.65</f>
        <v>3575</v>
      </c>
    </row>
    <row r="29" spans="3:13" s="379" customFormat="1" ht="12.75" x14ac:dyDescent="0.2">
      <c r="C29" s="410" t="s">
        <v>916</v>
      </c>
      <c r="D29" s="393" t="s">
        <v>867</v>
      </c>
      <c r="E29" s="410" t="s">
        <v>917</v>
      </c>
      <c r="F29" s="410"/>
      <c r="G29" s="393">
        <v>1000</v>
      </c>
      <c r="H29" s="393">
        <v>160</v>
      </c>
      <c r="I29" s="393">
        <v>210</v>
      </c>
      <c r="J29" s="393">
        <v>51.87</v>
      </c>
      <c r="K29" s="397">
        <v>5642</v>
      </c>
      <c r="L29" s="397"/>
      <c r="M29" s="398">
        <f>K29*0.65</f>
        <v>3667.3</v>
      </c>
    </row>
    <row r="30" spans="3:13" s="379" customFormat="1" ht="12.75" x14ac:dyDescent="0.2">
      <c r="C30" s="410" t="s">
        <v>918</v>
      </c>
      <c r="D30" s="393" t="s">
        <v>867</v>
      </c>
      <c r="E30" s="410" t="s">
        <v>919</v>
      </c>
      <c r="F30" s="410"/>
      <c r="G30" s="393">
        <v>1000</v>
      </c>
      <c r="H30" s="393">
        <v>160</v>
      </c>
      <c r="I30" s="393">
        <v>230</v>
      </c>
      <c r="J30" s="393">
        <v>54.71</v>
      </c>
      <c r="K30" s="397">
        <v>5692</v>
      </c>
      <c r="L30" s="397"/>
      <c r="M30" s="398">
        <f>K30*0.65</f>
        <v>3699.8</v>
      </c>
    </row>
    <row r="31" spans="3:13" s="379" customFormat="1" ht="12.75" x14ac:dyDescent="0.2">
      <c r="C31" s="412" t="s">
        <v>920</v>
      </c>
      <c r="D31" s="393" t="s">
        <v>867</v>
      </c>
      <c r="E31" s="410" t="s">
        <v>921</v>
      </c>
      <c r="F31" s="410"/>
      <c r="G31" s="393">
        <v>1000</v>
      </c>
      <c r="H31" s="393">
        <v>160</v>
      </c>
      <c r="I31" s="393">
        <v>500</v>
      </c>
      <c r="J31" s="393">
        <v>54.82</v>
      </c>
      <c r="K31" s="397">
        <v>4100</v>
      </c>
      <c r="L31" s="397"/>
      <c r="M31" s="398">
        <f>K31*0.65</f>
        <v>2665</v>
      </c>
    </row>
    <row r="32" spans="3:13" s="379" customFormat="1" ht="12.75" x14ac:dyDescent="0.2">
      <c r="C32" s="384" t="s">
        <v>922</v>
      </c>
      <c r="D32" s="385"/>
      <c r="E32" s="385"/>
      <c r="F32" s="385"/>
      <c r="G32" s="385"/>
      <c r="H32" s="385"/>
      <c r="I32" s="385"/>
      <c r="J32" s="385"/>
      <c r="K32" s="386"/>
      <c r="L32" s="386"/>
      <c r="M32" s="387" t="str">
        <f>IFERROR(K32/#REF!-1,"")</f>
        <v/>
      </c>
    </row>
    <row r="33" spans="3:13" s="379" customFormat="1" ht="12.75" x14ac:dyDescent="0.2">
      <c r="C33" s="388" t="s">
        <v>923</v>
      </c>
      <c r="D33" s="389"/>
      <c r="E33" s="389"/>
      <c r="F33" s="389"/>
      <c r="G33" s="389"/>
      <c r="H33" s="389"/>
      <c r="I33" s="389"/>
      <c r="J33" s="389"/>
      <c r="K33" s="390"/>
      <c r="L33" s="390"/>
      <c r="M33" s="391" t="str">
        <f>IFERROR(K33/#REF!-1,"")</f>
        <v/>
      </c>
    </row>
    <row r="34" spans="3:13" s="379" customFormat="1" ht="12.75" x14ac:dyDescent="0.2">
      <c r="C34" s="413" t="s">
        <v>924</v>
      </c>
      <c r="D34" s="393" t="s">
        <v>877</v>
      </c>
      <c r="E34" s="413" t="s">
        <v>925</v>
      </c>
      <c r="F34" s="413"/>
      <c r="G34" s="393">
        <v>1000</v>
      </c>
      <c r="H34" s="393">
        <v>210</v>
      </c>
      <c r="I34" s="393">
        <v>100</v>
      </c>
      <c r="J34" s="393">
        <v>26.36</v>
      </c>
      <c r="K34" s="394">
        <v>3158</v>
      </c>
      <c r="L34" s="394"/>
      <c r="M34" s="395">
        <f>K34*0.65</f>
        <v>2052.7000000000003</v>
      </c>
    </row>
    <row r="35" spans="3:13" s="379" customFormat="1" ht="12.75" x14ac:dyDescent="0.2">
      <c r="C35" s="413" t="s">
        <v>926</v>
      </c>
      <c r="D35" s="393" t="s">
        <v>877</v>
      </c>
      <c r="E35" s="413" t="s">
        <v>927</v>
      </c>
      <c r="F35" s="413"/>
      <c r="G35" s="393">
        <v>1000</v>
      </c>
      <c r="H35" s="393">
        <v>210</v>
      </c>
      <c r="I35" s="393">
        <v>160</v>
      </c>
      <c r="J35" s="393">
        <v>58.58</v>
      </c>
      <c r="K35" s="394">
        <v>3333</v>
      </c>
      <c r="L35" s="394"/>
      <c r="M35" s="395">
        <f>K35*0.65</f>
        <v>2166.4500000000003</v>
      </c>
    </row>
    <row r="36" spans="3:13" s="379" customFormat="1" ht="12.75" x14ac:dyDescent="0.2">
      <c r="C36" s="413" t="s">
        <v>928</v>
      </c>
      <c r="D36" s="393" t="s">
        <v>877</v>
      </c>
      <c r="E36" s="413" t="s">
        <v>929</v>
      </c>
      <c r="F36" s="413"/>
      <c r="G36" s="393">
        <v>1000</v>
      </c>
      <c r="H36" s="393">
        <v>210</v>
      </c>
      <c r="I36" s="393">
        <v>210</v>
      </c>
      <c r="J36" s="393">
        <v>61.81</v>
      </c>
      <c r="K36" s="394">
        <v>3475</v>
      </c>
      <c r="L36" s="394"/>
      <c r="M36" s="395">
        <f>K36*0.65</f>
        <v>2258.75</v>
      </c>
    </row>
    <row r="37" spans="3:13" s="379" customFormat="1" ht="12.75" x14ac:dyDescent="0.2">
      <c r="C37" s="413" t="s">
        <v>930</v>
      </c>
      <c r="D37" s="393" t="s">
        <v>877</v>
      </c>
      <c r="E37" s="413" t="s">
        <v>931</v>
      </c>
      <c r="F37" s="413"/>
      <c r="G37" s="393">
        <v>1000</v>
      </c>
      <c r="H37" s="393">
        <v>210</v>
      </c>
      <c r="I37" s="393">
        <v>260</v>
      </c>
      <c r="J37" s="393">
        <v>68.8</v>
      </c>
      <c r="K37" s="394">
        <v>3833</v>
      </c>
      <c r="L37" s="394"/>
      <c r="M37" s="395">
        <f>K37*0.65</f>
        <v>2491.4500000000003</v>
      </c>
    </row>
    <row r="38" spans="3:13" s="379" customFormat="1" ht="12.75" x14ac:dyDescent="0.2">
      <c r="C38" s="414" t="s">
        <v>932</v>
      </c>
      <c r="D38" s="415" t="s">
        <v>877</v>
      </c>
      <c r="E38" s="414" t="s">
        <v>933</v>
      </c>
      <c r="F38" s="414"/>
      <c r="G38" s="415">
        <v>1000</v>
      </c>
      <c r="H38" s="415">
        <v>210</v>
      </c>
      <c r="I38" s="415">
        <v>310</v>
      </c>
      <c r="J38" s="415">
        <v>68.849999999999994</v>
      </c>
      <c r="K38" s="394">
        <v>4017</v>
      </c>
      <c r="L38" s="394"/>
      <c r="M38" s="395">
        <f>K38*0.65</f>
        <v>2611.0500000000002</v>
      </c>
    </row>
    <row r="39" spans="3:13" s="379" customFormat="1" ht="12.75" x14ac:dyDescent="0.2">
      <c r="C39" s="413" t="s">
        <v>934</v>
      </c>
      <c r="D39" s="393" t="s">
        <v>877</v>
      </c>
      <c r="E39" s="413" t="s">
        <v>935</v>
      </c>
      <c r="F39" s="413"/>
      <c r="G39" s="393">
        <v>500</v>
      </c>
      <c r="H39" s="393">
        <v>210</v>
      </c>
      <c r="I39" s="393">
        <v>500</v>
      </c>
      <c r="J39" s="393">
        <v>55.4</v>
      </c>
      <c r="K39" s="394">
        <v>5908</v>
      </c>
      <c r="L39" s="394"/>
      <c r="M39" s="395">
        <f>K39*0.65</f>
        <v>3840.2000000000003</v>
      </c>
    </row>
    <row r="40" spans="3:13" s="379" customFormat="1" ht="12.75" x14ac:dyDescent="0.2">
      <c r="C40" s="388" t="s">
        <v>936</v>
      </c>
      <c r="D40" s="389"/>
      <c r="E40" s="389"/>
      <c r="F40" s="389"/>
      <c r="G40" s="389"/>
      <c r="H40" s="389"/>
      <c r="I40" s="389"/>
      <c r="J40" s="389"/>
      <c r="K40" s="390"/>
      <c r="L40" s="390"/>
      <c r="M40" s="391" t="str">
        <f>IFERROR(K40/#REF!-1,"")</f>
        <v/>
      </c>
    </row>
    <row r="41" spans="3:13" s="379" customFormat="1" ht="12.75" x14ac:dyDescent="0.2">
      <c r="C41" s="416" t="s">
        <v>937</v>
      </c>
      <c r="D41" s="393" t="s">
        <v>877</v>
      </c>
      <c r="E41" s="417" t="s">
        <v>938</v>
      </c>
      <c r="F41" s="417"/>
      <c r="G41" s="393">
        <v>498</v>
      </c>
      <c r="H41" s="393">
        <v>198</v>
      </c>
      <c r="I41" s="393">
        <v>32</v>
      </c>
      <c r="J41" s="393">
        <v>5.8</v>
      </c>
      <c r="K41" s="397">
        <v>2035</v>
      </c>
      <c r="L41" s="397"/>
      <c r="M41" s="398">
        <f>K41*0.65</f>
        <v>1322.75</v>
      </c>
    </row>
    <row r="42" spans="3:13" s="379" customFormat="1" ht="12.75" x14ac:dyDescent="0.2">
      <c r="C42" s="418" t="s">
        <v>939</v>
      </c>
      <c r="D42" s="415" t="s">
        <v>880</v>
      </c>
      <c r="E42" s="419" t="s">
        <v>940</v>
      </c>
      <c r="F42" s="419"/>
      <c r="G42" s="415">
        <v>498</v>
      </c>
      <c r="H42" s="415">
        <v>198</v>
      </c>
      <c r="I42" s="415">
        <v>46</v>
      </c>
      <c r="J42" s="415">
        <v>7</v>
      </c>
      <c r="K42" s="397">
        <v>2300</v>
      </c>
      <c r="L42" s="397"/>
      <c r="M42" s="398">
        <f>K42*0.65</f>
        <v>1495</v>
      </c>
    </row>
    <row r="43" spans="3:13" s="379" customFormat="1" ht="12.75" x14ac:dyDescent="0.2">
      <c r="C43" s="388" t="s">
        <v>941</v>
      </c>
      <c r="D43" s="389"/>
      <c r="E43" s="389"/>
      <c r="F43" s="389"/>
      <c r="G43" s="389"/>
      <c r="H43" s="389"/>
      <c r="I43" s="389"/>
      <c r="J43" s="389"/>
      <c r="K43" s="390"/>
      <c r="L43" s="390"/>
      <c r="M43" s="391" t="str">
        <f>IFERROR(K43/#REF!-1,"")</f>
        <v/>
      </c>
    </row>
    <row r="44" spans="3:13" s="379" customFormat="1" ht="12.75" x14ac:dyDescent="0.2">
      <c r="C44" s="418" t="s">
        <v>882</v>
      </c>
      <c r="D44" s="393"/>
      <c r="E44" s="420" t="s">
        <v>883</v>
      </c>
      <c r="F44" s="420"/>
      <c r="G44" s="393"/>
      <c r="H44" s="393"/>
      <c r="I44" s="393"/>
      <c r="J44" s="393"/>
      <c r="K44" s="399">
        <v>15</v>
      </c>
      <c r="L44" s="399"/>
      <c r="M44" s="400">
        <f>K44*0.75</f>
        <v>11.25</v>
      </c>
    </row>
    <row r="45" spans="3:13" s="379" customFormat="1" ht="12.75" x14ac:dyDescent="0.2">
      <c r="C45" s="418" t="s">
        <v>884</v>
      </c>
      <c r="D45" s="393"/>
      <c r="E45" s="420" t="s">
        <v>885</v>
      </c>
      <c r="F45" s="420"/>
      <c r="G45" s="393"/>
      <c r="H45" s="393"/>
      <c r="I45" s="393"/>
      <c r="J45" s="393"/>
      <c r="K45" s="399">
        <v>15</v>
      </c>
      <c r="L45" s="399"/>
      <c r="M45" s="400">
        <f>K45*0.75</f>
        <v>11.25</v>
      </c>
    </row>
    <row r="46" spans="3:13" s="379" customFormat="1" ht="12.75" x14ac:dyDescent="0.2">
      <c r="C46" s="388" t="s">
        <v>942</v>
      </c>
      <c r="D46" s="389"/>
      <c r="E46" s="389"/>
      <c r="F46" s="389"/>
      <c r="G46" s="389"/>
      <c r="H46" s="389"/>
      <c r="I46" s="389"/>
      <c r="J46" s="389"/>
      <c r="K46" s="390"/>
      <c r="L46" s="390"/>
      <c r="M46" s="391" t="str">
        <f>IFERROR(K46/#REF!-1,"")</f>
        <v/>
      </c>
    </row>
    <row r="47" spans="3:13" s="379" customFormat="1" ht="12.75" x14ac:dyDescent="0.2">
      <c r="C47" s="388" t="s">
        <v>944</v>
      </c>
      <c r="D47" s="389"/>
      <c r="E47" s="389"/>
      <c r="F47" s="389"/>
      <c r="G47" s="389"/>
      <c r="H47" s="389"/>
      <c r="I47" s="389"/>
      <c r="J47" s="389"/>
      <c r="K47" s="390"/>
      <c r="L47" s="390"/>
      <c r="M47" s="391" t="str">
        <f>IFERROR(K47/#REF!-1,"")</f>
        <v/>
      </c>
    </row>
    <row r="48" spans="3:13" s="379" customFormat="1" ht="12.75" x14ac:dyDescent="0.2">
      <c r="C48" s="421" t="s">
        <v>945</v>
      </c>
      <c r="D48" s="393"/>
      <c r="E48" s="422" t="s">
        <v>946</v>
      </c>
      <c r="F48" s="422"/>
      <c r="G48" s="393"/>
      <c r="H48" s="393"/>
      <c r="I48" s="393"/>
      <c r="J48" s="393"/>
      <c r="K48" s="394">
        <v>122</v>
      </c>
      <c r="L48" s="394"/>
      <c r="M48" s="395">
        <f>K48*0.8</f>
        <v>97.600000000000009</v>
      </c>
    </row>
    <row r="49" spans="3:13" s="379" customFormat="1" ht="12.75" x14ac:dyDescent="0.2">
      <c r="C49" s="421" t="s">
        <v>947</v>
      </c>
      <c r="D49" s="393"/>
      <c r="E49" s="422" t="s">
        <v>948</v>
      </c>
      <c r="F49" s="422"/>
      <c r="G49" s="393"/>
      <c r="H49" s="393"/>
      <c r="I49" s="393"/>
      <c r="J49" s="393"/>
      <c r="K49" s="423">
        <v>567</v>
      </c>
      <c r="L49" s="423"/>
      <c r="M49" s="395">
        <f>K49*0.8</f>
        <v>453.6</v>
      </c>
    </row>
    <row r="50" spans="3:13" s="379" customFormat="1" ht="12.75" x14ac:dyDescent="0.2">
      <c r="C50" s="421" t="s">
        <v>949</v>
      </c>
      <c r="D50" s="393"/>
      <c r="E50" s="422" t="s">
        <v>950</v>
      </c>
      <c r="F50" s="422"/>
      <c r="G50" s="393"/>
      <c r="H50" s="393"/>
      <c r="I50" s="393"/>
      <c r="J50" s="393"/>
      <c r="K50" s="394">
        <v>605</v>
      </c>
      <c r="L50" s="394"/>
      <c r="M50" s="395">
        <f>K50*0.8</f>
        <v>484</v>
      </c>
    </row>
    <row r="51" spans="3:13" s="379" customFormat="1" ht="12.75" x14ac:dyDescent="0.2">
      <c r="C51" s="421" t="s">
        <v>951</v>
      </c>
      <c r="D51" s="393"/>
      <c r="E51" s="422" t="s">
        <v>952</v>
      </c>
      <c r="F51" s="422"/>
      <c r="G51" s="393"/>
      <c r="H51" s="393"/>
      <c r="I51" s="393"/>
      <c r="J51" s="393"/>
      <c r="K51" s="423">
        <v>648</v>
      </c>
      <c r="L51" s="423"/>
      <c r="M51" s="395">
        <f>K51*0.8</f>
        <v>518.4</v>
      </c>
    </row>
    <row r="52" spans="3:13" s="379" customFormat="1" ht="12.75" x14ac:dyDescent="0.2">
      <c r="C52" s="384" t="s">
        <v>953</v>
      </c>
      <c r="D52" s="385"/>
      <c r="E52" s="385"/>
      <c r="F52" s="385"/>
      <c r="G52" s="385"/>
      <c r="H52" s="385"/>
      <c r="I52" s="385"/>
      <c r="J52" s="385"/>
      <c r="K52" s="386"/>
      <c r="L52" s="386"/>
      <c r="M52" s="387" t="str">
        <f>IFERROR(K52/#REF!-1,"")</f>
        <v/>
      </c>
    </row>
    <row r="53" spans="3:13" s="379" customFormat="1" ht="12.75" x14ac:dyDescent="0.2">
      <c r="C53" s="388" t="s">
        <v>954</v>
      </c>
      <c r="D53" s="389"/>
      <c r="E53" s="389"/>
      <c r="F53" s="389"/>
      <c r="G53" s="389"/>
      <c r="H53" s="389"/>
      <c r="I53" s="389"/>
      <c r="J53" s="389"/>
      <c r="K53" s="390"/>
      <c r="L53" s="390"/>
      <c r="M53" s="391" t="str">
        <f>IFERROR(K53/#REF!-1,"")</f>
        <v/>
      </c>
    </row>
    <row r="54" spans="3:13" s="379" customFormat="1" ht="12.75" x14ac:dyDescent="0.2">
      <c r="C54" s="392" t="s">
        <v>955</v>
      </c>
      <c r="D54" s="393" t="s">
        <v>877</v>
      </c>
      <c r="E54" s="392" t="s">
        <v>956</v>
      </c>
      <c r="F54" s="392"/>
      <c r="G54" s="393">
        <v>1000</v>
      </c>
      <c r="H54" s="393">
        <v>210</v>
      </c>
      <c r="I54" s="393">
        <v>100</v>
      </c>
      <c r="J54" s="393">
        <v>38.18</v>
      </c>
      <c r="K54" s="397">
        <v>7545</v>
      </c>
      <c r="L54" s="397"/>
      <c r="M54" s="398">
        <f>K54*0.65</f>
        <v>4904.25</v>
      </c>
    </row>
    <row r="55" spans="3:13" s="379" customFormat="1" ht="12.75" x14ac:dyDescent="0.2">
      <c r="C55" s="392" t="s">
        <v>957</v>
      </c>
      <c r="D55" s="393" t="s">
        <v>877</v>
      </c>
      <c r="E55" s="392" t="s">
        <v>958</v>
      </c>
      <c r="F55" s="392"/>
      <c r="G55" s="393">
        <v>1000</v>
      </c>
      <c r="H55" s="393">
        <v>210</v>
      </c>
      <c r="I55" s="393">
        <v>160</v>
      </c>
      <c r="J55" s="393">
        <v>65.7</v>
      </c>
      <c r="K55" s="397">
        <v>7720</v>
      </c>
      <c r="L55" s="397"/>
      <c r="M55" s="398">
        <f>K55*0.65</f>
        <v>5018</v>
      </c>
    </row>
    <row r="56" spans="3:13" s="379" customFormat="1" ht="12.75" x14ac:dyDescent="0.2">
      <c r="C56" s="392" t="s">
        <v>959</v>
      </c>
      <c r="D56" s="393" t="s">
        <v>877</v>
      </c>
      <c r="E56" s="392" t="s">
        <v>960</v>
      </c>
      <c r="F56" s="392"/>
      <c r="G56" s="393">
        <v>1000</v>
      </c>
      <c r="H56" s="393">
        <v>210</v>
      </c>
      <c r="I56" s="393">
        <v>210</v>
      </c>
      <c r="J56" s="393">
        <v>72.8</v>
      </c>
      <c r="K56" s="397">
        <v>7862</v>
      </c>
      <c r="L56" s="397"/>
      <c r="M56" s="398">
        <f>K56*0.65</f>
        <v>5110.3</v>
      </c>
    </row>
    <row r="57" spans="3:13" s="379" customFormat="1" ht="12.75" x14ac:dyDescent="0.2">
      <c r="C57" s="392" t="s">
        <v>961</v>
      </c>
      <c r="D57" s="393" t="s">
        <v>877</v>
      </c>
      <c r="E57" s="392" t="s">
        <v>962</v>
      </c>
      <c r="F57" s="392"/>
      <c r="G57" s="393">
        <v>1000</v>
      </c>
      <c r="H57" s="393">
        <v>210</v>
      </c>
      <c r="I57" s="393">
        <v>260</v>
      </c>
      <c r="J57" s="393">
        <v>79.599999999999994</v>
      </c>
      <c r="K57" s="397">
        <v>8220</v>
      </c>
      <c r="L57" s="397"/>
      <c r="M57" s="398">
        <f>K57*0.65</f>
        <v>5343</v>
      </c>
    </row>
    <row r="58" spans="3:13" s="379" customFormat="1" ht="12.75" x14ac:dyDescent="0.2">
      <c r="C58" s="424" t="s">
        <v>963</v>
      </c>
      <c r="D58" s="415" t="s">
        <v>877</v>
      </c>
      <c r="E58" s="424" t="s">
        <v>964</v>
      </c>
      <c r="F58" s="424"/>
      <c r="G58" s="415">
        <v>1000</v>
      </c>
      <c r="H58" s="415">
        <v>210</v>
      </c>
      <c r="I58" s="415">
        <v>310</v>
      </c>
      <c r="J58" s="415">
        <v>68</v>
      </c>
      <c r="K58" s="397">
        <v>8403</v>
      </c>
      <c r="L58" s="397"/>
      <c r="M58" s="398">
        <f>K58*0.65</f>
        <v>5461.95</v>
      </c>
    </row>
    <row r="59" spans="3:13" s="379" customFormat="1" ht="12.75" x14ac:dyDescent="0.2">
      <c r="C59" s="392" t="s">
        <v>965</v>
      </c>
      <c r="D59" s="393" t="s">
        <v>877</v>
      </c>
      <c r="E59" s="392" t="s">
        <v>966</v>
      </c>
      <c r="F59" s="392"/>
      <c r="G59" s="393">
        <v>500</v>
      </c>
      <c r="H59" s="393">
        <v>210</v>
      </c>
      <c r="I59" s="393">
        <v>500</v>
      </c>
      <c r="J59" s="393">
        <v>61.27</v>
      </c>
      <c r="K59" s="397">
        <v>8182</v>
      </c>
      <c r="L59" s="397"/>
      <c r="M59" s="398">
        <f>K59*0.65</f>
        <v>5318.3</v>
      </c>
    </row>
    <row r="60" spans="3:13" s="379" customFormat="1" ht="12.75" x14ac:dyDescent="0.2">
      <c r="C60" s="388" t="s">
        <v>967</v>
      </c>
      <c r="D60" s="389"/>
      <c r="E60" s="389"/>
      <c r="F60" s="389"/>
      <c r="G60" s="389"/>
      <c r="H60" s="389"/>
      <c r="I60" s="389"/>
      <c r="J60" s="389"/>
      <c r="K60" s="390"/>
      <c r="L60" s="390"/>
      <c r="M60" s="391" t="str">
        <f>IFERROR(K60/#REF!-1,"")</f>
        <v/>
      </c>
    </row>
    <row r="61" spans="3:13" s="379" customFormat="1" ht="12.75" x14ac:dyDescent="0.2">
      <c r="C61" s="425" t="s">
        <v>968</v>
      </c>
      <c r="D61" s="415" t="s">
        <v>880</v>
      </c>
      <c r="E61" s="425" t="s">
        <v>969</v>
      </c>
      <c r="F61" s="425"/>
      <c r="G61" s="415">
        <v>1000</v>
      </c>
      <c r="H61" s="415">
        <v>210</v>
      </c>
      <c r="I61" s="415">
        <v>100</v>
      </c>
      <c r="J61" s="415">
        <v>40.5</v>
      </c>
      <c r="K61" s="397">
        <v>8078</v>
      </c>
      <c r="L61" s="397"/>
      <c r="M61" s="398">
        <f>K61*0.65</f>
        <v>5250.7</v>
      </c>
    </row>
    <row r="62" spans="3:13" s="379" customFormat="1" ht="12.75" x14ac:dyDescent="0.2">
      <c r="C62" s="425" t="s">
        <v>970</v>
      </c>
      <c r="D62" s="415" t="s">
        <v>880</v>
      </c>
      <c r="E62" s="425" t="s">
        <v>971</v>
      </c>
      <c r="F62" s="425"/>
      <c r="G62" s="415">
        <v>1000</v>
      </c>
      <c r="H62" s="415">
        <v>210</v>
      </c>
      <c r="I62" s="415">
        <v>160</v>
      </c>
      <c r="J62" s="415">
        <v>68.099999999999994</v>
      </c>
      <c r="K62" s="397">
        <v>8253</v>
      </c>
      <c r="L62" s="397"/>
      <c r="M62" s="398">
        <f>K62*0.65</f>
        <v>5364.45</v>
      </c>
    </row>
    <row r="63" spans="3:13" s="379" customFormat="1" ht="12.75" x14ac:dyDescent="0.2">
      <c r="C63" s="425" t="s">
        <v>972</v>
      </c>
      <c r="D63" s="415" t="s">
        <v>880</v>
      </c>
      <c r="E63" s="425" t="s">
        <v>973</v>
      </c>
      <c r="F63" s="425"/>
      <c r="G63" s="415">
        <v>1000</v>
      </c>
      <c r="H63" s="415">
        <v>210</v>
      </c>
      <c r="I63" s="415">
        <v>210</v>
      </c>
      <c r="J63" s="415">
        <v>75.2</v>
      </c>
      <c r="K63" s="397">
        <v>8395</v>
      </c>
      <c r="L63" s="397"/>
      <c r="M63" s="398">
        <f>K63*0.65</f>
        <v>5456.75</v>
      </c>
    </row>
    <row r="64" spans="3:13" s="379" customFormat="1" ht="12.75" x14ac:dyDescent="0.2">
      <c r="C64" s="425" t="s">
        <v>974</v>
      </c>
      <c r="D64" s="415" t="s">
        <v>880</v>
      </c>
      <c r="E64" s="425" t="s">
        <v>975</v>
      </c>
      <c r="F64" s="425"/>
      <c r="G64" s="415">
        <v>1000</v>
      </c>
      <c r="H64" s="415">
        <v>210</v>
      </c>
      <c r="I64" s="415">
        <v>260</v>
      </c>
      <c r="J64" s="415">
        <v>72</v>
      </c>
      <c r="K64" s="397">
        <v>8753</v>
      </c>
      <c r="L64" s="397"/>
      <c r="M64" s="398">
        <f>K64*0.65</f>
        <v>5689.45</v>
      </c>
    </row>
    <row r="65" spans="3:13" s="379" customFormat="1" ht="12.75" x14ac:dyDescent="0.2">
      <c r="C65" s="425" t="s">
        <v>976</v>
      </c>
      <c r="D65" s="415" t="s">
        <v>880</v>
      </c>
      <c r="E65" s="425" t="s">
        <v>977</v>
      </c>
      <c r="F65" s="425"/>
      <c r="G65" s="415">
        <v>1000</v>
      </c>
      <c r="H65" s="415">
        <v>210</v>
      </c>
      <c r="I65" s="415">
        <v>310</v>
      </c>
      <c r="J65" s="415">
        <v>82.8</v>
      </c>
      <c r="K65" s="397">
        <v>8937</v>
      </c>
      <c r="L65" s="397"/>
      <c r="M65" s="398">
        <f>K65*0.65</f>
        <v>5809.05</v>
      </c>
    </row>
    <row r="66" spans="3:13" s="379" customFormat="1" ht="12.75" x14ac:dyDescent="0.2">
      <c r="C66" s="426" t="s">
        <v>978</v>
      </c>
      <c r="D66" s="427" t="s">
        <v>880</v>
      </c>
      <c r="E66" s="426" t="s">
        <v>979</v>
      </c>
      <c r="F66" s="426"/>
      <c r="G66" s="427">
        <v>500</v>
      </c>
      <c r="H66" s="427">
        <v>210</v>
      </c>
      <c r="I66" s="427">
        <v>500</v>
      </c>
      <c r="J66" s="427">
        <v>68.5</v>
      </c>
      <c r="K66" s="397">
        <v>8448</v>
      </c>
      <c r="L66" s="397"/>
      <c r="M66" s="398">
        <f>K66*0.65</f>
        <v>5491.2</v>
      </c>
    </row>
    <row r="67" spans="3:13" s="379" customFormat="1" ht="12.75" x14ac:dyDescent="0.2">
      <c r="C67" s="428" t="s">
        <v>980</v>
      </c>
      <c r="D67" s="429"/>
      <c r="E67" s="429"/>
      <c r="F67" s="429"/>
      <c r="G67" s="429"/>
      <c r="H67" s="429"/>
      <c r="I67" s="429"/>
      <c r="J67" s="429"/>
      <c r="K67" s="430"/>
      <c r="L67" s="430"/>
      <c r="M67" s="431" t="str">
        <f>IFERROR(K67/#REF!-1,"")</f>
        <v/>
      </c>
    </row>
    <row r="68" spans="3:13" s="379" customFormat="1" ht="12.75" x14ac:dyDescent="0.2">
      <c r="C68" s="432" t="s">
        <v>981</v>
      </c>
      <c r="D68" s="433"/>
      <c r="E68" s="433"/>
      <c r="F68" s="433"/>
      <c r="G68" s="433"/>
      <c r="H68" s="433"/>
      <c r="I68" s="433"/>
      <c r="J68" s="433"/>
      <c r="K68" s="434"/>
      <c r="L68" s="434"/>
      <c r="M68" s="435" t="str">
        <f>IFERROR(K68/#REF!-1,"")</f>
        <v/>
      </c>
    </row>
    <row r="69" spans="3:13" s="379" customFormat="1" ht="12.75" x14ac:dyDescent="0.2">
      <c r="C69" s="426" t="s">
        <v>982</v>
      </c>
      <c r="D69" s="436" t="s">
        <v>880</v>
      </c>
      <c r="E69" s="426" t="s">
        <v>983</v>
      </c>
      <c r="F69" s="426"/>
      <c r="G69" s="436" t="s">
        <v>556</v>
      </c>
      <c r="H69" s="436" t="s">
        <v>984</v>
      </c>
      <c r="I69" s="436" t="s">
        <v>985</v>
      </c>
      <c r="J69" s="436" t="s">
        <v>986</v>
      </c>
      <c r="K69" s="437">
        <v>3800</v>
      </c>
      <c r="L69" s="437"/>
      <c r="M69" s="438">
        <f>K69*0.65</f>
        <v>2470</v>
      </c>
    </row>
    <row r="70" spans="3:13" s="379" customFormat="1" ht="12.75" x14ac:dyDescent="0.2">
      <c r="C70" s="426" t="s">
        <v>987</v>
      </c>
      <c r="D70" s="436" t="s">
        <v>880</v>
      </c>
      <c r="E70" s="426" t="s">
        <v>988</v>
      </c>
      <c r="F70" s="426"/>
      <c r="G70" s="436" t="s">
        <v>556</v>
      </c>
      <c r="H70" s="436" t="s">
        <v>984</v>
      </c>
      <c r="I70" s="436" t="s">
        <v>989</v>
      </c>
      <c r="J70" s="436" t="s">
        <v>990</v>
      </c>
      <c r="K70" s="437">
        <v>3533</v>
      </c>
      <c r="L70" s="437"/>
      <c r="M70" s="438">
        <f>K70*0.65</f>
        <v>2296.4500000000003</v>
      </c>
    </row>
    <row r="71" spans="3:13" s="379" customFormat="1" ht="12.75" x14ac:dyDescent="0.2">
      <c r="C71" s="426" t="s">
        <v>991</v>
      </c>
      <c r="D71" s="436" t="s">
        <v>880</v>
      </c>
      <c r="E71" s="426" t="s">
        <v>992</v>
      </c>
      <c r="F71" s="426"/>
      <c r="G71" s="436" t="s">
        <v>556</v>
      </c>
      <c r="H71" s="436" t="s">
        <v>984</v>
      </c>
      <c r="I71" s="436" t="s">
        <v>984</v>
      </c>
      <c r="J71" s="436" t="s">
        <v>993</v>
      </c>
      <c r="K71" s="437">
        <v>3650</v>
      </c>
      <c r="L71" s="437"/>
      <c r="M71" s="438">
        <f>K71*0.65</f>
        <v>2372.5</v>
      </c>
    </row>
    <row r="72" spans="3:13" s="379" customFormat="1" ht="12.75" x14ac:dyDescent="0.2">
      <c r="C72" s="426" t="s">
        <v>994</v>
      </c>
      <c r="D72" s="436" t="s">
        <v>880</v>
      </c>
      <c r="E72" s="426" t="s">
        <v>995</v>
      </c>
      <c r="F72" s="426"/>
      <c r="G72" s="436" t="s">
        <v>556</v>
      </c>
      <c r="H72" s="436" t="s">
        <v>984</v>
      </c>
      <c r="I72" s="436" t="s">
        <v>996</v>
      </c>
      <c r="J72" s="436" t="s">
        <v>997</v>
      </c>
      <c r="K72" s="437">
        <v>4117</v>
      </c>
      <c r="L72" s="437"/>
      <c r="M72" s="438">
        <f>K72*0.65</f>
        <v>2676.05</v>
      </c>
    </row>
    <row r="73" spans="3:13" s="379" customFormat="1" ht="12.75" x14ac:dyDescent="0.2">
      <c r="C73" s="426" t="s">
        <v>998</v>
      </c>
      <c r="D73" s="436" t="s">
        <v>880</v>
      </c>
      <c r="E73" s="426" t="s">
        <v>999</v>
      </c>
      <c r="F73" s="426"/>
      <c r="G73" s="436" t="s">
        <v>1000</v>
      </c>
      <c r="H73" s="436" t="s">
        <v>984</v>
      </c>
      <c r="I73" s="436" t="s">
        <v>1001</v>
      </c>
      <c r="J73" s="436" t="s">
        <v>1002</v>
      </c>
      <c r="K73" s="437">
        <v>9025</v>
      </c>
      <c r="L73" s="437"/>
      <c r="M73" s="438">
        <f>K73*0.65</f>
        <v>5866.25</v>
      </c>
    </row>
    <row r="74" spans="3:13" s="379" customFormat="1" ht="12.75" x14ac:dyDescent="0.2">
      <c r="C74" s="432">
        <v>45071</v>
      </c>
      <c r="D74" s="433"/>
      <c r="E74" s="433"/>
      <c r="F74" s="433"/>
      <c r="G74" s="433"/>
      <c r="H74" s="433"/>
      <c r="I74" s="433"/>
      <c r="J74" s="433"/>
      <c r="K74" s="434"/>
      <c r="L74" s="434"/>
      <c r="M74" s="435" t="str">
        <f>IFERROR(K74/#REF!-1,"")</f>
        <v/>
      </c>
    </row>
    <row r="75" spans="3:13" s="379" customFormat="1" ht="12.75" x14ac:dyDescent="0.2">
      <c r="C75" s="439" t="s">
        <v>1003</v>
      </c>
      <c r="D75" s="441"/>
      <c r="E75" s="440" t="s">
        <v>1004</v>
      </c>
      <c r="F75" s="440"/>
      <c r="G75" s="441"/>
      <c r="H75" s="441"/>
      <c r="I75" s="441"/>
      <c r="J75" s="441"/>
      <c r="K75" s="397">
        <v>2480</v>
      </c>
      <c r="L75" s="397"/>
      <c r="M75" s="398">
        <f>K75*0.65</f>
        <v>1612</v>
      </c>
    </row>
    <row r="76" spans="3:13" s="379" customFormat="1" ht="12.75" x14ac:dyDescent="0.2">
      <c r="C76" s="442" t="s">
        <v>1005</v>
      </c>
      <c r="D76" s="427"/>
      <c r="E76" s="443" t="s">
        <v>1006</v>
      </c>
      <c r="F76" s="443"/>
      <c r="G76" s="427"/>
      <c r="H76" s="427"/>
      <c r="I76" s="427"/>
      <c r="J76" s="427"/>
      <c r="K76" s="397">
        <v>2760</v>
      </c>
      <c r="L76" s="397"/>
      <c r="M76" s="398">
        <f>K76*0.65</f>
        <v>1794</v>
      </c>
    </row>
    <row r="77" spans="3:13" s="379" customFormat="1" ht="12.75" x14ac:dyDescent="0.2">
      <c r="C77" s="432" t="s">
        <v>1007</v>
      </c>
      <c r="D77" s="433"/>
      <c r="E77" s="433"/>
      <c r="F77" s="433"/>
      <c r="G77" s="433"/>
      <c r="H77" s="433"/>
      <c r="I77" s="433"/>
      <c r="J77" s="433"/>
      <c r="K77" s="434"/>
      <c r="L77" s="434"/>
      <c r="M77" s="435" t="str">
        <f>IFERROR(K77/#REF!-1,"")</f>
        <v/>
      </c>
    </row>
    <row r="78" spans="3:13" s="379" customFormat="1" ht="12.75" x14ac:dyDescent="0.2">
      <c r="C78" s="442" t="s">
        <v>882</v>
      </c>
      <c r="D78" s="441"/>
      <c r="E78" s="444" t="s">
        <v>883</v>
      </c>
      <c r="F78" s="444"/>
      <c r="G78" s="441"/>
      <c r="H78" s="441"/>
      <c r="I78" s="441"/>
      <c r="J78" s="441"/>
      <c r="K78" s="397">
        <v>15</v>
      </c>
      <c r="L78" s="397"/>
      <c r="M78" s="398">
        <f>K78*0.75</f>
        <v>11.25</v>
      </c>
    </row>
    <row r="79" spans="3:13" s="379" customFormat="1" ht="12.75" x14ac:dyDescent="0.2">
      <c r="C79" s="442" t="s">
        <v>884</v>
      </c>
      <c r="D79" s="441"/>
      <c r="E79" s="444" t="s">
        <v>885</v>
      </c>
      <c r="F79" s="444"/>
      <c r="G79" s="441"/>
      <c r="H79" s="441"/>
      <c r="I79" s="441"/>
      <c r="J79" s="441"/>
      <c r="K79" s="397">
        <v>15</v>
      </c>
      <c r="L79" s="397"/>
      <c r="M79" s="398">
        <f>K79*0.75</f>
        <v>11.25</v>
      </c>
    </row>
    <row r="80" spans="3:13" s="379" customFormat="1" ht="12.75" x14ac:dyDescent="0.2">
      <c r="C80" s="432" t="s">
        <v>1008</v>
      </c>
      <c r="D80" s="433"/>
      <c r="E80" s="433"/>
      <c r="F80" s="433"/>
      <c r="G80" s="433"/>
      <c r="H80" s="433"/>
      <c r="I80" s="433"/>
      <c r="J80" s="433"/>
      <c r="K80" s="434"/>
      <c r="L80" s="434"/>
      <c r="M80" s="435" t="str">
        <f>IFERROR(K80/#REF!-1,"")</f>
        <v/>
      </c>
    </row>
    <row r="81" spans="3:259" s="379" customFormat="1" ht="12.75" x14ac:dyDescent="0.2">
      <c r="C81" s="432" t="s">
        <v>1009</v>
      </c>
      <c r="D81" s="433"/>
      <c r="E81" s="433"/>
      <c r="F81" s="433"/>
      <c r="G81" s="433"/>
      <c r="H81" s="433"/>
      <c r="I81" s="433"/>
      <c r="J81" s="433"/>
      <c r="K81" s="434"/>
      <c r="L81" s="434"/>
      <c r="M81" s="435" t="str">
        <f>IFERROR(K81/#REF!-1,"")</f>
        <v/>
      </c>
    </row>
    <row r="82" spans="3:259" s="379" customFormat="1" ht="12.75" x14ac:dyDescent="0.2">
      <c r="C82" s="428" t="s">
        <v>1010</v>
      </c>
      <c r="D82" s="429"/>
      <c r="E82" s="429"/>
      <c r="F82" s="429"/>
      <c r="G82" s="429"/>
      <c r="H82" s="429"/>
      <c r="I82" s="429"/>
      <c r="J82" s="429"/>
      <c r="K82" s="430"/>
      <c r="L82" s="430"/>
      <c r="M82" s="431" t="str">
        <f>IFERROR(K82/#REF!-1,"")</f>
        <v/>
      </c>
    </row>
    <row r="83" spans="3:259" s="379" customFormat="1" ht="12.75" x14ac:dyDescent="0.2">
      <c r="C83" s="432" t="s">
        <v>1011</v>
      </c>
      <c r="D83" s="433"/>
      <c r="E83" s="433"/>
      <c r="F83" s="433"/>
      <c r="G83" s="433"/>
      <c r="H83" s="433"/>
      <c r="I83" s="433"/>
      <c r="J83" s="433"/>
      <c r="K83" s="434"/>
      <c r="L83" s="434"/>
      <c r="M83" s="435" t="str">
        <f>IFERROR(K83/#REF!-1,"")</f>
        <v/>
      </c>
    </row>
    <row r="84" spans="3:259" s="379" customFormat="1" ht="12.75" x14ac:dyDescent="0.2">
      <c r="C84" s="426" t="s">
        <v>1012</v>
      </c>
      <c r="D84" s="448" t="s">
        <v>1014</v>
      </c>
      <c r="E84" s="426" t="s">
        <v>1013</v>
      </c>
      <c r="F84" s="426"/>
      <c r="G84" s="448">
        <v>1000</v>
      </c>
      <c r="H84" s="448">
        <v>260</v>
      </c>
      <c r="I84" s="448">
        <v>310</v>
      </c>
      <c r="J84" s="448">
        <v>102.67</v>
      </c>
      <c r="K84" s="397">
        <v>9075</v>
      </c>
      <c r="L84" s="397"/>
      <c r="M84" s="398">
        <f>K84*0.65</f>
        <v>5898.75</v>
      </c>
    </row>
    <row r="85" spans="3:259" s="379" customFormat="1" ht="12.75" x14ac:dyDescent="0.2">
      <c r="C85" s="426" t="s">
        <v>1015</v>
      </c>
      <c r="D85" s="448" t="s">
        <v>1014</v>
      </c>
      <c r="E85" s="426" t="s">
        <v>1016</v>
      </c>
      <c r="F85" s="426"/>
      <c r="G85" s="448">
        <v>1000</v>
      </c>
      <c r="H85" s="448">
        <v>260</v>
      </c>
      <c r="I85" s="448">
        <v>210</v>
      </c>
      <c r="J85" s="448">
        <v>87.67</v>
      </c>
      <c r="K85" s="397">
        <v>8808</v>
      </c>
      <c r="L85" s="397"/>
      <c r="M85" s="398">
        <f>K85*0.65</f>
        <v>5725.2</v>
      </c>
    </row>
    <row r="86" spans="3:259" s="379" customFormat="1" ht="12.75" x14ac:dyDescent="0.2">
      <c r="C86" s="426" t="s">
        <v>1017</v>
      </c>
      <c r="D86" s="448" t="s">
        <v>1014</v>
      </c>
      <c r="E86" s="426" t="s">
        <v>1018</v>
      </c>
      <c r="F86" s="426"/>
      <c r="G86" s="448">
        <v>1000</v>
      </c>
      <c r="H86" s="448">
        <v>260</v>
      </c>
      <c r="I86" s="448">
        <v>260</v>
      </c>
      <c r="J86" s="448">
        <v>95.17</v>
      </c>
      <c r="K86" s="397">
        <v>8925</v>
      </c>
      <c r="L86" s="397"/>
      <c r="M86" s="398">
        <f>K86*0.65</f>
        <v>5801.25</v>
      </c>
    </row>
    <row r="87" spans="3:259" s="379" customFormat="1" ht="12" customHeight="1" x14ac:dyDescent="0.2">
      <c r="C87" s="426" t="s">
        <v>1019</v>
      </c>
      <c r="D87" s="448" t="s">
        <v>1014</v>
      </c>
      <c r="E87" s="426" t="s">
        <v>1020</v>
      </c>
      <c r="F87" s="426"/>
      <c r="G87" s="448">
        <v>1000</v>
      </c>
      <c r="H87" s="448">
        <v>260</v>
      </c>
      <c r="I87" s="448">
        <v>360</v>
      </c>
      <c r="J87" s="448">
        <v>110.17</v>
      </c>
      <c r="K87" s="397">
        <v>9392</v>
      </c>
      <c r="L87" s="397"/>
      <c r="M87" s="398">
        <f>K87*0.65</f>
        <v>6104.8</v>
      </c>
    </row>
    <row r="88" spans="3:259" s="379" customFormat="1" ht="12" customHeight="1" x14ac:dyDescent="0.2">
      <c r="C88" s="426" t="s">
        <v>1021</v>
      </c>
      <c r="D88" s="448" t="s">
        <v>877</v>
      </c>
      <c r="E88" s="426" t="s">
        <v>1022</v>
      </c>
      <c r="F88" s="426"/>
      <c r="G88" s="448">
        <v>500</v>
      </c>
      <c r="H88" s="448">
        <v>260</v>
      </c>
      <c r="I88" s="448" t="s">
        <v>1023</v>
      </c>
      <c r="J88" s="448" t="s">
        <v>1024</v>
      </c>
      <c r="K88" s="397">
        <v>11742</v>
      </c>
      <c r="L88" s="397"/>
      <c r="M88" s="398">
        <f>K88*0.65</f>
        <v>7632.3</v>
      </c>
    </row>
    <row r="89" spans="3:259" s="379" customFormat="1" ht="11.25" customHeight="1" x14ac:dyDescent="0.2">
      <c r="C89" s="432" t="s">
        <v>1025</v>
      </c>
      <c r="D89" s="433"/>
      <c r="E89" s="433"/>
      <c r="F89" s="433"/>
      <c r="G89" s="433"/>
      <c r="H89" s="433"/>
      <c r="I89" s="433"/>
      <c r="J89" s="433"/>
      <c r="K89" s="434"/>
      <c r="L89" s="434"/>
      <c r="M89" s="435" t="str">
        <f>IFERROR(K89/#REF!-1,"")</f>
        <v/>
      </c>
    </row>
    <row r="90" spans="3:259" s="379" customFormat="1" ht="12.75" x14ac:dyDescent="0.2">
      <c r="C90" s="426" t="s">
        <v>1026</v>
      </c>
      <c r="D90" s="448" t="s">
        <v>1028</v>
      </c>
      <c r="E90" s="426" t="s">
        <v>1027</v>
      </c>
      <c r="F90" s="426"/>
      <c r="G90" s="448">
        <v>1000</v>
      </c>
      <c r="H90" s="448">
        <v>260</v>
      </c>
      <c r="I90" s="448">
        <v>310</v>
      </c>
      <c r="J90" s="448">
        <v>104.37</v>
      </c>
      <c r="K90" s="397">
        <v>9642</v>
      </c>
      <c r="L90" s="397"/>
      <c r="M90" s="398">
        <f>K90*0.65</f>
        <v>6267.3</v>
      </c>
    </row>
    <row r="91" spans="3:259" s="379" customFormat="1" ht="12.75" x14ac:dyDescent="0.2">
      <c r="C91" s="426" t="s">
        <v>1029</v>
      </c>
      <c r="D91" s="448" t="s">
        <v>1028</v>
      </c>
      <c r="E91" s="426" t="s">
        <v>1030</v>
      </c>
      <c r="F91" s="426"/>
      <c r="G91" s="448">
        <v>1000</v>
      </c>
      <c r="H91" s="448">
        <v>260</v>
      </c>
      <c r="I91" s="448">
        <v>210</v>
      </c>
      <c r="J91" s="448">
        <v>89.37</v>
      </c>
      <c r="K91" s="397">
        <v>9375</v>
      </c>
      <c r="L91" s="397"/>
      <c r="M91" s="398">
        <f>K91*0.65</f>
        <v>6093.75</v>
      </c>
    </row>
    <row r="92" spans="3:259" s="379" customFormat="1" ht="12.75" x14ac:dyDescent="0.2">
      <c r="C92" s="426" t="s">
        <v>1031</v>
      </c>
      <c r="D92" s="448" t="s">
        <v>1028</v>
      </c>
      <c r="E92" s="426" t="s">
        <v>1032</v>
      </c>
      <c r="F92" s="426"/>
      <c r="G92" s="448">
        <v>1000</v>
      </c>
      <c r="H92" s="448">
        <v>260</v>
      </c>
      <c r="I92" s="448">
        <v>260</v>
      </c>
      <c r="J92" s="448">
        <v>96.87</v>
      </c>
      <c r="K92" s="397">
        <v>9492</v>
      </c>
      <c r="L92" s="397"/>
      <c r="M92" s="398">
        <f>K92*0.65</f>
        <v>6169.8</v>
      </c>
    </row>
    <row r="93" spans="3:259" s="379" customFormat="1" ht="12.75" x14ac:dyDescent="0.2">
      <c r="C93" s="426" t="s">
        <v>1033</v>
      </c>
      <c r="D93" s="448" t="s">
        <v>1028</v>
      </c>
      <c r="E93" s="426" t="s">
        <v>1034</v>
      </c>
      <c r="F93" s="426"/>
      <c r="G93" s="448">
        <v>1000</v>
      </c>
      <c r="H93" s="448">
        <v>260</v>
      </c>
      <c r="I93" s="448">
        <v>360</v>
      </c>
      <c r="J93" s="448">
        <v>111.87</v>
      </c>
      <c r="K93" s="397">
        <v>9958</v>
      </c>
      <c r="L93" s="397"/>
      <c r="M93" s="398">
        <f>K93*0.65</f>
        <v>6472.7</v>
      </c>
    </row>
    <row r="94" spans="3:259" s="379" customFormat="1" ht="12.75" x14ac:dyDescent="0.2">
      <c r="C94" s="426" t="s">
        <v>1035</v>
      </c>
      <c r="D94" s="448" t="s">
        <v>1028</v>
      </c>
      <c r="E94" s="426" t="s">
        <v>1036</v>
      </c>
      <c r="F94" s="426"/>
      <c r="G94" s="448">
        <v>500</v>
      </c>
      <c r="H94" s="448">
        <v>260</v>
      </c>
      <c r="I94" s="448" t="s">
        <v>1023</v>
      </c>
      <c r="J94" s="448" t="s">
        <v>1024</v>
      </c>
      <c r="K94" s="397">
        <v>12025</v>
      </c>
      <c r="L94" s="397"/>
      <c r="M94" s="398">
        <f>K94*0.65</f>
        <v>7816.25</v>
      </c>
    </row>
    <row r="95" spans="3:259" s="379" customFormat="1" ht="18.75" x14ac:dyDescent="0.3">
      <c r="C95" s="564" t="s">
        <v>263</v>
      </c>
      <c r="D95" s="565"/>
      <c r="E95" s="565"/>
      <c r="F95" s="565"/>
      <c r="G95" s="565"/>
      <c r="H95" s="565"/>
      <c r="I95" s="565"/>
      <c r="J95" s="565"/>
      <c r="K95" s="565"/>
      <c r="L95" s="565"/>
      <c r="M95" s="558"/>
      <c r="N95" s="449"/>
      <c r="O95" s="449"/>
      <c r="P95" s="449"/>
      <c r="Q95" s="449"/>
      <c r="R95" s="449"/>
      <c r="S95" s="449"/>
      <c r="T95" s="449"/>
      <c r="U95" s="449"/>
      <c r="V95" s="449"/>
      <c r="W95" s="449"/>
      <c r="X95" s="449"/>
      <c r="Y95" s="449"/>
      <c r="Z95" s="449"/>
      <c r="AA95" s="449"/>
      <c r="AB95" s="449"/>
      <c r="AC95" s="449"/>
      <c r="AD95" s="449"/>
      <c r="AE95" s="449"/>
      <c r="AF95" s="449"/>
      <c r="AG95" s="449"/>
      <c r="AH95" s="449"/>
      <c r="AI95" s="449"/>
      <c r="AJ95" s="449"/>
      <c r="AK95" s="449"/>
      <c r="AL95" s="449"/>
      <c r="AM95" s="449"/>
      <c r="AN95" s="449"/>
      <c r="AO95" s="449"/>
      <c r="AP95" s="449"/>
      <c r="AQ95" s="449"/>
      <c r="AR95" s="449"/>
      <c r="AS95" s="449"/>
      <c r="AT95" s="449"/>
      <c r="AU95" s="449"/>
      <c r="AV95" s="449"/>
      <c r="AW95" s="449"/>
      <c r="AX95" s="449"/>
      <c r="AY95" s="449"/>
      <c r="AZ95" s="449"/>
      <c r="BA95" s="449"/>
      <c r="BB95" s="449"/>
      <c r="BC95" s="449"/>
      <c r="BD95" s="449"/>
      <c r="BE95" s="449"/>
      <c r="BF95" s="449"/>
      <c r="BG95" s="449"/>
      <c r="BH95" s="449"/>
      <c r="BI95" s="449"/>
      <c r="BJ95" s="449"/>
      <c r="BK95" s="449"/>
      <c r="BL95" s="449"/>
      <c r="BM95" s="449"/>
      <c r="BN95" s="449"/>
      <c r="BO95" s="449"/>
      <c r="BP95" s="449"/>
      <c r="BQ95" s="449"/>
      <c r="BR95" s="449"/>
      <c r="BS95" s="449"/>
      <c r="BT95" s="449"/>
      <c r="BU95" s="449"/>
      <c r="BV95" s="449"/>
      <c r="BW95" s="449"/>
      <c r="BX95" s="449"/>
      <c r="BY95" s="449"/>
      <c r="BZ95" s="449"/>
      <c r="CA95" s="449"/>
      <c r="CB95" s="449"/>
      <c r="CC95" s="449"/>
      <c r="CD95" s="449"/>
      <c r="CE95" s="449"/>
      <c r="CF95" s="449"/>
      <c r="CG95" s="449"/>
      <c r="CH95" s="449"/>
      <c r="CI95" s="449"/>
      <c r="CJ95" s="449"/>
      <c r="CK95" s="449"/>
      <c r="CL95" s="449"/>
      <c r="CM95" s="449"/>
      <c r="CN95" s="449"/>
      <c r="CO95" s="449"/>
      <c r="CP95" s="449"/>
      <c r="CQ95" s="449"/>
      <c r="CR95" s="449"/>
      <c r="CS95" s="449"/>
      <c r="CT95" s="449"/>
      <c r="CU95" s="449"/>
      <c r="CV95" s="449"/>
      <c r="CW95" s="449"/>
      <c r="CX95" s="449"/>
      <c r="CY95" s="449"/>
      <c r="CZ95" s="449"/>
      <c r="DA95" s="449"/>
      <c r="DB95" s="449"/>
      <c r="DC95" s="449"/>
      <c r="DD95" s="449"/>
      <c r="DE95" s="449"/>
      <c r="DF95" s="449"/>
      <c r="DG95" s="449"/>
      <c r="DH95" s="449"/>
      <c r="DI95" s="449"/>
      <c r="DJ95" s="449"/>
      <c r="DK95" s="449"/>
      <c r="DL95" s="449"/>
      <c r="DM95" s="449"/>
      <c r="DN95" s="449"/>
      <c r="DO95" s="449"/>
      <c r="DP95" s="449"/>
      <c r="DQ95" s="449"/>
      <c r="DR95" s="449"/>
      <c r="DS95" s="449"/>
      <c r="DT95" s="449"/>
      <c r="DU95" s="449"/>
      <c r="DV95" s="449"/>
      <c r="DW95" s="449"/>
      <c r="DX95" s="449"/>
      <c r="DY95" s="449"/>
      <c r="DZ95" s="449"/>
      <c r="EA95" s="449"/>
      <c r="EB95" s="449"/>
      <c r="EC95" s="449"/>
      <c r="ED95" s="449"/>
      <c r="EE95" s="449"/>
      <c r="EF95" s="449"/>
      <c r="EG95" s="449"/>
      <c r="EH95" s="449"/>
      <c r="EI95" s="449"/>
      <c r="EJ95" s="449"/>
      <c r="EK95" s="449"/>
      <c r="EL95" s="449"/>
      <c r="EM95" s="449"/>
      <c r="EN95" s="449"/>
      <c r="EO95" s="449"/>
      <c r="EP95" s="449"/>
      <c r="EQ95" s="449"/>
      <c r="ER95" s="449"/>
      <c r="ES95" s="449"/>
      <c r="ET95" s="449"/>
      <c r="EU95" s="449"/>
      <c r="EV95" s="449"/>
      <c r="EW95" s="449"/>
      <c r="EX95" s="449"/>
      <c r="EY95" s="449"/>
      <c r="EZ95" s="449"/>
      <c r="FA95" s="449"/>
      <c r="FB95" s="449"/>
      <c r="FC95" s="449"/>
      <c r="FD95" s="449"/>
      <c r="FE95" s="449"/>
      <c r="FF95" s="449"/>
      <c r="FG95" s="449"/>
      <c r="FH95" s="449"/>
      <c r="FI95" s="449"/>
      <c r="FJ95" s="449"/>
      <c r="FK95" s="449"/>
      <c r="FL95" s="449"/>
      <c r="FM95" s="449"/>
      <c r="FN95" s="449"/>
      <c r="FO95" s="449"/>
      <c r="FP95" s="449"/>
      <c r="FQ95" s="449"/>
      <c r="FR95" s="449"/>
      <c r="FS95" s="449"/>
      <c r="FT95" s="449"/>
      <c r="FU95" s="449"/>
      <c r="FV95" s="449"/>
      <c r="FW95" s="449"/>
      <c r="FX95" s="449"/>
      <c r="FY95" s="449"/>
      <c r="FZ95" s="449"/>
      <c r="GA95" s="449"/>
      <c r="GB95" s="449"/>
      <c r="GC95" s="449"/>
      <c r="GD95" s="449"/>
      <c r="GE95" s="449"/>
      <c r="GF95" s="449"/>
      <c r="GG95" s="449"/>
      <c r="GH95" s="449"/>
      <c r="GI95" s="449"/>
      <c r="GJ95" s="449"/>
      <c r="GK95" s="449"/>
      <c r="GL95" s="449"/>
      <c r="GM95" s="449"/>
      <c r="GN95" s="449"/>
      <c r="GO95" s="449"/>
      <c r="GP95" s="449"/>
      <c r="GQ95" s="449"/>
      <c r="GR95" s="449"/>
      <c r="GS95" s="449"/>
      <c r="GT95" s="449"/>
      <c r="GU95" s="449"/>
      <c r="GV95" s="449"/>
      <c r="GW95" s="449"/>
      <c r="GX95" s="449"/>
      <c r="GY95" s="449"/>
      <c r="GZ95" s="449"/>
      <c r="HA95" s="449"/>
      <c r="HB95" s="449"/>
      <c r="HC95" s="449"/>
      <c r="HD95" s="449"/>
      <c r="HE95" s="449"/>
      <c r="HF95" s="449"/>
      <c r="HG95" s="449"/>
      <c r="HH95" s="449"/>
      <c r="HI95" s="449"/>
      <c r="HJ95" s="449"/>
      <c r="HK95" s="449"/>
      <c r="HL95" s="449"/>
      <c r="HM95" s="449"/>
      <c r="HN95" s="449"/>
      <c r="HO95" s="449"/>
      <c r="HP95" s="449"/>
      <c r="HQ95" s="449"/>
      <c r="HR95" s="449"/>
      <c r="HS95" s="449"/>
      <c r="HT95" s="449"/>
      <c r="HU95" s="449"/>
      <c r="HV95" s="449"/>
      <c r="HW95" s="449"/>
      <c r="HX95" s="449"/>
      <c r="HY95" s="449"/>
      <c r="HZ95" s="449"/>
      <c r="IA95" s="449"/>
      <c r="IB95" s="449"/>
      <c r="IC95" s="449"/>
      <c r="ID95" s="449"/>
      <c r="IE95" s="449"/>
      <c r="IF95" s="449"/>
      <c r="IG95" s="449"/>
      <c r="IH95" s="449"/>
      <c r="II95" s="449"/>
      <c r="IJ95" s="449"/>
      <c r="IK95" s="449"/>
      <c r="IL95" s="449"/>
      <c r="IM95" s="449"/>
      <c r="IN95" s="449"/>
      <c r="IO95" s="449"/>
      <c r="IP95" s="449"/>
      <c r="IQ95" s="449"/>
      <c r="IR95" s="449"/>
      <c r="IS95" s="449"/>
      <c r="IT95" s="449"/>
      <c r="IU95" s="449"/>
      <c r="IV95" s="449"/>
      <c r="IW95" s="449"/>
      <c r="IX95" s="449"/>
      <c r="IY95" s="449"/>
    </row>
    <row r="96" spans="3:259" s="379" customFormat="1" ht="12.75" x14ac:dyDescent="0.2">
      <c r="C96" s="384" t="s">
        <v>863</v>
      </c>
      <c r="D96" s="385"/>
      <c r="E96" s="385"/>
      <c r="F96" s="385"/>
      <c r="G96" s="385"/>
      <c r="H96" s="385"/>
      <c r="I96" s="385"/>
      <c r="J96" s="385"/>
      <c r="K96" s="386"/>
      <c r="L96" s="386"/>
      <c r="M96" s="450" t="str">
        <f>IFERROR(K96/#REF!-1,"")</f>
        <v/>
      </c>
      <c r="N96" s="449"/>
      <c r="O96" s="449"/>
      <c r="P96" s="449"/>
      <c r="Q96" s="449"/>
      <c r="R96" s="449"/>
      <c r="S96" s="449"/>
      <c r="T96" s="449"/>
      <c r="U96" s="449"/>
      <c r="V96" s="449"/>
      <c r="W96" s="449"/>
      <c r="X96" s="449"/>
      <c r="Y96" s="449"/>
      <c r="Z96" s="449"/>
      <c r="AA96" s="449"/>
      <c r="AB96" s="449"/>
      <c r="AC96" s="449"/>
      <c r="AD96" s="449"/>
      <c r="AE96" s="449"/>
      <c r="AF96" s="449"/>
      <c r="AG96" s="449"/>
      <c r="AH96" s="449"/>
      <c r="AI96" s="449"/>
      <c r="AJ96" s="449"/>
      <c r="AK96" s="449"/>
      <c r="AL96" s="449"/>
      <c r="AM96" s="449"/>
      <c r="AN96" s="449"/>
      <c r="AO96" s="449"/>
      <c r="AP96" s="449"/>
      <c r="AQ96" s="449"/>
      <c r="AR96" s="449"/>
      <c r="AS96" s="449"/>
      <c r="AT96" s="449"/>
      <c r="AU96" s="449"/>
      <c r="AV96" s="449"/>
      <c r="AW96" s="449"/>
      <c r="AX96" s="449"/>
      <c r="AY96" s="449"/>
      <c r="AZ96" s="449"/>
      <c r="BA96" s="449"/>
      <c r="BB96" s="449"/>
      <c r="BC96" s="449"/>
      <c r="BD96" s="449"/>
      <c r="BE96" s="449"/>
      <c r="BF96" s="449"/>
      <c r="BG96" s="449"/>
      <c r="BH96" s="449"/>
      <c r="BI96" s="449"/>
      <c r="BJ96" s="449"/>
      <c r="BK96" s="449"/>
      <c r="BL96" s="449"/>
      <c r="BM96" s="449"/>
      <c r="BN96" s="449"/>
      <c r="BO96" s="449"/>
      <c r="BP96" s="449"/>
      <c r="BQ96" s="449"/>
      <c r="BR96" s="449"/>
      <c r="BS96" s="449"/>
      <c r="BT96" s="449"/>
      <c r="BU96" s="449"/>
      <c r="BV96" s="449"/>
      <c r="BW96" s="449"/>
      <c r="BX96" s="449"/>
      <c r="BY96" s="449"/>
      <c r="BZ96" s="449"/>
      <c r="CA96" s="449"/>
      <c r="CB96" s="449"/>
      <c r="CC96" s="449"/>
      <c r="CD96" s="449"/>
      <c r="CE96" s="449"/>
      <c r="CF96" s="449"/>
      <c r="CG96" s="449"/>
      <c r="CH96" s="449"/>
      <c r="CI96" s="449"/>
      <c r="CJ96" s="449"/>
      <c r="CK96" s="449"/>
      <c r="CL96" s="449"/>
      <c r="CM96" s="449"/>
      <c r="CN96" s="449"/>
      <c r="CO96" s="449"/>
      <c r="CP96" s="449"/>
      <c r="CQ96" s="449"/>
      <c r="CR96" s="449"/>
      <c r="CS96" s="449"/>
      <c r="CT96" s="449"/>
      <c r="CU96" s="449"/>
      <c r="CV96" s="449"/>
      <c r="CW96" s="449"/>
      <c r="CX96" s="449"/>
      <c r="CY96" s="449"/>
      <c r="CZ96" s="449"/>
      <c r="DA96" s="449"/>
      <c r="DB96" s="449"/>
      <c r="DC96" s="449"/>
      <c r="DD96" s="449"/>
      <c r="DE96" s="449"/>
      <c r="DF96" s="449"/>
      <c r="DG96" s="449"/>
      <c r="DH96" s="449"/>
      <c r="DI96" s="449"/>
      <c r="DJ96" s="449"/>
      <c r="DK96" s="449"/>
      <c r="DL96" s="449"/>
      <c r="DM96" s="449"/>
      <c r="DN96" s="449"/>
      <c r="DO96" s="449"/>
      <c r="DP96" s="449"/>
      <c r="DQ96" s="449"/>
      <c r="DR96" s="449"/>
      <c r="DS96" s="449"/>
      <c r="DT96" s="449"/>
      <c r="DU96" s="449"/>
      <c r="DV96" s="449"/>
      <c r="DW96" s="449"/>
      <c r="DX96" s="449"/>
      <c r="DY96" s="449"/>
      <c r="DZ96" s="449"/>
      <c r="EA96" s="449"/>
      <c r="EB96" s="449"/>
      <c r="EC96" s="449"/>
      <c r="ED96" s="449"/>
      <c r="EE96" s="449"/>
      <c r="EF96" s="449"/>
      <c r="EG96" s="449"/>
      <c r="EH96" s="449"/>
      <c r="EI96" s="449"/>
      <c r="EJ96" s="449"/>
      <c r="EK96" s="449"/>
      <c r="EL96" s="449"/>
      <c r="EM96" s="449"/>
      <c r="EN96" s="449"/>
      <c r="EO96" s="449"/>
      <c r="EP96" s="449"/>
      <c r="EQ96" s="449"/>
      <c r="ER96" s="449"/>
      <c r="ES96" s="449"/>
      <c r="ET96" s="449"/>
      <c r="EU96" s="449"/>
      <c r="EV96" s="449"/>
      <c r="EW96" s="449"/>
      <c r="EX96" s="449"/>
      <c r="EY96" s="449"/>
      <c r="EZ96" s="449"/>
      <c r="FA96" s="449"/>
      <c r="FB96" s="449"/>
      <c r="FC96" s="449"/>
      <c r="FD96" s="449"/>
      <c r="FE96" s="449"/>
      <c r="FF96" s="449"/>
      <c r="FG96" s="449"/>
      <c r="FH96" s="449"/>
      <c r="FI96" s="449"/>
      <c r="FJ96" s="449"/>
      <c r="FK96" s="449"/>
      <c r="FL96" s="449"/>
      <c r="FM96" s="449"/>
      <c r="FN96" s="449"/>
      <c r="FO96" s="449"/>
      <c r="FP96" s="449"/>
      <c r="FQ96" s="449"/>
      <c r="FR96" s="449"/>
      <c r="FS96" s="449"/>
      <c r="FT96" s="449"/>
      <c r="FU96" s="449"/>
      <c r="FV96" s="449"/>
      <c r="FW96" s="449"/>
      <c r="FX96" s="449"/>
      <c r="FY96" s="449"/>
      <c r="FZ96" s="449"/>
      <c r="GA96" s="449"/>
      <c r="GB96" s="449"/>
      <c r="GC96" s="449"/>
      <c r="GD96" s="449"/>
      <c r="GE96" s="449"/>
      <c r="GF96" s="449"/>
      <c r="GG96" s="449"/>
      <c r="GH96" s="449"/>
      <c r="GI96" s="449"/>
      <c r="GJ96" s="449"/>
      <c r="GK96" s="449"/>
      <c r="GL96" s="449"/>
      <c r="GM96" s="449"/>
      <c r="GN96" s="449"/>
      <c r="GO96" s="449"/>
      <c r="GP96" s="449"/>
      <c r="GQ96" s="449"/>
      <c r="GR96" s="449"/>
      <c r="GS96" s="449"/>
      <c r="GT96" s="449"/>
      <c r="GU96" s="449"/>
      <c r="GV96" s="449"/>
      <c r="GW96" s="449"/>
      <c r="GX96" s="449"/>
      <c r="GY96" s="449"/>
      <c r="GZ96" s="449"/>
      <c r="HA96" s="449"/>
      <c r="HB96" s="449"/>
      <c r="HC96" s="449"/>
      <c r="HD96" s="449"/>
      <c r="HE96" s="449"/>
      <c r="HF96" s="449"/>
      <c r="HG96" s="449"/>
      <c r="HH96" s="449"/>
      <c r="HI96" s="449"/>
      <c r="HJ96" s="449"/>
      <c r="HK96" s="449"/>
      <c r="HL96" s="449"/>
      <c r="HM96" s="449"/>
      <c r="HN96" s="449"/>
      <c r="HO96" s="449"/>
      <c r="HP96" s="449"/>
      <c r="HQ96" s="449"/>
      <c r="HR96" s="449"/>
      <c r="HS96" s="449"/>
      <c r="HT96" s="449"/>
      <c r="HU96" s="449"/>
      <c r="HV96" s="449"/>
      <c r="HW96" s="449"/>
      <c r="HX96" s="449"/>
      <c r="HY96" s="449"/>
      <c r="HZ96" s="449"/>
      <c r="IA96" s="449"/>
      <c r="IB96" s="449"/>
      <c r="IC96" s="449"/>
      <c r="ID96" s="449"/>
      <c r="IE96" s="449"/>
      <c r="IF96" s="449"/>
      <c r="IG96" s="449"/>
      <c r="IH96" s="449"/>
      <c r="II96" s="449"/>
      <c r="IJ96" s="449"/>
      <c r="IK96" s="449"/>
      <c r="IL96" s="449"/>
      <c r="IM96" s="449"/>
      <c r="IN96" s="449"/>
      <c r="IO96" s="449"/>
      <c r="IP96" s="449"/>
      <c r="IQ96" s="449"/>
      <c r="IR96" s="449"/>
      <c r="IS96" s="449"/>
      <c r="IT96" s="449"/>
      <c r="IU96" s="449"/>
      <c r="IV96" s="449"/>
      <c r="IW96" s="449"/>
      <c r="IX96" s="449"/>
      <c r="IY96" s="449"/>
    </row>
    <row r="97" spans="3:259" s="379" customFormat="1" ht="12.75" x14ac:dyDescent="0.2">
      <c r="C97" s="388" t="s">
        <v>1037</v>
      </c>
      <c r="D97" s="389"/>
      <c r="E97" s="389"/>
      <c r="F97" s="389"/>
      <c r="G97" s="389"/>
      <c r="H97" s="389"/>
      <c r="I97" s="389"/>
      <c r="J97" s="389"/>
      <c r="K97" s="390"/>
      <c r="L97" s="390"/>
      <c r="M97" s="451" t="str">
        <f>IFERROR(K97/#REF!-1,"")</f>
        <v/>
      </c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49"/>
      <c r="BC97" s="449"/>
      <c r="BD97" s="449"/>
      <c r="BE97" s="449"/>
      <c r="BF97" s="449"/>
      <c r="BG97" s="449"/>
      <c r="BH97" s="449"/>
      <c r="BI97" s="449"/>
      <c r="BJ97" s="449"/>
      <c r="BK97" s="449"/>
      <c r="BL97" s="449"/>
      <c r="BM97" s="449"/>
      <c r="BN97" s="449"/>
      <c r="BO97" s="449"/>
      <c r="BP97" s="449"/>
      <c r="BQ97" s="449"/>
      <c r="BR97" s="449"/>
      <c r="BS97" s="449"/>
      <c r="BT97" s="449"/>
      <c r="BU97" s="449"/>
      <c r="BV97" s="449"/>
      <c r="BW97" s="449"/>
      <c r="BX97" s="449"/>
      <c r="BY97" s="449"/>
      <c r="BZ97" s="449"/>
      <c r="CA97" s="449"/>
      <c r="CB97" s="449"/>
      <c r="CC97" s="449"/>
      <c r="CD97" s="449"/>
      <c r="CE97" s="449"/>
      <c r="CF97" s="449"/>
      <c r="CG97" s="449"/>
      <c r="CH97" s="449"/>
      <c r="CI97" s="449"/>
      <c r="CJ97" s="449"/>
      <c r="CK97" s="449"/>
      <c r="CL97" s="449"/>
      <c r="CM97" s="449"/>
      <c r="CN97" s="449"/>
      <c r="CO97" s="449"/>
      <c r="CP97" s="449"/>
      <c r="CQ97" s="449"/>
      <c r="CR97" s="449"/>
      <c r="CS97" s="449"/>
      <c r="CT97" s="449"/>
      <c r="CU97" s="449"/>
      <c r="CV97" s="449"/>
      <c r="CW97" s="449"/>
      <c r="CX97" s="449"/>
      <c r="CY97" s="449"/>
      <c r="CZ97" s="449"/>
      <c r="DA97" s="449"/>
      <c r="DB97" s="449"/>
      <c r="DC97" s="449"/>
      <c r="DD97" s="449"/>
      <c r="DE97" s="449"/>
      <c r="DF97" s="449"/>
      <c r="DG97" s="449"/>
      <c r="DH97" s="449"/>
      <c r="DI97" s="449"/>
      <c r="DJ97" s="449"/>
      <c r="DK97" s="449"/>
      <c r="DL97" s="449"/>
      <c r="DM97" s="449"/>
      <c r="DN97" s="449"/>
      <c r="DO97" s="449"/>
      <c r="DP97" s="449"/>
      <c r="DQ97" s="449"/>
      <c r="DR97" s="449"/>
      <c r="DS97" s="449"/>
      <c r="DT97" s="449"/>
      <c r="DU97" s="449"/>
      <c r="DV97" s="449"/>
      <c r="DW97" s="449"/>
      <c r="DX97" s="449"/>
      <c r="DY97" s="449"/>
      <c r="DZ97" s="449"/>
      <c r="EA97" s="449"/>
      <c r="EB97" s="449"/>
      <c r="EC97" s="449"/>
      <c r="ED97" s="449"/>
      <c r="EE97" s="449"/>
      <c r="EF97" s="449"/>
      <c r="EG97" s="449"/>
      <c r="EH97" s="449"/>
      <c r="EI97" s="449"/>
      <c r="EJ97" s="449"/>
      <c r="EK97" s="449"/>
      <c r="EL97" s="449"/>
      <c r="EM97" s="449"/>
      <c r="EN97" s="449"/>
      <c r="EO97" s="449"/>
      <c r="EP97" s="449"/>
      <c r="EQ97" s="449"/>
      <c r="ER97" s="449"/>
      <c r="ES97" s="449"/>
      <c r="ET97" s="449"/>
      <c r="EU97" s="449"/>
      <c r="EV97" s="449"/>
      <c r="EW97" s="449"/>
      <c r="EX97" s="449"/>
      <c r="EY97" s="449"/>
      <c r="EZ97" s="449"/>
      <c r="FA97" s="449"/>
      <c r="FB97" s="449"/>
      <c r="FC97" s="449"/>
      <c r="FD97" s="449"/>
      <c r="FE97" s="449"/>
      <c r="FF97" s="449"/>
      <c r="FG97" s="449"/>
      <c r="FH97" s="449"/>
      <c r="FI97" s="449"/>
      <c r="FJ97" s="449"/>
      <c r="FK97" s="449"/>
      <c r="FL97" s="449"/>
      <c r="FM97" s="449"/>
      <c r="FN97" s="449"/>
      <c r="FO97" s="449"/>
      <c r="FP97" s="449"/>
      <c r="FQ97" s="449"/>
      <c r="FR97" s="449"/>
      <c r="FS97" s="449"/>
      <c r="FT97" s="449"/>
      <c r="FU97" s="449"/>
      <c r="FV97" s="449"/>
      <c r="FW97" s="449"/>
      <c r="FX97" s="449"/>
      <c r="FY97" s="449"/>
      <c r="FZ97" s="449"/>
      <c r="GA97" s="449"/>
      <c r="GB97" s="449"/>
      <c r="GC97" s="449"/>
      <c r="GD97" s="449"/>
      <c r="GE97" s="449"/>
      <c r="GF97" s="449"/>
      <c r="GG97" s="449"/>
      <c r="GH97" s="449"/>
      <c r="GI97" s="449"/>
      <c r="GJ97" s="449"/>
      <c r="GK97" s="449"/>
      <c r="GL97" s="449"/>
      <c r="GM97" s="449"/>
      <c r="GN97" s="449"/>
      <c r="GO97" s="449"/>
      <c r="GP97" s="449"/>
      <c r="GQ97" s="449"/>
      <c r="GR97" s="449"/>
      <c r="GS97" s="449"/>
      <c r="GT97" s="449"/>
      <c r="GU97" s="449"/>
      <c r="GV97" s="449"/>
      <c r="GW97" s="449"/>
      <c r="GX97" s="449"/>
      <c r="GY97" s="449"/>
      <c r="GZ97" s="449"/>
      <c r="HA97" s="449"/>
      <c r="HB97" s="449"/>
      <c r="HC97" s="449"/>
      <c r="HD97" s="449"/>
      <c r="HE97" s="449"/>
      <c r="HF97" s="449"/>
      <c r="HG97" s="449"/>
      <c r="HH97" s="449"/>
      <c r="HI97" s="449"/>
      <c r="HJ97" s="449"/>
      <c r="HK97" s="449"/>
      <c r="HL97" s="449"/>
      <c r="HM97" s="449"/>
      <c r="HN97" s="449"/>
      <c r="HO97" s="449"/>
      <c r="HP97" s="449"/>
      <c r="HQ97" s="449"/>
      <c r="HR97" s="449"/>
      <c r="HS97" s="449"/>
      <c r="HT97" s="449"/>
      <c r="HU97" s="449"/>
      <c r="HV97" s="449"/>
      <c r="HW97" s="449"/>
      <c r="HX97" s="449"/>
      <c r="HY97" s="449"/>
      <c r="HZ97" s="449"/>
      <c r="IA97" s="449"/>
      <c r="IB97" s="449"/>
      <c r="IC97" s="449"/>
      <c r="ID97" s="449"/>
      <c r="IE97" s="449"/>
      <c r="IF97" s="449"/>
      <c r="IG97" s="449"/>
      <c r="IH97" s="449"/>
      <c r="II97" s="449"/>
      <c r="IJ97" s="449"/>
      <c r="IK97" s="449"/>
      <c r="IL97" s="449"/>
      <c r="IM97" s="449"/>
      <c r="IN97" s="449"/>
      <c r="IO97" s="449"/>
      <c r="IP97" s="449"/>
      <c r="IQ97" s="449"/>
      <c r="IR97" s="449"/>
      <c r="IS97" s="449"/>
      <c r="IT97" s="449"/>
      <c r="IU97" s="449"/>
      <c r="IV97" s="449"/>
      <c r="IW97" s="449"/>
      <c r="IX97" s="449"/>
      <c r="IY97" s="449"/>
    </row>
    <row r="98" spans="3:259" s="379" customFormat="1" ht="12.75" x14ac:dyDescent="0.2">
      <c r="C98" s="392" t="s">
        <v>1038</v>
      </c>
      <c r="D98" s="393" t="s">
        <v>867</v>
      </c>
      <c r="E98" s="392" t="s">
        <v>1039</v>
      </c>
      <c r="F98" s="392"/>
      <c r="G98" s="393">
        <v>1000</v>
      </c>
      <c r="H98" s="393">
        <v>160</v>
      </c>
      <c r="I98" s="393">
        <v>100</v>
      </c>
      <c r="J98" s="393">
        <v>13.8</v>
      </c>
      <c r="K98" s="452">
        <v>3545</v>
      </c>
      <c r="L98" s="452"/>
      <c r="M98" s="453">
        <f>K98*0.7</f>
        <v>2481.5</v>
      </c>
      <c r="N98" s="449"/>
      <c r="O98" s="449"/>
      <c r="P98" s="449"/>
      <c r="Q98" s="449"/>
      <c r="R98" s="449"/>
      <c r="S98" s="449"/>
      <c r="T98" s="449"/>
      <c r="U98" s="449"/>
      <c r="V98" s="449"/>
      <c r="W98" s="449"/>
      <c r="X98" s="449"/>
      <c r="Y98" s="449"/>
      <c r="Z98" s="449"/>
      <c r="AA98" s="449"/>
      <c r="AB98" s="449"/>
      <c r="AC98" s="449"/>
      <c r="AD98" s="449"/>
      <c r="AE98" s="449"/>
      <c r="AF98" s="449"/>
      <c r="AG98" s="449"/>
      <c r="AH98" s="449"/>
      <c r="AI98" s="449"/>
      <c r="AJ98" s="449"/>
      <c r="AK98" s="449"/>
      <c r="AL98" s="449"/>
      <c r="AM98" s="449"/>
      <c r="AN98" s="449"/>
      <c r="AO98" s="449"/>
      <c r="AP98" s="449"/>
      <c r="AQ98" s="449"/>
      <c r="AR98" s="449"/>
      <c r="AS98" s="449"/>
      <c r="AT98" s="449"/>
      <c r="AU98" s="449"/>
      <c r="AV98" s="449"/>
      <c r="AW98" s="449"/>
      <c r="AX98" s="449"/>
      <c r="AY98" s="449"/>
      <c r="AZ98" s="449"/>
      <c r="BA98" s="449"/>
      <c r="BB98" s="449"/>
      <c r="BC98" s="449"/>
      <c r="BD98" s="449"/>
      <c r="BE98" s="449"/>
      <c r="BF98" s="449"/>
      <c r="BG98" s="449"/>
      <c r="BH98" s="449"/>
      <c r="BI98" s="449"/>
      <c r="BJ98" s="449"/>
      <c r="BK98" s="449"/>
      <c r="BL98" s="449"/>
      <c r="BM98" s="449"/>
      <c r="BN98" s="449"/>
      <c r="BO98" s="449"/>
      <c r="BP98" s="449"/>
      <c r="BQ98" s="449"/>
      <c r="BR98" s="449"/>
      <c r="BS98" s="449"/>
      <c r="BT98" s="449"/>
      <c r="BU98" s="449"/>
      <c r="BV98" s="449"/>
      <c r="BW98" s="449"/>
      <c r="BX98" s="449"/>
      <c r="BY98" s="449"/>
      <c r="BZ98" s="449"/>
      <c r="CA98" s="449"/>
      <c r="CB98" s="449"/>
      <c r="CC98" s="449"/>
      <c r="CD98" s="449"/>
      <c r="CE98" s="449"/>
      <c r="CF98" s="449"/>
      <c r="CG98" s="449"/>
      <c r="CH98" s="449"/>
      <c r="CI98" s="449"/>
      <c r="CJ98" s="449"/>
      <c r="CK98" s="449"/>
      <c r="CL98" s="449"/>
      <c r="CM98" s="449"/>
      <c r="CN98" s="449"/>
      <c r="CO98" s="449"/>
      <c r="CP98" s="449"/>
      <c r="CQ98" s="449"/>
      <c r="CR98" s="449"/>
      <c r="CS98" s="449"/>
      <c r="CT98" s="449"/>
      <c r="CU98" s="449"/>
      <c r="CV98" s="449"/>
      <c r="CW98" s="449"/>
      <c r="CX98" s="449"/>
      <c r="CY98" s="449"/>
      <c r="CZ98" s="449"/>
      <c r="DA98" s="449"/>
      <c r="DB98" s="449"/>
      <c r="DC98" s="449"/>
      <c r="DD98" s="449"/>
      <c r="DE98" s="449"/>
      <c r="DF98" s="449"/>
      <c r="DG98" s="449"/>
      <c r="DH98" s="449"/>
      <c r="DI98" s="449"/>
      <c r="DJ98" s="449"/>
      <c r="DK98" s="449"/>
      <c r="DL98" s="449"/>
      <c r="DM98" s="449"/>
      <c r="DN98" s="449"/>
      <c r="DO98" s="449"/>
      <c r="DP98" s="449"/>
      <c r="DQ98" s="449"/>
      <c r="DR98" s="449"/>
      <c r="DS98" s="449"/>
      <c r="DT98" s="449"/>
      <c r="DU98" s="449"/>
      <c r="DV98" s="449"/>
      <c r="DW98" s="449"/>
      <c r="DX98" s="449"/>
      <c r="DY98" s="449"/>
      <c r="DZ98" s="449"/>
      <c r="EA98" s="449"/>
      <c r="EB98" s="449"/>
      <c r="EC98" s="449"/>
      <c r="ED98" s="449"/>
      <c r="EE98" s="449"/>
      <c r="EF98" s="449"/>
      <c r="EG98" s="449"/>
      <c r="EH98" s="449"/>
      <c r="EI98" s="449"/>
      <c r="EJ98" s="449"/>
      <c r="EK98" s="449"/>
      <c r="EL98" s="449"/>
      <c r="EM98" s="449"/>
      <c r="EN98" s="449"/>
      <c r="EO98" s="449"/>
      <c r="EP98" s="449"/>
      <c r="EQ98" s="449"/>
      <c r="ER98" s="449"/>
      <c r="ES98" s="449"/>
      <c r="ET98" s="449"/>
      <c r="EU98" s="449"/>
      <c r="EV98" s="449"/>
      <c r="EW98" s="449"/>
      <c r="EX98" s="449"/>
      <c r="EY98" s="449"/>
      <c r="EZ98" s="449"/>
      <c r="FA98" s="449"/>
      <c r="FB98" s="449"/>
      <c r="FC98" s="449"/>
      <c r="FD98" s="449"/>
      <c r="FE98" s="449"/>
      <c r="FF98" s="449"/>
      <c r="FG98" s="449"/>
      <c r="FH98" s="449"/>
      <c r="FI98" s="449"/>
      <c r="FJ98" s="449"/>
      <c r="FK98" s="449"/>
      <c r="FL98" s="449"/>
      <c r="FM98" s="449"/>
      <c r="FN98" s="449"/>
      <c r="FO98" s="449"/>
      <c r="FP98" s="449"/>
      <c r="FQ98" s="449"/>
      <c r="FR98" s="449"/>
      <c r="FS98" s="449"/>
      <c r="FT98" s="449"/>
      <c r="FU98" s="449"/>
      <c r="FV98" s="449"/>
      <c r="FW98" s="449"/>
      <c r="FX98" s="449"/>
      <c r="FY98" s="449"/>
      <c r="FZ98" s="449"/>
      <c r="GA98" s="449"/>
      <c r="GB98" s="449"/>
      <c r="GC98" s="449"/>
      <c r="GD98" s="449"/>
      <c r="GE98" s="449"/>
      <c r="GF98" s="449"/>
      <c r="GG98" s="449"/>
      <c r="GH98" s="449"/>
      <c r="GI98" s="449"/>
      <c r="GJ98" s="449"/>
      <c r="GK98" s="449"/>
      <c r="GL98" s="449"/>
      <c r="GM98" s="449"/>
      <c r="GN98" s="449"/>
      <c r="GO98" s="449"/>
      <c r="GP98" s="449"/>
      <c r="GQ98" s="449"/>
      <c r="GR98" s="449"/>
      <c r="GS98" s="449"/>
      <c r="GT98" s="449"/>
      <c r="GU98" s="449"/>
      <c r="GV98" s="449"/>
      <c r="GW98" s="449"/>
      <c r="GX98" s="449"/>
      <c r="GY98" s="449"/>
      <c r="GZ98" s="449"/>
      <c r="HA98" s="449"/>
      <c r="HB98" s="449"/>
      <c r="HC98" s="449"/>
      <c r="HD98" s="449"/>
      <c r="HE98" s="449"/>
      <c r="HF98" s="449"/>
      <c r="HG98" s="449"/>
      <c r="HH98" s="449"/>
      <c r="HI98" s="449"/>
      <c r="HJ98" s="449"/>
      <c r="HK98" s="449"/>
      <c r="HL98" s="449"/>
      <c r="HM98" s="449"/>
      <c r="HN98" s="449"/>
      <c r="HO98" s="449"/>
      <c r="HP98" s="449"/>
      <c r="HQ98" s="449"/>
      <c r="HR98" s="449"/>
      <c r="HS98" s="449"/>
      <c r="HT98" s="449"/>
      <c r="HU98" s="449"/>
      <c r="HV98" s="449"/>
      <c r="HW98" s="449"/>
      <c r="HX98" s="449"/>
      <c r="HY98" s="449"/>
      <c r="HZ98" s="449"/>
      <c r="IA98" s="449"/>
      <c r="IB98" s="449"/>
      <c r="IC98" s="449"/>
      <c r="ID98" s="449"/>
      <c r="IE98" s="449"/>
      <c r="IF98" s="449"/>
      <c r="IG98" s="449"/>
      <c r="IH98" s="449"/>
      <c r="II98" s="449"/>
      <c r="IJ98" s="449"/>
      <c r="IK98" s="449"/>
      <c r="IL98" s="449"/>
      <c r="IM98" s="449"/>
      <c r="IN98" s="449"/>
      <c r="IO98" s="449"/>
      <c r="IP98" s="449"/>
      <c r="IQ98" s="449"/>
      <c r="IR98" s="449"/>
      <c r="IS98" s="449"/>
      <c r="IT98" s="449"/>
      <c r="IU98" s="449"/>
      <c r="IV98" s="449"/>
      <c r="IW98" s="449"/>
      <c r="IX98" s="449"/>
      <c r="IY98" s="449"/>
    </row>
    <row r="99" spans="3:259" s="379" customFormat="1" ht="12.75" x14ac:dyDescent="0.2">
      <c r="C99" s="392" t="s">
        <v>1040</v>
      </c>
      <c r="D99" s="393" t="s">
        <v>867</v>
      </c>
      <c r="E99" s="392" t="s">
        <v>1041</v>
      </c>
      <c r="F99" s="392"/>
      <c r="G99" s="393">
        <v>1000</v>
      </c>
      <c r="H99" s="393">
        <v>160</v>
      </c>
      <c r="I99" s="393">
        <v>210</v>
      </c>
      <c r="J99" s="393">
        <v>21.01</v>
      </c>
      <c r="K99" s="452">
        <v>4818</v>
      </c>
      <c r="L99" s="452"/>
      <c r="M99" s="453">
        <f>K99*0.7</f>
        <v>3372.6</v>
      </c>
      <c r="N99" s="449"/>
      <c r="O99" s="449"/>
      <c r="P99" s="449"/>
      <c r="Q99" s="449"/>
      <c r="R99" s="449"/>
      <c r="S99" s="449"/>
      <c r="T99" s="449"/>
      <c r="U99" s="449"/>
      <c r="V99" s="449"/>
      <c r="W99" s="449"/>
      <c r="X99" s="449"/>
      <c r="Y99" s="449"/>
      <c r="Z99" s="449"/>
      <c r="AA99" s="449"/>
      <c r="AB99" s="449"/>
      <c r="AC99" s="449"/>
      <c r="AD99" s="449"/>
      <c r="AE99" s="449"/>
      <c r="AF99" s="449"/>
      <c r="AG99" s="449"/>
      <c r="AH99" s="449"/>
      <c r="AI99" s="449"/>
      <c r="AJ99" s="449"/>
      <c r="AK99" s="449"/>
      <c r="AL99" s="449"/>
      <c r="AM99" s="449"/>
      <c r="AN99" s="449"/>
      <c r="AO99" s="449"/>
      <c r="AP99" s="449"/>
      <c r="AQ99" s="449"/>
      <c r="AR99" s="449"/>
      <c r="AS99" s="449"/>
      <c r="AT99" s="449"/>
      <c r="AU99" s="449"/>
      <c r="AV99" s="449"/>
      <c r="AW99" s="449"/>
      <c r="AX99" s="449"/>
      <c r="AY99" s="449"/>
      <c r="AZ99" s="449"/>
      <c r="BA99" s="449"/>
      <c r="BB99" s="449"/>
      <c r="BC99" s="449"/>
      <c r="BD99" s="449"/>
      <c r="BE99" s="449"/>
      <c r="BF99" s="449"/>
      <c r="BG99" s="449"/>
      <c r="BH99" s="449"/>
      <c r="BI99" s="449"/>
      <c r="BJ99" s="449"/>
      <c r="BK99" s="449"/>
      <c r="BL99" s="449"/>
      <c r="BM99" s="449"/>
      <c r="BN99" s="449"/>
      <c r="BO99" s="449"/>
      <c r="BP99" s="449"/>
      <c r="BQ99" s="449"/>
      <c r="BR99" s="449"/>
      <c r="BS99" s="449"/>
      <c r="BT99" s="449"/>
      <c r="BU99" s="449"/>
      <c r="BV99" s="449"/>
      <c r="BW99" s="449"/>
      <c r="BX99" s="449"/>
      <c r="BY99" s="449"/>
      <c r="BZ99" s="449"/>
      <c r="CA99" s="449"/>
      <c r="CB99" s="449"/>
      <c r="CC99" s="449"/>
      <c r="CD99" s="449"/>
      <c r="CE99" s="449"/>
      <c r="CF99" s="449"/>
      <c r="CG99" s="449"/>
      <c r="CH99" s="449"/>
      <c r="CI99" s="449"/>
      <c r="CJ99" s="449"/>
      <c r="CK99" s="449"/>
      <c r="CL99" s="449"/>
      <c r="CM99" s="449"/>
      <c r="CN99" s="449"/>
      <c r="CO99" s="449"/>
      <c r="CP99" s="449"/>
      <c r="CQ99" s="449"/>
      <c r="CR99" s="449"/>
      <c r="CS99" s="449"/>
      <c r="CT99" s="449"/>
      <c r="CU99" s="449"/>
      <c r="CV99" s="449"/>
      <c r="CW99" s="449"/>
      <c r="CX99" s="449"/>
      <c r="CY99" s="449"/>
      <c r="CZ99" s="449"/>
      <c r="DA99" s="449"/>
      <c r="DB99" s="449"/>
      <c r="DC99" s="449"/>
      <c r="DD99" s="449"/>
      <c r="DE99" s="449"/>
      <c r="DF99" s="449"/>
      <c r="DG99" s="449"/>
      <c r="DH99" s="449"/>
      <c r="DI99" s="449"/>
      <c r="DJ99" s="449"/>
      <c r="DK99" s="449"/>
      <c r="DL99" s="449"/>
      <c r="DM99" s="449"/>
      <c r="DN99" s="449"/>
      <c r="DO99" s="449"/>
      <c r="DP99" s="449"/>
      <c r="DQ99" s="449"/>
      <c r="DR99" s="449"/>
      <c r="DS99" s="449"/>
      <c r="DT99" s="449"/>
      <c r="DU99" s="449"/>
      <c r="DV99" s="449"/>
      <c r="DW99" s="449"/>
      <c r="DX99" s="449"/>
      <c r="DY99" s="449"/>
      <c r="DZ99" s="449"/>
      <c r="EA99" s="449"/>
      <c r="EB99" s="449"/>
      <c r="EC99" s="449"/>
      <c r="ED99" s="449"/>
      <c r="EE99" s="449"/>
      <c r="EF99" s="449"/>
      <c r="EG99" s="449"/>
      <c r="EH99" s="449"/>
      <c r="EI99" s="449"/>
      <c r="EJ99" s="449"/>
      <c r="EK99" s="449"/>
      <c r="EL99" s="449"/>
      <c r="EM99" s="449"/>
      <c r="EN99" s="449"/>
      <c r="EO99" s="449"/>
      <c r="EP99" s="449"/>
      <c r="EQ99" s="449"/>
      <c r="ER99" s="449"/>
      <c r="ES99" s="449"/>
      <c r="ET99" s="449"/>
      <c r="EU99" s="449"/>
      <c r="EV99" s="449"/>
      <c r="EW99" s="449"/>
      <c r="EX99" s="449"/>
      <c r="EY99" s="449"/>
      <c r="EZ99" s="449"/>
      <c r="FA99" s="449"/>
      <c r="FB99" s="449"/>
      <c r="FC99" s="449"/>
      <c r="FD99" s="449"/>
      <c r="FE99" s="449"/>
      <c r="FF99" s="449"/>
      <c r="FG99" s="449"/>
      <c r="FH99" s="449"/>
      <c r="FI99" s="449"/>
      <c r="FJ99" s="449"/>
      <c r="FK99" s="449"/>
      <c r="FL99" s="449"/>
      <c r="FM99" s="449"/>
      <c r="FN99" s="449"/>
      <c r="FO99" s="449"/>
      <c r="FP99" s="449"/>
      <c r="FQ99" s="449"/>
      <c r="FR99" s="449"/>
      <c r="FS99" s="449"/>
      <c r="FT99" s="449"/>
      <c r="FU99" s="449"/>
      <c r="FV99" s="449"/>
      <c r="FW99" s="449"/>
      <c r="FX99" s="449"/>
      <c r="FY99" s="449"/>
      <c r="FZ99" s="449"/>
      <c r="GA99" s="449"/>
      <c r="GB99" s="449"/>
      <c r="GC99" s="449"/>
      <c r="GD99" s="449"/>
      <c r="GE99" s="449"/>
      <c r="GF99" s="449"/>
      <c r="GG99" s="449"/>
      <c r="GH99" s="449"/>
      <c r="GI99" s="449"/>
      <c r="GJ99" s="449"/>
      <c r="GK99" s="449"/>
      <c r="GL99" s="449"/>
      <c r="GM99" s="449"/>
      <c r="GN99" s="449"/>
      <c r="GO99" s="449"/>
      <c r="GP99" s="449"/>
      <c r="GQ99" s="449"/>
      <c r="GR99" s="449"/>
      <c r="GS99" s="449"/>
      <c r="GT99" s="449"/>
      <c r="GU99" s="449"/>
      <c r="GV99" s="449"/>
      <c r="GW99" s="449"/>
      <c r="GX99" s="449"/>
      <c r="GY99" s="449"/>
      <c r="GZ99" s="449"/>
      <c r="HA99" s="449"/>
      <c r="HB99" s="449"/>
      <c r="HC99" s="449"/>
      <c r="HD99" s="449"/>
      <c r="HE99" s="449"/>
      <c r="HF99" s="449"/>
      <c r="HG99" s="449"/>
      <c r="HH99" s="449"/>
      <c r="HI99" s="449"/>
      <c r="HJ99" s="449"/>
      <c r="HK99" s="449"/>
      <c r="HL99" s="449"/>
      <c r="HM99" s="449"/>
      <c r="HN99" s="449"/>
      <c r="HO99" s="449"/>
      <c r="HP99" s="449"/>
      <c r="HQ99" s="449"/>
      <c r="HR99" s="449"/>
      <c r="HS99" s="449"/>
      <c r="HT99" s="449"/>
      <c r="HU99" s="449"/>
      <c r="HV99" s="449"/>
      <c r="HW99" s="449"/>
      <c r="HX99" s="449"/>
      <c r="HY99" s="449"/>
      <c r="HZ99" s="449"/>
      <c r="IA99" s="449"/>
      <c r="IB99" s="449"/>
      <c r="IC99" s="449"/>
      <c r="ID99" s="449"/>
      <c r="IE99" s="449"/>
      <c r="IF99" s="449"/>
      <c r="IG99" s="449"/>
      <c r="IH99" s="449"/>
      <c r="II99" s="449"/>
      <c r="IJ99" s="449"/>
      <c r="IK99" s="449"/>
      <c r="IL99" s="449"/>
      <c r="IM99" s="449"/>
      <c r="IN99" s="449"/>
      <c r="IO99" s="449"/>
      <c r="IP99" s="449"/>
      <c r="IQ99" s="449"/>
      <c r="IR99" s="449"/>
      <c r="IS99" s="449"/>
      <c r="IT99" s="449"/>
      <c r="IU99" s="449"/>
      <c r="IV99" s="449"/>
      <c r="IW99" s="449"/>
      <c r="IX99" s="449"/>
      <c r="IY99" s="449"/>
    </row>
    <row r="100" spans="3:259" s="379" customFormat="1" ht="12.75" x14ac:dyDescent="0.2">
      <c r="C100" s="392" t="s">
        <v>1042</v>
      </c>
      <c r="D100" s="393" t="s">
        <v>867</v>
      </c>
      <c r="E100" s="392" t="s">
        <v>1043</v>
      </c>
      <c r="F100" s="392"/>
      <c r="G100" s="393">
        <v>1000</v>
      </c>
      <c r="H100" s="393">
        <v>160</v>
      </c>
      <c r="I100" s="393">
        <v>260</v>
      </c>
      <c r="J100" s="393">
        <v>24.91</v>
      </c>
      <c r="K100" s="452">
        <v>5520</v>
      </c>
      <c r="L100" s="452"/>
      <c r="M100" s="453">
        <f>K100*0.7</f>
        <v>3863.9999999999995</v>
      </c>
      <c r="N100" s="449"/>
      <c r="O100" s="449"/>
      <c r="P100" s="449"/>
      <c r="Q100" s="449"/>
      <c r="R100" s="449"/>
      <c r="S100" s="449"/>
      <c r="T100" s="449"/>
      <c r="U100" s="449"/>
      <c r="V100" s="449"/>
      <c r="W100" s="449"/>
      <c r="X100" s="449"/>
      <c r="Y100" s="449"/>
      <c r="Z100" s="449"/>
      <c r="AA100" s="449"/>
      <c r="AB100" s="449"/>
      <c r="AC100" s="449"/>
      <c r="AD100" s="449"/>
      <c r="AE100" s="449"/>
      <c r="AF100" s="449"/>
      <c r="AG100" s="449"/>
      <c r="AH100" s="449"/>
      <c r="AI100" s="449"/>
      <c r="AJ100" s="449"/>
      <c r="AK100" s="449"/>
      <c r="AL100" s="449"/>
      <c r="AM100" s="449"/>
      <c r="AN100" s="449"/>
      <c r="AO100" s="449"/>
      <c r="AP100" s="449"/>
      <c r="AQ100" s="449"/>
      <c r="AR100" s="449"/>
      <c r="AS100" s="449"/>
      <c r="AT100" s="449"/>
      <c r="AU100" s="449"/>
      <c r="AV100" s="449"/>
      <c r="AW100" s="449"/>
      <c r="AX100" s="449"/>
      <c r="AY100" s="449"/>
      <c r="AZ100" s="449"/>
      <c r="BA100" s="449"/>
      <c r="BB100" s="449"/>
      <c r="BC100" s="449"/>
      <c r="BD100" s="449"/>
      <c r="BE100" s="449"/>
      <c r="BF100" s="449"/>
      <c r="BG100" s="449"/>
      <c r="BH100" s="449"/>
      <c r="BI100" s="449"/>
      <c r="BJ100" s="449"/>
      <c r="BK100" s="449"/>
      <c r="BL100" s="449"/>
      <c r="BM100" s="449"/>
      <c r="BN100" s="449"/>
      <c r="BO100" s="449"/>
      <c r="BP100" s="449"/>
      <c r="BQ100" s="449"/>
      <c r="BR100" s="449"/>
      <c r="BS100" s="449"/>
      <c r="BT100" s="449"/>
      <c r="BU100" s="449"/>
      <c r="BV100" s="449"/>
      <c r="BW100" s="449"/>
      <c r="BX100" s="449"/>
      <c r="BY100" s="449"/>
      <c r="BZ100" s="449"/>
      <c r="CA100" s="449"/>
      <c r="CB100" s="449"/>
      <c r="CC100" s="449"/>
      <c r="CD100" s="449"/>
      <c r="CE100" s="449"/>
      <c r="CF100" s="449"/>
      <c r="CG100" s="449"/>
      <c r="CH100" s="449"/>
      <c r="CI100" s="449"/>
      <c r="CJ100" s="449"/>
      <c r="CK100" s="449"/>
      <c r="CL100" s="449"/>
      <c r="CM100" s="449"/>
      <c r="CN100" s="449"/>
      <c r="CO100" s="449"/>
      <c r="CP100" s="449"/>
      <c r="CQ100" s="449"/>
      <c r="CR100" s="449"/>
      <c r="CS100" s="449"/>
      <c r="CT100" s="449"/>
      <c r="CU100" s="449"/>
      <c r="CV100" s="449"/>
      <c r="CW100" s="449"/>
      <c r="CX100" s="449"/>
      <c r="CY100" s="449"/>
      <c r="CZ100" s="449"/>
      <c r="DA100" s="449"/>
      <c r="DB100" s="449"/>
      <c r="DC100" s="449"/>
      <c r="DD100" s="449"/>
      <c r="DE100" s="449"/>
      <c r="DF100" s="449"/>
      <c r="DG100" s="449"/>
      <c r="DH100" s="449"/>
      <c r="DI100" s="449"/>
      <c r="DJ100" s="449"/>
      <c r="DK100" s="449"/>
      <c r="DL100" s="449"/>
      <c r="DM100" s="449"/>
      <c r="DN100" s="449"/>
      <c r="DO100" s="449"/>
      <c r="DP100" s="449"/>
      <c r="DQ100" s="449"/>
      <c r="DR100" s="449"/>
      <c r="DS100" s="449"/>
      <c r="DT100" s="449"/>
      <c r="DU100" s="449"/>
      <c r="DV100" s="449"/>
      <c r="DW100" s="449"/>
      <c r="DX100" s="449"/>
      <c r="DY100" s="449"/>
      <c r="DZ100" s="449"/>
      <c r="EA100" s="449"/>
      <c r="EB100" s="449"/>
      <c r="EC100" s="449"/>
      <c r="ED100" s="449"/>
      <c r="EE100" s="449"/>
      <c r="EF100" s="449"/>
      <c r="EG100" s="449"/>
      <c r="EH100" s="449"/>
      <c r="EI100" s="449"/>
      <c r="EJ100" s="449"/>
      <c r="EK100" s="449"/>
      <c r="EL100" s="449"/>
      <c r="EM100" s="449"/>
      <c r="EN100" s="449"/>
      <c r="EO100" s="449"/>
      <c r="EP100" s="449"/>
      <c r="EQ100" s="449"/>
      <c r="ER100" s="449"/>
      <c r="ES100" s="449"/>
      <c r="ET100" s="449"/>
      <c r="EU100" s="449"/>
      <c r="EV100" s="449"/>
      <c r="EW100" s="449"/>
      <c r="EX100" s="449"/>
      <c r="EY100" s="449"/>
      <c r="EZ100" s="449"/>
      <c r="FA100" s="449"/>
      <c r="FB100" s="449"/>
      <c r="FC100" s="449"/>
      <c r="FD100" s="449"/>
      <c r="FE100" s="449"/>
      <c r="FF100" s="449"/>
      <c r="FG100" s="449"/>
      <c r="FH100" s="449"/>
      <c r="FI100" s="449"/>
      <c r="FJ100" s="449"/>
      <c r="FK100" s="449"/>
      <c r="FL100" s="449"/>
      <c r="FM100" s="449"/>
      <c r="FN100" s="449"/>
      <c r="FO100" s="449"/>
      <c r="FP100" s="449"/>
      <c r="FQ100" s="449"/>
      <c r="FR100" s="449"/>
      <c r="FS100" s="449"/>
      <c r="FT100" s="449"/>
      <c r="FU100" s="449"/>
      <c r="FV100" s="449"/>
      <c r="FW100" s="449"/>
      <c r="FX100" s="449"/>
      <c r="FY100" s="449"/>
      <c r="FZ100" s="449"/>
      <c r="GA100" s="449"/>
      <c r="GB100" s="449"/>
      <c r="GC100" s="449"/>
      <c r="GD100" s="449"/>
      <c r="GE100" s="449"/>
      <c r="GF100" s="449"/>
      <c r="GG100" s="449"/>
      <c r="GH100" s="449"/>
      <c r="GI100" s="449"/>
      <c r="GJ100" s="449"/>
      <c r="GK100" s="449"/>
      <c r="GL100" s="449"/>
      <c r="GM100" s="449"/>
      <c r="GN100" s="449"/>
      <c r="GO100" s="449"/>
      <c r="GP100" s="449"/>
      <c r="GQ100" s="449"/>
      <c r="GR100" s="449"/>
      <c r="GS100" s="449"/>
      <c r="GT100" s="449"/>
      <c r="GU100" s="449"/>
      <c r="GV100" s="449"/>
      <c r="GW100" s="449"/>
      <c r="GX100" s="449"/>
      <c r="GY100" s="449"/>
      <c r="GZ100" s="449"/>
      <c r="HA100" s="449"/>
      <c r="HB100" s="449"/>
      <c r="HC100" s="449"/>
      <c r="HD100" s="449"/>
      <c r="HE100" s="449"/>
      <c r="HF100" s="449"/>
      <c r="HG100" s="449"/>
      <c r="HH100" s="449"/>
      <c r="HI100" s="449"/>
      <c r="HJ100" s="449"/>
      <c r="HK100" s="449"/>
      <c r="HL100" s="449"/>
      <c r="HM100" s="449"/>
      <c r="HN100" s="449"/>
      <c r="HO100" s="449"/>
      <c r="HP100" s="449"/>
      <c r="HQ100" s="449"/>
      <c r="HR100" s="449"/>
      <c r="HS100" s="449"/>
      <c r="HT100" s="449"/>
      <c r="HU100" s="449"/>
      <c r="HV100" s="449"/>
      <c r="HW100" s="449"/>
      <c r="HX100" s="449"/>
      <c r="HY100" s="449"/>
      <c r="HZ100" s="449"/>
      <c r="IA100" s="449"/>
      <c r="IB100" s="449"/>
      <c r="IC100" s="449"/>
      <c r="ID100" s="449"/>
      <c r="IE100" s="449"/>
      <c r="IF100" s="449"/>
      <c r="IG100" s="449"/>
      <c r="IH100" s="449"/>
      <c r="II100" s="449"/>
      <c r="IJ100" s="449"/>
      <c r="IK100" s="449"/>
      <c r="IL100" s="449"/>
      <c r="IM100" s="449"/>
      <c r="IN100" s="449"/>
      <c r="IO100" s="449"/>
      <c r="IP100" s="449"/>
      <c r="IQ100" s="449"/>
      <c r="IR100" s="449"/>
      <c r="IS100" s="449"/>
      <c r="IT100" s="449"/>
      <c r="IU100" s="449"/>
      <c r="IV100" s="449"/>
      <c r="IW100" s="449"/>
      <c r="IX100" s="449"/>
      <c r="IY100" s="449"/>
    </row>
    <row r="101" spans="3:259" s="379" customFormat="1" ht="12.75" x14ac:dyDescent="0.2">
      <c r="C101" s="392" t="s">
        <v>1044</v>
      </c>
      <c r="D101" s="393" t="s">
        <v>867</v>
      </c>
      <c r="E101" s="392" t="s">
        <v>1045</v>
      </c>
      <c r="F101" s="392"/>
      <c r="G101" s="393">
        <v>500</v>
      </c>
      <c r="H101" s="393">
        <v>160</v>
      </c>
      <c r="I101" s="393">
        <v>500</v>
      </c>
      <c r="J101" s="393">
        <v>26</v>
      </c>
      <c r="K101" s="452">
        <v>4829</v>
      </c>
      <c r="L101" s="452"/>
      <c r="M101" s="453">
        <f>K101*0.7</f>
        <v>3380.2999999999997</v>
      </c>
      <c r="N101" s="449"/>
      <c r="O101" s="449"/>
      <c r="P101" s="449"/>
      <c r="Q101" s="449"/>
      <c r="R101" s="449"/>
      <c r="S101" s="449"/>
      <c r="T101" s="449"/>
      <c r="U101" s="449"/>
      <c r="V101" s="449"/>
      <c r="W101" s="449"/>
      <c r="X101" s="449"/>
      <c r="Y101" s="449"/>
      <c r="Z101" s="449"/>
      <c r="AA101" s="449"/>
      <c r="AB101" s="449"/>
      <c r="AC101" s="449"/>
      <c r="AD101" s="449"/>
      <c r="AE101" s="449"/>
      <c r="AF101" s="449"/>
      <c r="AG101" s="449"/>
      <c r="AH101" s="449"/>
      <c r="AI101" s="449"/>
      <c r="AJ101" s="449"/>
      <c r="AK101" s="449"/>
      <c r="AL101" s="449"/>
      <c r="AM101" s="449"/>
      <c r="AN101" s="449"/>
      <c r="AO101" s="449"/>
      <c r="AP101" s="449"/>
      <c r="AQ101" s="449"/>
      <c r="AR101" s="449"/>
      <c r="AS101" s="449"/>
      <c r="AT101" s="449"/>
      <c r="AU101" s="449"/>
      <c r="AV101" s="449"/>
      <c r="AW101" s="449"/>
      <c r="AX101" s="449"/>
      <c r="AY101" s="449"/>
      <c r="AZ101" s="449"/>
      <c r="BA101" s="449"/>
      <c r="BB101" s="449"/>
      <c r="BC101" s="449"/>
      <c r="BD101" s="449"/>
      <c r="BE101" s="449"/>
      <c r="BF101" s="449"/>
      <c r="BG101" s="449"/>
      <c r="BH101" s="449"/>
      <c r="BI101" s="449"/>
      <c r="BJ101" s="449"/>
      <c r="BK101" s="449"/>
      <c r="BL101" s="449"/>
      <c r="BM101" s="449"/>
      <c r="BN101" s="449"/>
      <c r="BO101" s="449"/>
      <c r="BP101" s="449"/>
      <c r="BQ101" s="449"/>
      <c r="BR101" s="449"/>
      <c r="BS101" s="449"/>
      <c r="BT101" s="449"/>
      <c r="BU101" s="449"/>
      <c r="BV101" s="449"/>
      <c r="BW101" s="449"/>
      <c r="BX101" s="449"/>
      <c r="BY101" s="449"/>
      <c r="BZ101" s="449"/>
      <c r="CA101" s="449"/>
      <c r="CB101" s="449"/>
      <c r="CC101" s="449"/>
      <c r="CD101" s="449"/>
      <c r="CE101" s="449"/>
      <c r="CF101" s="449"/>
      <c r="CG101" s="449"/>
      <c r="CH101" s="449"/>
      <c r="CI101" s="449"/>
      <c r="CJ101" s="449"/>
      <c r="CK101" s="449"/>
      <c r="CL101" s="449"/>
      <c r="CM101" s="449"/>
      <c r="CN101" s="449"/>
      <c r="CO101" s="449"/>
      <c r="CP101" s="449"/>
      <c r="CQ101" s="449"/>
      <c r="CR101" s="449"/>
      <c r="CS101" s="449"/>
      <c r="CT101" s="449"/>
      <c r="CU101" s="449"/>
      <c r="CV101" s="449"/>
      <c r="CW101" s="449"/>
      <c r="CX101" s="449"/>
      <c r="CY101" s="449"/>
      <c r="CZ101" s="449"/>
      <c r="DA101" s="449"/>
      <c r="DB101" s="449"/>
      <c r="DC101" s="449"/>
      <c r="DD101" s="449"/>
      <c r="DE101" s="449"/>
      <c r="DF101" s="449"/>
      <c r="DG101" s="449"/>
      <c r="DH101" s="449"/>
      <c r="DI101" s="449"/>
      <c r="DJ101" s="449"/>
      <c r="DK101" s="449"/>
      <c r="DL101" s="449"/>
      <c r="DM101" s="449"/>
      <c r="DN101" s="449"/>
      <c r="DO101" s="449"/>
      <c r="DP101" s="449"/>
      <c r="DQ101" s="449"/>
      <c r="DR101" s="449"/>
      <c r="DS101" s="449"/>
      <c r="DT101" s="449"/>
      <c r="DU101" s="449"/>
      <c r="DV101" s="449"/>
      <c r="DW101" s="449"/>
      <c r="DX101" s="449"/>
      <c r="DY101" s="449"/>
      <c r="DZ101" s="449"/>
      <c r="EA101" s="449"/>
      <c r="EB101" s="449"/>
      <c r="EC101" s="449"/>
      <c r="ED101" s="449"/>
      <c r="EE101" s="449"/>
      <c r="EF101" s="449"/>
      <c r="EG101" s="449"/>
      <c r="EH101" s="449"/>
      <c r="EI101" s="449"/>
      <c r="EJ101" s="449"/>
      <c r="EK101" s="449"/>
      <c r="EL101" s="449"/>
      <c r="EM101" s="449"/>
      <c r="EN101" s="449"/>
      <c r="EO101" s="449"/>
      <c r="EP101" s="449"/>
      <c r="EQ101" s="449"/>
      <c r="ER101" s="449"/>
      <c r="ES101" s="449"/>
      <c r="ET101" s="449"/>
      <c r="EU101" s="449"/>
      <c r="EV101" s="449"/>
      <c r="EW101" s="449"/>
      <c r="EX101" s="449"/>
      <c r="EY101" s="449"/>
      <c r="EZ101" s="449"/>
      <c r="FA101" s="449"/>
      <c r="FB101" s="449"/>
      <c r="FC101" s="449"/>
      <c r="FD101" s="449"/>
      <c r="FE101" s="449"/>
      <c r="FF101" s="449"/>
      <c r="FG101" s="449"/>
      <c r="FH101" s="449"/>
      <c r="FI101" s="449"/>
      <c r="FJ101" s="449"/>
      <c r="FK101" s="449"/>
      <c r="FL101" s="449"/>
      <c r="FM101" s="449"/>
      <c r="FN101" s="449"/>
      <c r="FO101" s="449"/>
      <c r="FP101" s="449"/>
      <c r="FQ101" s="449"/>
      <c r="FR101" s="449"/>
      <c r="FS101" s="449"/>
      <c r="FT101" s="449"/>
      <c r="FU101" s="449"/>
      <c r="FV101" s="449"/>
      <c r="FW101" s="449"/>
      <c r="FX101" s="449"/>
      <c r="FY101" s="449"/>
      <c r="FZ101" s="449"/>
      <c r="GA101" s="449"/>
      <c r="GB101" s="449"/>
      <c r="GC101" s="449"/>
      <c r="GD101" s="449"/>
      <c r="GE101" s="449"/>
      <c r="GF101" s="449"/>
      <c r="GG101" s="449"/>
      <c r="GH101" s="449"/>
      <c r="GI101" s="449"/>
      <c r="GJ101" s="449"/>
      <c r="GK101" s="449"/>
      <c r="GL101" s="449"/>
      <c r="GM101" s="449"/>
      <c r="GN101" s="449"/>
      <c r="GO101" s="449"/>
      <c r="GP101" s="449"/>
      <c r="GQ101" s="449"/>
      <c r="GR101" s="449"/>
      <c r="GS101" s="449"/>
      <c r="GT101" s="449"/>
      <c r="GU101" s="449"/>
      <c r="GV101" s="449"/>
      <c r="GW101" s="449"/>
      <c r="GX101" s="449"/>
      <c r="GY101" s="449"/>
      <c r="GZ101" s="449"/>
      <c r="HA101" s="449"/>
      <c r="HB101" s="449"/>
      <c r="HC101" s="449"/>
      <c r="HD101" s="449"/>
      <c r="HE101" s="449"/>
      <c r="HF101" s="449"/>
      <c r="HG101" s="449"/>
      <c r="HH101" s="449"/>
      <c r="HI101" s="449"/>
      <c r="HJ101" s="449"/>
      <c r="HK101" s="449"/>
      <c r="HL101" s="449"/>
      <c r="HM101" s="449"/>
      <c r="HN101" s="449"/>
      <c r="HO101" s="449"/>
      <c r="HP101" s="449"/>
      <c r="HQ101" s="449"/>
      <c r="HR101" s="449"/>
      <c r="HS101" s="449"/>
      <c r="HT101" s="449"/>
      <c r="HU101" s="449"/>
      <c r="HV101" s="449"/>
      <c r="HW101" s="449"/>
      <c r="HX101" s="449"/>
      <c r="HY101" s="449"/>
      <c r="HZ101" s="449"/>
      <c r="IA101" s="449"/>
      <c r="IB101" s="449"/>
      <c r="IC101" s="449"/>
      <c r="ID101" s="449"/>
      <c r="IE101" s="449"/>
      <c r="IF101" s="449"/>
      <c r="IG101" s="449"/>
      <c r="IH101" s="449"/>
      <c r="II101" s="449"/>
      <c r="IJ101" s="449"/>
      <c r="IK101" s="449"/>
      <c r="IL101" s="449"/>
      <c r="IM101" s="449"/>
      <c r="IN101" s="449"/>
      <c r="IO101" s="449"/>
      <c r="IP101" s="449"/>
      <c r="IQ101" s="449"/>
      <c r="IR101" s="449"/>
      <c r="IS101" s="449"/>
      <c r="IT101" s="449"/>
      <c r="IU101" s="449"/>
      <c r="IV101" s="449"/>
      <c r="IW101" s="449"/>
      <c r="IX101" s="449"/>
      <c r="IY101" s="449"/>
    </row>
    <row r="102" spans="3:259" s="379" customFormat="1" ht="12.75" x14ac:dyDescent="0.2">
      <c r="C102" s="388" t="s">
        <v>874</v>
      </c>
      <c r="D102" s="389"/>
      <c r="E102" s="389"/>
      <c r="F102" s="389"/>
      <c r="G102" s="389"/>
      <c r="H102" s="389"/>
      <c r="I102" s="389"/>
      <c r="J102" s="389"/>
      <c r="K102" s="390"/>
      <c r="L102" s="390"/>
      <c r="M102" s="391" t="str">
        <f>IFERROR(K102/#REF!-1,"")</f>
        <v/>
      </c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49"/>
      <c r="BC102" s="449"/>
      <c r="BD102" s="449"/>
      <c r="BE102" s="449"/>
      <c r="BF102" s="449"/>
      <c r="BG102" s="449"/>
      <c r="BH102" s="449"/>
      <c r="BI102" s="449"/>
      <c r="BJ102" s="449"/>
      <c r="BK102" s="449"/>
      <c r="BL102" s="449"/>
      <c r="BM102" s="449"/>
      <c r="BN102" s="449"/>
      <c r="BO102" s="449"/>
      <c r="BP102" s="449"/>
      <c r="BQ102" s="449"/>
      <c r="BR102" s="449"/>
      <c r="BS102" s="449"/>
      <c r="BT102" s="449"/>
      <c r="BU102" s="449"/>
      <c r="BV102" s="449"/>
      <c r="BW102" s="449"/>
      <c r="BX102" s="449"/>
      <c r="BY102" s="449"/>
      <c r="BZ102" s="449"/>
      <c r="CA102" s="449"/>
      <c r="CB102" s="449"/>
      <c r="CC102" s="449"/>
      <c r="CD102" s="449"/>
      <c r="CE102" s="449"/>
      <c r="CF102" s="449"/>
      <c r="CG102" s="449"/>
      <c r="CH102" s="449"/>
      <c r="CI102" s="449"/>
      <c r="CJ102" s="449"/>
      <c r="CK102" s="449"/>
      <c r="CL102" s="449"/>
      <c r="CM102" s="449"/>
      <c r="CN102" s="449"/>
      <c r="CO102" s="449"/>
      <c r="CP102" s="449"/>
      <c r="CQ102" s="449"/>
      <c r="CR102" s="449"/>
      <c r="CS102" s="449"/>
      <c r="CT102" s="449"/>
      <c r="CU102" s="449"/>
      <c r="CV102" s="449"/>
      <c r="CW102" s="449"/>
      <c r="CX102" s="449"/>
      <c r="CY102" s="449"/>
      <c r="CZ102" s="449"/>
      <c r="DA102" s="449"/>
      <c r="DB102" s="449"/>
      <c r="DC102" s="449"/>
      <c r="DD102" s="449"/>
      <c r="DE102" s="449"/>
      <c r="DF102" s="449"/>
      <c r="DG102" s="449"/>
      <c r="DH102" s="449"/>
      <c r="DI102" s="449"/>
      <c r="DJ102" s="449"/>
      <c r="DK102" s="449"/>
      <c r="DL102" s="449"/>
      <c r="DM102" s="449"/>
      <c r="DN102" s="449"/>
      <c r="DO102" s="449"/>
      <c r="DP102" s="449"/>
      <c r="DQ102" s="449"/>
      <c r="DR102" s="449"/>
      <c r="DS102" s="449"/>
      <c r="DT102" s="449"/>
      <c r="DU102" s="449"/>
      <c r="DV102" s="449"/>
      <c r="DW102" s="449"/>
      <c r="DX102" s="449"/>
      <c r="DY102" s="449"/>
      <c r="DZ102" s="449"/>
      <c r="EA102" s="449"/>
      <c r="EB102" s="449"/>
      <c r="EC102" s="449"/>
      <c r="ED102" s="449"/>
      <c r="EE102" s="449"/>
      <c r="EF102" s="449"/>
      <c r="EG102" s="449"/>
      <c r="EH102" s="449"/>
      <c r="EI102" s="449"/>
      <c r="EJ102" s="449"/>
      <c r="EK102" s="449"/>
      <c r="EL102" s="449"/>
      <c r="EM102" s="449"/>
      <c r="EN102" s="449"/>
      <c r="EO102" s="449"/>
      <c r="EP102" s="449"/>
      <c r="EQ102" s="449"/>
      <c r="ER102" s="449"/>
      <c r="ES102" s="449"/>
      <c r="ET102" s="449"/>
      <c r="EU102" s="449"/>
      <c r="EV102" s="449"/>
      <c r="EW102" s="449"/>
      <c r="EX102" s="449"/>
      <c r="EY102" s="449"/>
      <c r="EZ102" s="449"/>
      <c r="FA102" s="449"/>
      <c r="FB102" s="449"/>
      <c r="FC102" s="449"/>
      <c r="FD102" s="449"/>
      <c r="FE102" s="449"/>
      <c r="FF102" s="449"/>
      <c r="FG102" s="449"/>
      <c r="FH102" s="449"/>
      <c r="FI102" s="449"/>
      <c r="FJ102" s="449"/>
      <c r="FK102" s="449"/>
      <c r="FL102" s="449"/>
      <c r="FM102" s="449"/>
      <c r="FN102" s="449"/>
      <c r="FO102" s="449"/>
      <c r="FP102" s="449"/>
      <c r="FQ102" s="449"/>
      <c r="FR102" s="449"/>
      <c r="FS102" s="449"/>
      <c r="FT102" s="449"/>
      <c r="FU102" s="449"/>
      <c r="FV102" s="449"/>
      <c r="FW102" s="449"/>
      <c r="FX102" s="449"/>
      <c r="FY102" s="449"/>
      <c r="FZ102" s="449"/>
      <c r="GA102" s="449"/>
      <c r="GB102" s="449"/>
      <c r="GC102" s="449"/>
      <c r="GD102" s="449"/>
      <c r="GE102" s="449"/>
      <c r="GF102" s="449"/>
      <c r="GG102" s="449"/>
      <c r="GH102" s="449"/>
      <c r="GI102" s="449"/>
      <c r="GJ102" s="449"/>
      <c r="GK102" s="449"/>
      <c r="GL102" s="449"/>
      <c r="GM102" s="449"/>
      <c r="GN102" s="449"/>
      <c r="GO102" s="449"/>
      <c r="GP102" s="449"/>
      <c r="GQ102" s="449"/>
      <c r="GR102" s="449"/>
      <c r="GS102" s="449"/>
      <c r="GT102" s="449"/>
      <c r="GU102" s="449"/>
      <c r="GV102" s="449"/>
      <c r="GW102" s="449"/>
      <c r="GX102" s="449"/>
      <c r="GY102" s="449"/>
      <c r="GZ102" s="449"/>
      <c r="HA102" s="449"/>
      <c r="HB102" s="449"/>
      <c r="HC102" s="449"/>
      <c r="HD102" s="449"/>
      <c r="HE102" s="449"/>
      <c r="HF102" s="449"/>
      <c r="HG102" s="449"/>
      <c r="HH102" s="449"/>
      <c r="HI102" s="449"/>
      <c r="HJ102" s="449"/>
      <c r="HK102" s="449"/>
      <c r="HL102" s="449"/>
      <c r="HM102" s="449"/>
      <c r="HN102" s="449"/>
      <c r="HO102" s="449"/>
      <c r="HP102" s="449"/>
      <c r="HQ102" s="449"/>
      <c r="HR102" s="449"/>
      <c r="HS102" s="449"/>
      <c r="HT102" s="449"/>
      <c r="HU102" s="449"/>
      <c r="HV102" s="449"/>
      <c r="HW102" s="449"/>
      <c r="HX102" s="449"/>
      <c r="HY102" s="449"/>
      <c r="HZ102" s="449"/>
      <c r="IA102" s="449"/>
      <c r="IB102" s="449"/>
      <c r="IC102" s="449"/>
      <c r="ID102" s="449"/>
      <c r="IE102" s="449"/>
      <c r="IF102" s="449"/>
      <c r="IG102" s="449"/>
      <c r="IH102" s="449"/>
      <c r="II102" s="449"/>
      <c r="IJ102" s="449"/>
      <c r="IK102" s="449"/>
      <c r="IL102" s="449"/>
      <c r="IM102" s="449"/>
      <c r="IN102" s="449"/>
      <c r="IO102" s="449"/>
      <c r="IP102" s="449"/>
      <c r="IQ102" s="449"/>
      <c r="IR102" s="449"/>
      <c r="IS102" s="449"/>
      <c r="IT102" s="449"/>
      <c r="IU102" s="449"/>
      <c r="IV102" s="449"/>
      <c r="IW102" s="449"/>
      <c r="IX102" s="449"/>
      <c r="IY102" s="449"/>
    </row>
    <row r="103" spans="3:259" s="379" customFormat="1" ht="12.75" x14ac:dyDescent="0.2">
      <c r="C103" s="392" t="s">
        <v>875</v>
      </c>
      <c r="D103" s="393" t="s">
        <v>877</v>
      </c>
      <c r="E103" s="392" t="s">
        <v>1046</v>
      </c>
      <c r="F103" s="392"/>
      <c r="G103" s="393">
        <v>498</v>
      </c>
      <c r="H103" s="393">
        <v>148</v>
      </c>
      <c r="I103" s="393">
        <v>25</v>
      </c>
      <c r="J103" s="393">
        <v>3.79</v>
      </c>
      <c r="K103" s="397">
        <v>1085</v>
      </c>
      <c r="L103" s="397"/>
      <c r="M103" s="398">
        <f>K103*0.65</f>
        <v>705.25</v>
      </c>
      <c r="N103" s="449"/>
      <c r="O103" s="449"/>
      <c r="P103" s="449"/>
      <c r="Q103" s="449"/>
      <c r="R103" s="449"/>
      <c r="S103" s="449"/>
      <c r="T103" s="449"/>
      <c r="U103" s="449"/>
      <c r="V103" s="449"/>
      <c r="W103" s="449"/>
      <c r="X103" s="449"/>
      <c r="Y103" s="449"/>
      <c r="Z103" s="449"/>
      <c r="AA103" s="449"/>
      <c r="AB103" s="449"/>
      <c r="AC103" s="449"/>
      <c r="AD103" s="449"/>
      <c r="AE103" s="449"/>
      <c r="AF103" s="449"/>
      <c r="AG103" s="449"/>
      <c r="AH103" s="449"/>
      <c r="AI103" s="449"/>
      <c r="AJ103" s="449"/>
      <c r="AK103" s="449"/>
      <c r="AL103" s="449"/>
      <c r="AM103" s="449"/>
      <c r="AN103" s="449"/>
      <c r="AO103" s="449"/>
      <c r="AP103" s="449"/>
      <c r="AQ103" s="449"/>
      <c r="AR103" s="449"/>
      <c r="AS103" s="449"/>
      <c r="AT103" s="449"/>
      <c r="AU103" s="449"/>
      <c r="AV103" s="449"/>
      <c r="AW103" s="449"/>
      <c r="AX103" s="449"/>
      <c r="AY103" s="449"/>
      <c r="AZ103" s="449"/>
      <c r="BA103" s="449"/>
      <c r="BB103" s="449"/>
      <c r="BC103" s="449"/>
      <c r="BD103" s="449"/>
      <c r="BE103" s="449"/>
      <c r="BF103" s="449"/>
      <c r="BG103" s="449"/>
      <c r="BH103" s="449"/>
      <c r="BI103" s="449"/>
      <c r="BJ103" s="449"/>
      <c r="BK103" s="449"/>
      <c r="BL103" s="449"/>
      <c r="BM103" s="449"/>
      <c r="BN103" s="449"/>
      <c r="BO103" s="449"/>
      <c r="BP103" s="449"/>
      <c r="BQ103" s="449"/>
      <c r="BR103" s="449"/>
      <c r="BS103" s="449"/>
      <c r="BT103" s="449"/>
      <c r="BU103" s="449"/>
      <c r="BV103" s="449"/>
      <c r="BW103" s="449"/>
      <c r="BX103" s="449"/>
      <c r="BY103" s="449"/>
      <c r="BZ103" s="449"/>
      <c r="CA103" s="449"/>
      <c r="CB103" s="449"/>
      <c r="CC103" s="449"/>
      <c r="CD103" s="449"/>
      <c r="CE103" s="449"/>
      <c r="CF103" s="449"/>
      <c r="CG103" s="449"/>
      <c r="CH103" s="449"/>
      <c r="CI103" s="449"/>
      <c r="CJ103" s="449"/>
      <c r="CK103" s="449"/>
      <c r="CL103" s="449"/>
      <c r="CM103" s="449"/>
      <c r="CN103" s="449"/>
      <c r="CO103" s="449"/>
      <c r="CP103" s="449"/>
      <c r="CQ103" s="449"/>
      <c r="CR103" s="449"/>
      <c r="CS103" s="449"/>
      <c r="CT103" s="449"/>
      <c r="CU103" s="449"/>
      <c r="CV103" s="449"/>
      <c r="CW103" s="449"/>
      <c r="CX103" s="449"/>
      <c r="CY103" s="449"/>
      <c r="CZ103" s="449"/>
      <c r="DA103" s="449"/>
      <c r="DB103" s="449"/>
      <c r="DC103" s="449"/>
      <c r="DD103" s="449"/>
      <c r="DE103" s="449"/>
      <c r="DF103" s="449"/>
      <c r="DG103" s="449"/>
      <c r="DH103" s="449"/>
      <c r="DI103" s="449"/>
      <c r="DJ103" s="449"/>
      <c r="DK103" s="449"/>
      <c r="DL103" s="449"/>
      <c r="DM103" s="449"/>
      <c r="DN103" s="449"/>
      <c r="DO103" s="449"/>
      <c r="DP103" s="449"/>
      <c r="DQ103" s="449"/>
      <c r="DR103" s="449"/>
      <c r="DS103" s="449"/>
      <c r="DT103" s="449"/>
      <c r="DU103" s="449"/>
      <c r="DV103" s="449"/>
      <c r="DW103" s="449"/>
      <c r="DX103" s="449"/>
      <c r="DY103" s="449"/>
      <c r="DZ103" s="449"/>
      <c r="EA103" s="449"/>
      <c r="EB103" s="449"/>
      <c r="EC103" s="449"/>
      <c r="ED103" s="449"/>
      <c r="EE103" s="449"/>
      <c r="EF103" s="449"/>
      <c r="EG103" s="449"/>
      <c r="EH103" s="449"/>
      <c r="EI103" s="449"/>
      <c r="EJ103" s="449"/>
      <c r="EK103" s="449"/>
      <c r="EL103" s="449"/>
      <c r="EM103" s="449"/>
      <c r="EN103" s="449"/>
      <c r="EO103" s="449"/>
      <c r="EP103" s="449"/>
      <c r="EQ103" s="449"/>
      <c r="ER103" s="449"/>
      <c r="ES103" s="449"/>
      <c r="ET103" s="449"/>
      <c r="EU103" s="449"/>
      <c r="EV103" s="449"/>
      <c r="EW103" s="449"/>
      <c r="EX103" s="449"/>
      <c r="EY103" s="449"/>
      <c r="EZ103" s="449"/>
      <c r="FA103" s="449"/>
      <c r="FB103" s="449"/>
      <c r="FC103" s="449"/>
      <c r="FD103" s="449"/>
      <c r="FE103" s="449"/>
      <c r="FF103" s="449"/>
      <c r="FG103" s="449"/>
      <c r="FH103" s="449"/>
      <c r="FI103" s="449"/>
      <c r="FJ103" s="449"/>
      <c r="FK103" s="449"/>
      <c r="FL103" s="449"/>
      <c r="FM103" s="449"/>
      <c r="FN103" s="449"/>
      <c r="FO103" s="449"/>
      <c r="FP103" s="449"/>
      <c r="FQ103" s="449"/>
      <c r="FR103" s="449"/>
      <c r="FS103" s="449"/>
      <c r="FT103" s="449"/>
      <c r="FU103" s="449"/>
      <c r="FV103" s="449"/>
      <c r="FW103" s="449"/>
      <c r="FX103" s="449"/>
      <c r="FY103" s="449"/>
      <c r="FZ103" s="449"/>
      <c r="GA103" s="449"/>
      <c r="GB103" s="449"/>
      <c r="GC103" s="449"/>
      <c r="GD103" s="449"/>
      <c r="GE103" s="449"/>
      <c r="GF103" s="449"/>
      <c r="GG103" s="449"/>
      <c r="GH103" s="449"/>
      <c r="GI103" s="449"/>
      <c r="GJ103" s="449"/>
      <c r="GK103" s="449"/>
      <c r="GL103" s="449"/>
      <c r="GM103" s="449"/>
      <c r="GN103" s="449"/>
      <c r="GO103" s="449"/>
      <c r="GP103" s="449"/>
      <c r="GQ103" s="449"/>
      <c r="GR103" s="449"/>
      <c r="GS103" s="449"/>
      <c r="GT103" s="449"/>
      <c r="GU103" s="449"/>
      <c r="GV103" s="449"/>
      <c r="GW103" s="449"/>
      <c r="GX103" s="449"/>
      <c r="GY103" s="449"/>
      <c r="GZ103" s="449"/>
      <c r="HA103" s="449"/>
      <c r="HB103" s="449"/>
      <c r="HC103" s="449"/>
      <c r="HD103" s="449"/>
      <c r="HE103" s="449"/>
      <c r="HF103" s="449"/>
      <c r="HG103" s="449"/>
      <c r="HH103" s="449"/>
      <c r="HI103" s="449"/>
      <c r="HJ103" s="449"/>
      <c r="HK103" s="449"/>
      <c r="HL103" s="449"/>
      <c r="HM103" s="449"/>
      <c r="HN103" s="449"/>
      <c r="HO103" s="449"/>
      <c r="HP103" s="449"/>
      <c r="HQ103" s="449"/>
      <c r="HR103" s="449"/>
      <c r="HS103" s="449"/>
      <c r="HT103" s="449"/>
      <c r="HU103" s="449"/>
      <c r="HV103" s="449"/>
      <c r="HW103" s="449"/>
      <c r="HX103" s="449"/>
      <c r="HY103" s="449"/>
      <c r="HZ103" s="449"/>
      <c r="IA103" s="449"/>
      <c r="IB103" s="449"/>
      <c r="IC103" s="449"/>
      <c r="ID103" s="449"/>
      <c r="IE103" s="449"/>
      <c r="IF103" s="449"/>
      <c r="IG103" s="449"/>
      <c r="IH103" s="449"/>
      <c r="II103" s="449"/>
      <c r="IJ103" s="449"/>
      <c r="IK103" s="449"/>
      <c r="IL103" s="449"/>
      <c r="IM103" s="449"/>
      <c r="IN103" s="449"/>
      <c r="IO103" s="449"/>
      <c r="IP103" s="449"/>
      <c r="IQ103" s="449"/>
      <c r="IR103" s="449"/>
      <c r="IS103" s="449"/>
      <c r="IT103" s="449"/>
      <c r="IU103" s="449"/>
      <c r="IV103" s="449"/>
      <c r="IW103" s="449"/>
      <c r="IX103" s="449"/>
      <c r="IY103" s="449"/>
    </row>
    <row r="104" spans="3:259" s="379" customFormat="1" ht="12.75" x14ac:dyDescent="0.2">
      <c r="C104" s="392" t="s">
        <v>878</v>
      </c>
      <c r="D104" s="393" t="s">
        <v>880</v>
      </c>
      <c r="E104" s="392" t="s">
        <v>879</v>
      </c>
      <c r="F104" s="392"/>
      <c r="G104" s="393">
        <v>498</v>
      </c>
      <c r="H104" s="393">
        <v>148</v>
      </c>
      <c r="I104" s="393">
        <v>35</v>
      </c>
      <c r="J104" s="393">
        <v>4.43</v>
      </c>
      <c r="K104" s="397">
        <v>1345</v>
      </c>
      <c r="L104" s="397"/>
      <c r="M104" s="398">
        <f>K104*0.65</f>
        <v>874.25</v>
      </c>
      <c r="N104" s="449"/>
      <c r="O104" s="449"/>
      <c r="P104" s="449"/>
      <c r="Q104" s="449"/>
      <c r="R104" s="449"/>
      <c r="S104" s="449"/>
      <c r="T104" s="449"/>
      <c r="U104" s="449"/>
      <c r="V104" s="449"/>
      <c r="W104" s="449"/>
      <c r="X104" s="449"/>
      <c r="Y104" s="449"/>
      <c r="Z104" s="449"/>
      <c r="AA104" s="449"/>
      <c r="AB104" s="449"/>
      <c r="AC104" s="449"/>
      <c r="AD104" s="449"/>
      <c r="AE104" s="449"/>
      <c r="AF104" s="449"/>
      <c r="AG104" s="449"/>
      <c r="AH104" s="449"/>
      <c r="AI104" s="449"/>
      <c r="AJ104" s="449"/>
      <c r="AK104" s="449"/>
      <c r="AL104" s="449"/>
      <c r="AM104" s="449"/>
      <c r="AN104" s="449"/>
      <c r="AO104" s="449"/>
      <c r="AP104" s="449"/>
      <c r="AQ104" s="449"/>
      <c r="AR104" s="449"/>
      <c r="AS104" s="449"/>
      <c r="AT104" s="449"/>
      <c r="AU104" s="449"/>
      <c r="AV104" s="449"/>
      <c r="AW104" s="449"/>
      <c r="AX104" s="449"/>
      <c r="AY104" s="449"/>
      <c r="AZ104" s="449"/>
      <c r="BA104" s="449"/>
      <c r="BB104" s="449"/>
      <c r="BC104" s="449"/>
      <c r="BD104" s="449"/>
      <c r="BE104" s="449"/>
      <c r="BF104" s="449"/>
      <c r="BG104" s="449"/>
      <c r="BH104" s="449"/>
      <c r="BI104" s="449"/>
      <c r="BJ104" s="449"/>
      <c r="BK104" s="449"/>
      <c r="BL104" s="449"/>
      <c r="BM104" s="449"/>
      <c r="BN104" s="449"/>
      <c r="BO104" s="449"/>
      <c r="BP104" s="449"/>
      <c r="BQ104" s="449"/>
      <c r="BR104" s="449"/>
      <c r="BS104" s="449"/>
      <c r="BT104" s="449"/>
      <c r="BU104" s="449"/>
      <c r="BV104" s="449"/>
      <c r="BW104" s="449"/>
      <c r="BX104" s="449"/>
      <c r="BY104" s="449"/>
      <c r="BZ104" s="449"/>
      <c r="CA104" s="449"/>
      <c r="CB104" s="449"/>
      <c r="CC104" s="449"/>
      <c r="CD104" s="449"/>
      <c r="CE104" s="449"/>
      <c r="CF104" s="449"/>
      <c r="CG104" s="449"/>
      <c r="CH104" s="449"/>
      <c r="CI104" s="449"/>
      <c r="CJ104" s="449"/>
      <c r="CK104" s="449"/>
      <c r="CL104" s="449"/>
      <c r="CM104" s="449"/>
      <c r="CN104" s="449"/>
      <c r="CO104" s="449"/>
      <c r="CP104" s="449"/>
      <c r="CQ104" s="449"/>
      <c r="CR104" s="449"/>
      <c r="CS104" s="449"/>
      <c r="CT104" s="449"/>
      <c r="CU104" s="449"/>
      <c r="CV104" s="449"/>
      <c r="CW104" s="449"/>
      <c r="CX104" s="449"/>
      <c r="CY104" s="449"/>
      <c r="CZ104" s="449"/>
      <c r="DA104" s="449"/>
      <c r="DB104" s="449"/>
      <c r="DC104" s="449"/>
      <c r="DD104" s="449"/>
      <c r="DE104" s="449"/>
      <c r="DF104" s="449"/>
      <c r="DG104" s="449"/>
      <c r="DH104" s="449"/>
      <c r="DI104" s="449"/>
      <c r="DJ104" s="449"/>
      <c r="DK104" s="449"/>
      <c r="DL104" s="449"/>
      <c r="DM104" s="449"/>
      <c r="DN104" s="449"/>
      <c r="DO104" s="449"/>
      <c r="DP104" s="449"/>
      <c r="DQ104" s="449"/>
      <c r="DR104" s="449"/>
      <c r="DS104" s="449"/>
      <c r="DT104" s="449"/>
      <c r="DU104" s="449"/>
      <c r="DV104" s="449"/>
      <c r="DW104" s="449"/>
      <c r="DX104" s="449"/>
      <c r="DY104" s="449"/>
      <c r="DZ104" s="449"/>
      <c r="EA104" s="449"/>
      <c r="EB104" s="449"/>
      <c r="EC104" s="449"/>
      <c r="ED104" s="449"/>
      <c r="EE104" s="449"/>
      <c r="EF104" s="449"/>
      <c r="EG104" s="449"/>
      <c r="EH104" s="449"/>
      <c r="EI104" s="449"/>
      <c r="EJ104" s="449"/>
      <c r="EK104" s="449"/>
      <c r="EL104" s="449"/>
      <c r="EM104" s="449"/>
      <c r="EN104" s="449"/>
      <c r="EO104" s="449"/>
      <c r="EP104" s="449"/>
      <c r="EQ104" s="449"/>
      <c r="ER104" s="449"/>
      <c r="ES104" s="449"/>
      <c r="ET104" s="449"/>
      <c r="EU104" s="449"/>
      <c r="EV104" s="449"/>
      <c r="EW104" s="449"/>
      <c r="EX104" s="449"/>
      <c r="EY104" s="449"/>
      <c r="EZ104" s="449"/>
      <c r="FA104" s="449"/>
      <c r="FB104" s="449"/>
      <c r="FC104" s="449"/>
      <c r="FD104" s="449"/>
      <c r="FE104" s="449"/>
      <c r="FF104" s="449"/>
      <c r="FG104" s="449"/>
      <c r="FH104" s="449"/>
      <c r="FI104" s="449"/>
      <c r="FJ104" s="449"/>
      <c r="FK104" s="449"/>
      <c r="FL104" s="449"/>
      <c r="FM104" s="449"/>
      <c r="FN104" s="449"/>
      <c r="FO104" s="449"/>
      <c r="FP104" s="449"/>
      <c r="FQ104" s="449"/>
      <c r="FR104" s="449"/>
      <c r="FS104" s="449"/>
      <c r="FT104" s="449"/>
      <c r="FU104" s="449"/>
      <c r="FV104" s="449"/>
      <c r="FW104" s="449"/>
      <c r="FX104" s="449"/>
      <c r="FY104" s="449"/>
      <c r="FZ104" s="449"/>
      <c r="GA104" s="449"/>
      <c r="GB104" s="449"/>
      <c r="GC104" s="449"/>
      <c r="GD104" s="449"/>
      <c r="GE104" s="449"/>
      <c r="GF104" s="449"/>
      <c r="GG104" s="449"/>
      <c r="GH104" s="449"/>
      <c r="GI104" s="449"/>
      <c r="GJ104" s="449"/>
      <c r="GK104" s="449"/>
      <c r="GL104" s="449"/>
      <c r="GM104" s="449"/>
      <c r="GN104" s="449"/>
      <c r="GO104" s="449"/>
      <c r="GP104" s="449"/>
      <c r="GQ104" s="449"/>
      <c r="GR104" s="449"/>
      <c r="GS104" s="449"/>
      <c r="GT104" s="449"/>
      <c r="GU104" s="449"/>
      <c r="GV104" s="449"/>
      <c r="GW104" s="449"/>
      <c r="GX104" s="449"/>
      <c r="GY104" s="449"/>
      <c r="GZ104" s="449"/>
      <c r="HA104" s="449"/>
      <c r="HB104" s="449"/>
      <c r="HC104" s="449"/>
      <c r="HD104" s="449"/>
      <c r="HE104" s="449"/>
      <c r="HF104" s="449"/>
      <c r="HG104" s="449"/>
      <c r="HH104" s="449"/>
      <c r="HI104" s="449"/>
      <c r="HJ104" s="449"/>
      <c r="HK104" s="449"/>
      <c r="HL104" s="449"/>
      <c r="HM104" s="449"/>
      <c r="HN104" s="449"/>
      <c r="HO104" s="449"/>
      <c r="HP104" s="449"/>
      <c r="HQ104" s="449"/>
      <c r="HR104" s="449"/>
      <c r="HS104" s="449"/>
      <c r="HT104" s="449"/>
      <c r="HU104" s="449"/>
      <c r="HV104" s="449"/>
      <c r="HW104" s="449"/>
      <c r="HX104" s="449"/>
      <c r="HY104" s="449"/>
      <c r="HZ104" s="449"/>
      <c r="IA104" s="449"/>
      <c r="IB104" s="449"/>
      <c r="IC104" s="449"/>
      <c r="ID104" s="449"/>
      <c r="IE104" s="449"/>
      <c r="IF104" s="449"/>
      <c r="IG104" s="449"/>
      <c r="IH104" s="449"/>
      <c r="II104" s="449"/>
      <c r="IJ104" s="449"/>
      <c r="IK104" s="449"/>
      <c r="IL104" s="449"/>
      <c r="IM104" s="449"/>
      <c r="IN104" s="449"/>
      <c r="IO104" s="449"/>
      <c r="IP104" s="449"/>
      <c r="IQ104" s="449"/>
      <c r="IR104" s="449"/>
      <c r="IS104" s="449"/>
      <c r="IT104" s="449"/>
      <c r="IU104" s="449"/>
      <c r="IV104" s="449"/>
      <c r="IW104" s="449"/>
      <c r="IX104" s="449"/>
      <c r="IY104" s="449"/>
    </row>
    <row r="105" spans="3:259" s="379" customFormat="1" ht="12.75" x14ac:dyDescent="0.2">
      <c r="C105" s="388" t="s">
        <v>881</v>
      </c>
      <c r="D105" s="389"/>
      <c r="E105" s="389"/>
      <c r="F105" s="389"/>
      <c r="G105" s="389"/>
      <c r="H105" s="389"/>
      <c r="I105" s="389"/>
      <c r="J105" s="389"/>
      <c r="K105" s="390"/>
      <c r="L105" s="390"/>
      <c r="M105" s="391" t="str">
        <f>IFERROR(K105/#REF!-1,"")</f>
        <v/>
      </c>
      <c r="N105" s="449"/>
      <c r="O105" s="449"/>
      <c r="P105" s="449"/>
      <c r="Q105" s="449"/>
      <c r="R105" s="449"/>
      <c r="S105" s="449"/>
      <c r="T105" s="449"/>
      <c r="U105" s="449"/>
      <c r="V105" s="449"/>
      <c r="W105" s="449"/>
      <c r="X105" s="449"/>
      <c r="Y105" s="449"/>
      <c r="Z105" s="449"/>
      <c r="AA105" s="449"/>
      <c r="AB105" s="449"/>
      <c r="AC105" s="449"/>
      <c r="AD105" s="449"/>
      <c r="AE105" s="449"/>
      <c r="AF105" s="449"/>
      <c r="AG105" s="449"/>
      <c r="AH105" s="449"/>
      <c r="AI105" s="449"/>
      <c r="AJ105" s="449"/>
      <c r="AK105" s="449"/>
      <c r="AL105" s="449"/>
      <c r="AM105" s="449"/>
      <c r="AN105" s="449"/>
      <c r="AO105" s="449"/>
      <c r="AP105" s="449"/>
      <c r="AQ105" s="449"/>
      <c r="AR105" s="449"/>
      <c r="AS105" s="449"/>
      <c r="AT105" s="449"/>
      <c r="AU105" s="449"/>
      <c r="AV105" s="449"/>
      <c r="AW105" s="449"/>
      <c r="AX105" s="449"/>
      <c r="AY105" s="449"/>
      <c r="AZ105" s="449"/>
      <c r="BA105" s="449"/>
      <c r="BB105" s="449"/>
      <c r="BC105" s="449"/>
      <c r="BD105" s="449"/>
      <c r="BE105" s="449"/>
      <c r="BF105" s="449"/>
      <c r="BG105" s="449"/>
      <c r="BH105" s="449"/>
      <c r="BI105" s="449"/>
      <c r="BJ105" s="449"/>
      <c r="BK105" s="449"/>
      <c r="BL105" s="449"/>
      <c r="BM105" s="449"/>
      <c r="BN105" s="449"/>
      <c r="BO105" s="449"/>
      <c r="BP105" s="449"/>
      <c r="BQ105" s="449"/>
      <c r="BR105" s="449"/>
      <c r="BS105" s="449"/>
      <c r="BT105" s="449"/>
      <c r="BU105" s="449"/>
      <c r="BV105" s="449"/>
      <c r="BW105" s="449"/>
      <c r="BX105" s="449"/>
      <c r="BY105" s="449"/>
      <c r="BZ105" s="449"/>
      <c r="CA105" s="449"/>
      <c r="CB105" s="449"/>
      <c r="CC105" s="449"/>
      <c r="CD105" s="449"/>
      <c r="CE105" s="449"/>
      <c r="CF105" s="449"/>
      <c r="CG105" s="449"/>
      <c r="CH105" s="449"/>
      <c r="CI105" s="449"/>
      <c r="CJ105" s="449"/>
      <c r="CK105" s="449"/>
      <c r="CL105" s="449"/>
      <c r="CM105" s="449"/>
      <c r="CN105" s="449"/>
      <c r="CO105" s="449"/>
      <c r="CP105" s="449"/>
      <c r="CQ105" s="449"/>
      <c r="CR105" s="449"/>
      <c r="CS105" s="449"/>
      <c r="CT105" s="449"/>
      <c r="CU105" s="449"/>
      <c r="CV105" s="449"/>
      <c r="CW105" s="449"/>
      <c r="CX105" s="449"/>
      <c r="CY105" s="449"/>
      <c r="CZ105" s="449"/>
      <c r="DA105" s="449"/>
      <c r="DB105" s="449"/>
      <c r="DC105" s="449"/>
      <c r="DD105" s="449"/>
      <c r="DE105" s="449"/>
      <c r="DF105" s="449"/>
      <c r="DG105" s="449"/>
      <c r="DH105" s="449"/>
      <c r="DI105" s="449"/>
      <c r="DJ105" s="449"/>
      <c r="DK105" s="449"/>
      <c r="DL105" s="449"/>
      <c r="DM105" s="449"/>
      <c r="DN105" s="449"/>
      <c r="DO105" s="449"/>
      <c r="DP105" s="449"/>
      <c r="DQ105" s="449"/>
      <c r="DR105" s="449"/>
      <c r="DS105" s="449"/>
      <c r="DT105" s="449"/>
      <c r="DU105" s="449"/>
      <c r="DV105" s="449"/>
      <c r="DW105" s="449"/>
      <c r="DX105" s="449"/>
      <c r="DY105" s="449"/>
      <c r="DZ105" s="449"/>
      <c r="EA105" s="449"/>
      <c r="EB105" s="449"/>
      <c r="EC105" s="449"/>
      <c r="ED105" s="449"/>
      <c r="EE105" s="449"/>
      <c r="EF105" s="449"/>
      <c r="EG105" s="449"/>
      <c r="EH105" s="449"/>
      <c r="EI105" s="449"/>
      <c r="EJ105" s="449"/>
      <c r="EK105" s="449"/>
      <c r="EL105" s="449"/>
      <c r="EM105" s="449"/>
      <c r="EN105" s="449"/>
      <c r="EO105" s="449"/>
      <c r="EP105" s="449"/>
      <c r="EQ105" s="449"/>
      <c r="ER105" s="449"/>
      <c r="ES105" s="449"/>
      <c r="ET105" s="449"/>
      <c r="EU105" s="449"/>
      <c r="EV105" s="449"/>
      <c r="EW105" s="449"/>
      <c r="EX105" s="449"/>
      <c r="EY105" s="449"/>
      <c r="EZ105" s="449"/>
      <c r="FA105" s="449"/>
      <c r="FB105" s="449"/>
      <c r="FC105" s="449"/>
      <c r="FD105" s="449"/>
      <c r="FE105" s="449"/>
      <c r="FF105" s="449"/>
      <c r="FG105" s="449"/>
      <c r="FH105" s="449"/>
      <c r="FI105" s="449"/>
      <c r="FJ105" s="449"/>
      <c r="FK105" s="449"/>
      <c r="FL105" s="449"/>
      <c r="FM105" s="449"/>
      <c r="FN105" s="449"/>
      <c r="FO105" s="449"/>
      <c r="FP105" s="449"/>
      <c r="FQ105" s="449"/>
      <c r="FR105" s="449"/>
      <c r="FS105" s="449"/>
      <c r="FT105" s="449"/>
      <c r="FU105" s="449"/>
      <c r="FV105" s="449"/>
      <c r="FW105" s="449"/>
      <c r="FX105" s="449"/>
      <c r="FY105" s="449"/>
      <c r="FZ105" s="449"/>
      <c r="GA105" s="449"/>
      <c r="GB105" s="449"/>
      <c r="GC105" s="449"/>
      <c r="GD105" s="449"/>
      <c r="GE105" s="449"/>
      <c r="GF105" s="449"/>
      <c r="GG105" s="449"/>
      <c r="GH105" s="449"/>
      <c r="GI105" s="449"/>
      <c r="GJ105" s="449"/>
      <c r="GK105" s="449"/>
      <c r="GL105" s="449"/>
      <c r="GM105" s="449"/>
      <c r="GN105" s="449"/>
      <c r="GO105" s="449"/>
      <c r="GP105" s="449"/>
      <c r="GQ105" s="449"/>
      <c r="GR105" s="449"/>
      <c r="GS105" s="449"/>
      <c r="GT105" s="449"/>
      <c r="GU105" s="449"/>
      <c r="GV105" s="449"/>
      <c r="GW105" s="449"/>
      <c r="GX105" s="449"/>
      <c r="GY105" s="449"/>
      <c r="GZ105" s="449"/>
      <c r="HA105" s="449"/>
      <c r="HB105" s="449"/>
      <c r="HC105" s="449"/>
      <c r="HD105" s="449"/>
      <c r="HE105" s="449"/>
      <c r="HF105" s="449"/>
      <c r="HG105" s="449"/>
      <c r="HH105" s="449"/>
      <c r="HI105" s="449"/>
      <c r="HJ105" s="449"/>
      <c r="HK105" s="449"/>
      <c r="HL105" s="449"/>
      <c r="HM105" s="449"/>
      <c r="HN105" s="449"/>
      <c r="HO105" s="449"/>
      <c r="HP105" s="449"/>
      <c r="HQ105" s="449"/>
      <c r="HR105" s="449"/>
      <c r="HS105" s="449"/>
      <c r="HT105" s="449"/>
      <c r="HU105" s="449"/>
      <c r="HV105" s="449"/>
      <c r="HW105" s="449"/>
      <c r="HX105" s="449"/>
      <c r="HY105" s="449"/>
      <c r="HZ105" s="449"/>
      <c r="IA105" s="449"/>
      <c r="IB105" s="449"/>
      <c r="IC105" s="449"/>
      <c r="ID105" s="449"/>
      <c r="IE105" s="449"/>
      <c r="IF105" s="449"/>
      <c r="IG105" s="449"/>
      <c r="IH105" s="449"/>
      <c r="II105" s="449"/>
      <c r="IJ105" s="449"/>
      <c r="IK105" s="449"/>
      <c r="IL105" s="449"/>
      <c r="IM105" s="449"/>
      <c r="IN105" s="449"/>
      <c r="IO105" s="449"/>
      <c r="IP105" s="449"/>
      <c r="IQ105" s="449"/>
      <c r="IR105" s="449"/>
      <c r="IS105" s="449"/>
      <c r="IT105" s="449"/>
      <c r="IU105" s="449"/>
      <c r="IV105" s="449"/>
      <c r="IW105" s="449"/>
      <c r="IX105" s="449"/>
      <c r="IY105" s="449"/>
    </row>
    <row r="106" spans="3:259" s="379" customFormat="1" ht="12.75" x14ac:dyDescent="0.2">
      <c r="C106" s="392" t="s">
        <v>882</v>
      </c>
      <c r="D106" s="393" t="s">
        <v>877</v>
      </c>
      <c r="E106" s="392" t="s">
        <v>883</v>
      </c>
      <c r="F106" s="392"/>
      <c r="G106" s="393"/>
      <c r="H106" s="393"/>
      <c r="I106" s="393"/>
      <c r="J106" s="393"/>
      <c r="K106" s="454">
        <v>15</v>
      </c>
      <c r="L106" s="454"/>
      <c r="M106" s="455">
        <f>K106*0.75</f>
        <v>11.25</v>
      </c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49"/>
      <c r="BC106" s="449"/>
      <c r="BD106" s="449"/>
      <c r="BE106" s="449"/>
      <c r="BF106" s="449"/>
      <c r="BG106" s="449"/>
      <c r="BH106" s="449"/>
      <c r="BI106" s="449"/>
      <c r="BJ106" s="449"/>
      <c r="BK106" s="449"/>
      <c r="BL106" s="449"/>
      <c r="BM106" s="449"/>
      <c r="BN106" s="449"/>
      <c r="BO106" s="449"/>
      <c r="BP106" s="449"/>
      <c r="BQ106" s="449"/>
      <c r="BR106" s="449"/>
      <c r="BS106" s="449"/>
      <c r="BT106" s="449"/>
      <c r="BU106" s="449"/>
      <c r="BV106" s="449"/>
      <c r="BW106" s="449"/>
      <c r="BX106" s="449"/>
      <c r="BY106" s="449"/>
      <c r="BZ106" s="449"/>
      <c r="CA106" s="449"/>
      <c r="CB106" s="449"/>
      <c r="CC106" s="449"/>
      <c r="CD106" s="449"/>
      <c r="CE106" s="449"/>
      <c r="CF106" s="449"/>
      <c r="CG106" s="449"/>
      <c r="CH106" s="449"/>
      <c r="CI106" s="449"/>
      <c r="CJ106" s="449"/>
      <c r="CK106" s="449"/>
      <c r="CL106" s="449"/>
      <c r="CM106" s="449"/>
      <c r="CN106" s="449"/>
      <c r="CO106" s="449"/>
      <c r="CP106" s="449"/>
      <c r="CQ106" s="449"/>
      <c r="CR106" s="449"/>
      <c r="CS106" s="449"/>
      <c r="CT106" s="449"/>
      <c r="CU106" s="449"/>
      <c r="CV106" s="449"/>
      <c r="CW106" s="449"/>
      <c r="CX106" s="449"/>
      <c r="CY106" s="449"/>
      <c r="CZ106" s="449"/>
      <c r="DA106" s="449"/>
      <c r="DB106" s="449"/>
      <c r="DC106" s="449"/>
      <c r="DD106" s="449"/>
      <c r="DE106" s="449"/>
      <c r="DF106" s="449"/>
      <c r="DG106" s="449"/>
      <c r="DH106" s="449"/>
      <c r="DI106" s="449"/>
      <c r="DJ106" s="449"/>
      <c r="DK106" s="449"/>
      <c r="DL106" s="449"/>
      <c r="DM106" s="449"/>
      <c r="DN106" s="449"/>
      <c r="DO106" s="449"/>
      <c r="DP106" s="449"/>
      <c r="DQ106" s="449"/>
      <c r="DR106" s="449"/>
      <c r="DS106" s="449"/>
      <c r="DT106" s="449"/>
      <c r="DU106" s="449"/>
      <c r="DV106" s="449"/>
      <c r="DW106" s="449"/>
      <c r="DX106" s="449"/>
      <c r="DY106" s="449"/>
      <c r="DZ106" s="449"/>
      <c r="EA106" s="449"/>
      <c r="EB106" s="449"/>
      <c r="EC106" s="449"/>
      <c r="ED106" s="449"/>
      <c r="EE106" s="449"/>
      <c r="EF106" s="449"/>
      <c r="EG106" s="449"/>
      <c r="EH106" s="449"/>
      <c r="EI106" s="449"/>
      <c r="EJ106" s="449"/>
      <c r="EK106" s="449"/>
      <c r="EL106" s="449"/>
      <c r="EM106" s="449"/>
      <c r="EN106" s="449"/>
      <c r="EO106" s="449"/>
      <c r="EP106" s="449"/>
      <c r="EQ106" s="449"/>
      <c r="ER106" s="449"/>
      <c r="ES106" s="449"/>
      <c r="ET106" s="449"/>
      <c r="EU106" s="449"/>
      <c r="EV106" s="449"/>
      <c r="EW106" s="449"/>
      <c r="EX106" s="449"/>
      <c r="EY106" s="449"/>
      <c r="EZ106" s="449"/>
      <c r="FA106" s="449"/>
      <c r="FB106" s="449"/>
      <c r="FC106" s="449"/>
      <c r="FD106" s="449"/>
      <c r="FE106" s="449"/>
      <c r="FF106" s="449"/>
      <c r="FG106" s="449"/>
      <c r="FH106" s="449"/>
      <c r="FI106" s="449"/>
      <c r="FJ106" s="449"/>
      <c r="FK106" s="449"/>
      <c r="FL106" s="449"/>
      <c r="FM106" s="449"/>
      <c r="FN106" s="449"/>
      <c r="FO106" s="449"/>
      <c r="FP106" s="449"/>
      <c r="FQ106" s="449"/>
      <c r="FR106" s="449"/>
      <c r="FS106" s="449"/>
      <c r="FT106" s="449"/>
      <c r="FU106" s="449"/>
      <c r="FV106" s="449"/>
      <c r="FW106" s="449"/>
      <c r="FX106" s="449"/>
      <c r="FY106" s="449"/>
      <c r="FZ106" s="449"/>
      <c r="GA106" s="449"/>
      <c r="GB106" s="449"/>
      <c r="GC106" s="449"/>
      <c r="GD106" s="449"/>
      <c r="GE106" s="449"/>
      <c r="GF106" s="449"/>
      <c r="GG106" s="449"/>
      <c r="GH106" s="449"/>
      <c r="GI106" s="449"/>
      <c r="GJ106" s="449"/>
      <c r="GK106" s="449"/>
      <c r="GL106" s="449"/>
      <c r="GM106" s="449"/>
      <c r="GN106" s="449"/>
      <c r="GO106" s="449"/>
      <c r="GP106" s="449"/>
      <c r="GQ106" s="449"/>
      <c r="GR106" s="449"/>
      <c r="GS106" s="449"/>
      <c r="GT106" s="449"/>
      <c r="GU106" s="449"/>
      <c r="GV106" s="449"/>
      <c r="GW106" s="449"/>
      <c r="GX106" s="449"/>
      <c r="GY106" s="449"/>
      <c r="GZ106" s="449"/>
      <c r="HA106" s="449"/>
      <c r="HB106" s="449"/>
      <c r="HC106" s="449"/>
      <c r="HD106" s="449"/>
      <c r="HE106" s="449"/>
      <c r="HF106" s="449"/>
      <c r="HG106" s="449"/>
      <c r="HH106" s="449"/>
      <c r="HI106" s="449"/>
      <c r="HJ106" s="449"/>
      <c r="HK106" s="449"/>
      <c r="HL106" s="449"/>
      <c r="HM106" s="449"/>
      <c r="HN106" s="449"/>
      <c r="HO106" s="449"/>
      <c r="HP106" s="449"/>
      <c r="HQ106" s="449"/>
      <c r="HR106" s="449"/>
      <c r="HS106" s="449"/>
      <c r="HT106" s="449"/>
      <c r="HU106" s="449"/>
      <c r="HV106" s="449"/>
      <c r="HW106" s="449"/>
      <c r="HX106" s="449"/>
      <c r="HY106" s="449"/>
      <c r="HZ106" s="449"/>
      <c r="IA106" s="449"/>
      <c r="IB106" s="449"/>
      <c r="IC106" s="449"/>
      <c r="ID106" s="449"/>
      <c r="IE106" s="449"/>
      <c r="IF106" s="449"/>
      <c r="IG106" s="449"/>
      <c r="IH106" s="449"/>
      <c r="II106" s="449"/>
      <c r="IJ106" s="449"/>
      <c r="IK106" s="449"/>
      <c r="IL106" s="449"/>
      <c r="IM106" s="449"/>
      <c r="IN106" s="449"/>
      <c r="IO106" s="449"/>
      <c r="IP106" s="449"/>
      <c r="IQ106" s="449"/>
      <c r="IR106" s="449"/>
      <c r="IS106" s="449"/>
      <c r="IT106" s="449"/>
      <c r="IU106" s="449"/>
      <c r="IV106" s="449"/>
      <c r="IW106" s="449"/>
      <c r="IX106" s="449"/>
      <c r="IY106" s="449"/>
    </row>
    <row r="107" spans="3:259" s="379" customFormat="1" ht="12.75" x14ac:dyDescent="0.2">
      <c r="C107" s="392" t="s">
        <v>884</v>
      </c>
      <c r="D107" s="393" t="s">
        <v>877</v>
      </c>
      <c r="E107" s="392" t="s">
        <v>885</v>
      </c>
      <c r="F107" s="392"/>
      <c r="G107" s="393"/>
      <c r="H107" s="393"/>
      <c r="I107" s="393"/>
      <c r="J107" s="393"/>
      <c r="K107" s="454">
        <v>15</v>
      </c>
      <c r="L107" s="454"/>
      <c r="M107" s="455">
        <f>K107*0.75</f>
        <v>11.25</v>
      </c>
      <c r="N107" s="449"/>
      <c r="O107" s="449"/>
      <c r="P107" s="449"/>
      <c r="Q107" s="449"/>
      <c r="R107" s="449"/>
      <c r="S107" s="449"/>
      <c r="T107" s="449"/>
      <c r="U107" s="449"/>
      <c r="V107" s="449"/>
      <c r="W107" s="449"/>
      <c r="X107" s="449"/>
      <c r="Y107" s="449"/>
      <c r="Z107" s="449"/>
      <c r="AA107" s="449"/>
      <c r="AB107" s="449"/>
      <c r="AC107" s="449"/>
      <c r="AD107" s="449"/>
      <c r="AE107" s="449"/>
      <c r="AF107" s="449"/>
      <c r="AG107" s="449"/>
      <c r="AH107" s="449"/>
      <c r="AI107" s="449"/>
      <c r="AJ107" s="449"/>
      <c r="AK107" s="449"/>
      <c r="AL107" s="449"/>
      <c r="AM107" s="449"/>
      <c r="AN107" s="449"/>
      <c r="AO107" s="449"/>
      <c r="AP107" s="449"/>
      <c r="AQ107" s="449"/>
      <c r="AR107" s="449"/>
      <c r="AS107" s="449"/>
      <c r="AT107" s="449"/>
      <c r="AU107" s="449"/>
      <c r="AV107" s="449"/>
      <c r="AW107" s="449"/>
      <c r="AX107" s="449"/>
      <c r="AY107" s="449"/>
      <c r="AZ107" s="449"/>
      <c r="BA107" s="449"/>
      <c r="BB107" s="449"/>
      <c r="BC107" s="449"/>
      <c r="BD107" s="449"/>
      <c r="BE107" s="449"/>
      <c r="BF107" s="449"/>
      <c r="BG107" s="449"/>
      <c r="BH107" s="449"/>
      <c r="BI107" s="449"/>
      <c r="BJ107" s="449"/>
      <c r="BK107" s="449"/>
      <c r="BL107" s="449"/>
      <c r="BM107" s="449"/>
      <c r="BN107" s="449"/>
      <c r="BO107" s="449"/>
      <c r="BP107" s="449"/>
      <c r="BQ107" s="449"/>
      <c r="BR107" s="449"/>
      <c r="BS107" s="449"/>
      <c r="BT107" s="449"/>
      <c r="BU107" s="449"/>
      <c r="BV107" s="449"/>
      <c r="BW107" s="449"/>
      <c r="BX107" s="449"/>
      <c r="BY107" s="449"/>
      <c r="BZ107" s="449"/>
      <c r="CA107" s="449"/>
      <c r="CB107" s="449"/>
      <c r="CC107" s="449"/>
      <c r="CD107" s="449"/>
      <c r="CE107" s="449"/>
      <c r="CF107" s="449"/>
      <c r="CG107" s="449"/>
      <c r="CH107" s="449"/>
      <c r="CI107" s="449"/>
      <c r="CJ107" s="449"/>
      <c r="CK107" s="449"/>
      <c r="CL107" s="449"/>
      <c r="CM107" s="449"/>
      <c r="CN107" s="449"/>
      <c r="CO107" s="449"/>
      <c r="CP107" s="449"/>
      <c r="CQ107" s="449"/>
      <c r="CR107" s="449"/>
      <c r="CS107" s="449"/>
      <c r="CT107" s="449"/>
      <c r="CU107" s="449"/>
      <c r="CV107" s="449"/>
      <c r="CW107" s="449"/>
      <c r="CX107" s="449"/>
      <c r="CY107" s="449"/>
      <c r="CZ107" s="449"/>
      <c r="DA107" s="449"/>
      <c r="DB107" s="449"/>
      <c r="DC107" s="449"/>
      <c r="DD107" s="449"/>
      <c r="DE107" s="449"/>
      <c r="DF107" s="449"/>
      <c r="DG107" s="449"/>
      <c r="DH107" s="449"/>
      <c r="DI107" s="449"/>
      <c r="DJ107" s="449"/>
      <c r="DK107" s="449"/>
      <c r="DL107" s="449"/>
      <c r="DM107" s="449"/>
      <c r="DN107" s="449"/>
      <c r="DO107" s="449"/>
      <c r="DP107" s="449"/>
      <c r="DQ107" s="449"/>
      <c r="DR107" s="449"/>
      <c r="DS107" s="449"/>
      <c r="DT107" s="449"/>
      <c r="DU107" s="449"/>
      <c r="DV107" s="449"/>
      <c r="DW107" s="449"/>
      <c r="DX107" s="449"/>
      <c r="DY107" s="449"/>
      <c r="DZ107" s="449"/>
      <c r="EA107" s="449"/>
      <c r="EB107" s="449"/>
      <c r="EC107" s="449"/>
      <c r="ED107" s="449"/>
      <c r="EE107" s="449"/>
      <c r="EF107" s="449"/>
      <c r="EG107" s="449"/>
      <c r="EH107" s="449"/>
      <c r="EI107" s="449"/>
      <c r="EJ107" s="449"/>
      <c r="EK107" s="449"/>
      <c r="EL107" s="449"/>
      <c r="EM107" s="449"/>
      <c r="EN107" s="449"/>
      <c r="EO107" s="449"/>
      <c r="EP107" s="449"/>
      <c r="EQ107" s="449"/>
      <c r="ER107" s="449"/>
      <c r="ES107" s="449"/>
      <c r="ET107" s="449"/>
      <c r="EU107" s="449"/>
      <c r="EV107" s="449"/>
      <c r="EW107" s="449"/>
      <c r="EX107" s="449"/>
      <c r="EY107" s="449"/>
      <c r="EZ107" s="449"/>
      <c r="FA107" s="449"/>
      <c r="FB107" s="449"/>
      <c r="FC107" s="449"/>
      <c r="FD107" s="449"/>
      <c r="FE107" s="449"/>
      <c r="FF107" s="449"/>
      <c r="FG107" s="449"/>
      <c r="FH107" s="449"/>
      <c r="FI107" s="449"/>
      <c r="FJ107" s="449"/>
      <c r="FK107" s="449"/>
      <c r="FL107" s="449"/>
      <c r="FM107" s="449"/>
      <c r="FN107" s="449"/>
      <c r="FO107" s="449"/>
      <c r="FP107" s="449"/>
      <c r="FQ107" s="449"/>
      <c r="FR107" s="449"/>
      <c r="FS107" s="449"/>
      <c r="FT107" s="449"/>
      <c r="FU107" s="449"/>
      <c r="FV107" s="449"/>
      <c r="FW107" s="449"/>
      <c r="FX107" s="449"/>
      <c r="FY107" s="449"/>
      <c r="FZ107" s="449"/>
      <c r="GA107" s="449"/>
      <c r="GB107" s="449"/>
      <c r="GC107" s="449"/>
      <c r="GD107" s="449"/>
      <c r="GE107" s="449"/>
      <c r="GF107" s="449"/>
      <c r="GG107" s="449"/>
      <c r="GH107" s="449"/>
      <c r="GI107" s="449"/>
      <c r="GJ107" s="449"/>
      <c r="GK107" s="449"/>
      <c r="GL107" s="449"/>
      <c r="GM107" s="449"/>
      <c r="GN107" s="449"/>
      <c r="GO107" s="449"/>
      <c r="GP107" s="449"/>
      <c r="GQ107" s="449"/>
      <c r="GR107" s="449"/>
      <c r="GS107" s="449"/>
      <c r="GT107" s="449"/>
      <c r="GU107" s="449"/>
      <c r="GV107" s="449"/>
      <c r="GW107" s="449"/>
      <c r="GX107" s="449"/>
      <c r="GY107" s="449"/>
      <c r="GZ107" s="449"/>
      <c r="HA107" s="449"/>
      <c r="HB107" s="449"/>
      <c r="HC107" s="449"/>
      <c r="HD107" s="449"/>
      <c r="HE107" s="449"/>
      <c r="HF107" s="449"/>
      <c r="HG107" s="449"/>
      <c r="HH107" s="449"/>
      <c r="HI107" s="449"/>
      <c r="HJ107" s="449"/>
      <c r="HK107" s="449"/>
      <c r="HL107" s="449"/>
      <c r="HM107" s="449"/>
      <c r="HN107" s="449"/>
      <c r="HO107" s="449"/>
      <c r="HP107" s="449"/>
      <c r="HQ107" s="449"/>
      <c r="HR107" s="449"/>
      <c r="HS107" s="449"/>
      <c r="HT107" s="449"/>
      <c r="HU107" s="449"/>
      <c r="HV107" s="449"/>
      <c r="HW107" s="449"/>
      <c r="HX107" s="449"/>
      <c r="HY107" s="449"/>
      <c r="HZ107" s="449"/>
      <c r="IA107" s="449"/>
      <c r="IB107" s="449"/>
      <c r="IC107" s="449"/>
      <c r="ID107" s="449"/>
      <c r="IE107" s="449"/>
      <c r="IF107" s="449"/>
      <c r="IG107" s="449"/>
      <c r="IH107" s="449"/>
      <c r="II107" s="449"/>
      <c r="IJ107" s="449"/>
      <c r="IK107" s="449"/>
      <c r="IL107" s="449"/>
      <c r="IM107" s="449"/>
      <c r="IN107" s="449"/>
      <c r="IO107" s="449"/>
      <c r="IP107" s="449"/>
      <c r="IQ107" s="449"/>
      <c r="IR107" s="449"/>
      <c r="IS107" s="449"/>
      <c r="IT107" s="449"/>
      <c r="IU107" s="449"/>
      <c r="IV107" s="449"/>
      <c r="IW107" s="449"/>
      <c r="IX107" s="449"/>
      <c r="IY107" s="449"/>
    </row>
    <row r="108" spans="3:259" s="379" customFormat="1" ht="12.75" x14ac:dyDescent="0.2">
      <c r="C108" s="388" t="s">
        <v>886</v>
      </c>
      <c r="D108" s="389"/>
      <c r="E108" s="389"/>
      <c r="F108" s="389"/>
      <c r="G108" s="389"/>
      <c r="H108" s="389"/>
      <c r="I108" s="389"/>
      <c r="J108" s="389"/>
      <c r="K108" s="390"/>
      <c r="L108" s="390"/>
      <c r="M108" s="391" t="str">
        <f>IFERROR(K108/#REF!-1,"")</f>
        <v/>
      </c>
      <c r="N108" s="449"/>
      <c r="O108" s="449"/>
      <c r="P108" s="449"/>
      <c r="Q108" s="449"/>
      <c r="R108" s="449"/>
      <c r="S108" s="449"/>
      <c r="T108" s="449"/>
      <c r="U108" s="449"/>
      <c r="V108" s="449"/>
      <c r="W108" s="449"/>
      <c r="X108" s="449"/>
      <c r="Y108" s="449"/>
      <c r="Z108" s="449"/>
      <c r="AA108" s="449"/>
      <c r="AB108" s="449"/>
      <c r="AC108" s="449"/>
      <c r="AD108" s="449"/>
      <c r="AE108" s="449"/>
      <c r="AF108" s="449"/>
      <c r="AG108" s="449"/>
      <c r="AH108" s="449"/>
      <c r="AI108" s="449"/>
      <c r="AJ108" s="449"/>
      <c r="AK108" s="449"/>
      <c r="AL108" s="449"/>
      <c r="AM108" s="449"/>
      <c r="AN108" s="449"/>
      <c r="AO108" s="449"/>
      <c r="AP108" s="449"/>
      <c r="AQ108" s="449"/>
      <c r="AR108" s="449"/>
      <c r="AS108" s="449"/>
      <c r="AT108" s="449"/>
      <c r="AU108" s="449"/>
      <c r="AV108" s="449"/>
      <c r="AW108" s="449"/>
      <c r="AX108" s="449"/>
      <c r="AY108" s="449"/>
      <c r="AZ108" s="449"/>
      <c r="BA108" s="449"/>
      <c r="BB108" s="449"/>
      <c r="BC108" s="449"/>
      <c r="BD108" s="449"/>
      <c r="BE108" s="449"/>
      <c r="BF108" s="449"/>
      <c r="BG108" s="449"/>
      <c r="BH108" s="449"/>
      <c r="BI108" s="449"/>
      <c r="BJ108" s="449"/>
      <c r="BK108" s="449"/>
      <c r="BL108" s="449"/>
      <c r="BM108" s="449"/>
      <c r="BN108" s="449"/>
      <c r="BO108" s="449"/>
      <c r="BP108" s="449"/>
      <c r="BQ108" s="449"/>
      <c r="BR108" s="449"/>
      <c r="BS108" s="449"/>
      <c r="BT108" s="449"/>
      <c r="BU108" s="449"/>
      <c r="BV108" s="449"/>
      <c r="BW108" s="449"/>
      <c r="BX108" s="449"/>
      <c r="BY108" s="449"/>
      <c r="BZ108" s="449"/>
      <c r="CA108" s="449"/>
      <c r="CB108" s="449"/>
      <c r="CC108" s="449"/>
      <c r="CD108" s="449"/>
      <c r="CE108" s="449"/>
      <c r="CF108" s="449"/>
      <c r="CG108" s="449"/>
      <c r="CH108" s="449"/>
      <c r="CI108" s="449"/>
      <c r="CJ108" s="449"/>
      <c r="CK108" s="449"/>
      <c r="CL108" s="449"/>
      <c r="CM108" s="449"/>
      <c r="CN108" s="449"/>
      <c r="CO108" s="449"/>
      <c r="CP108" s="449"/>
      <c r="CQ108" s="449"/>
      <c r="CR108" s="449"/>
      <c r="CS108" s="449"/>
      <c r="CT108" s="449"/>
      <c r="CU108" s="449"/>
      <c r="CV108" s="449"/>
      <c r="CW108" s="449"/>
      <c r="CX108" s="449"/>
      <c r="CY108" s="449"/>
      <c r="CZ108" s="449"/>
      <c r="DA108" s="449"/>
      <c r="DB108" s="449"/>
      <c r="DC108" s="449"/>
      <c r="DD108" s="449"/>
      <c r="DE108" s="449"/>
      <c r="DF108" s="449"/>
      <c r="DG108" s="449"/>
      <c r="DH108" s="449"/>
      <c r="DI108" s="449"/>
      <c r="DJ108" s="449"/>
      <c r="DK108" s="449"/>
      <c r="DL108" s="449"/>
      <c r="DM108" s="449"/>
      <c r="DN108" s="449"/>
      <c r="DO108" s="449"/>
      <c r="DP108" s="449"/>
      <c r="DQ108" s="449"/>
      <c r="DR108" s="449"/>
      <c r="DS108" s="449"/>
      <c r="DT108" s="449"/>
      <c r="DU108" s="449"/>
      <c r="DV108" s="449"/>
      <c r="DW108" s="449"/>
      <c r="DX108" s="449"/>
      <c r="DY108" s="449"/>
      <c r="DZ108" s="449"/>
      <c r="EA108" s="449"/>
      <c r="EB108" s="449"/>
      <c r="EC108" s="449"/>
      <c r="ED108" s="449"/>
      <c r="EE108" s="449"/>
      <c r="EF108" s="449"/>
      <c r="EG108" s="449"/>
      <c r="EH108" s="449"/>
      <c r="EI108" s="449"/>
      <c r="EJ108" s="449"/>
      <c r="EK108" s="449"/>
      <c r="EL108" s="449"/>
      <c r="EM108" s="449"/>
      <c r="EN108" s="449"/>
      <c r="EO108" s="449"/>
      <c r="EP108" s="449"/>
      <c r="EQ108" s="449"/>
      <c r="ER108" s="449"/>
      <c r="ES108" s="449"/>
      <c r="ET108" s="449"/>
      <c r="EU108" s="449"/>
      <c r="EV108" s="449"/>
      <c r="EW108" s="449"/>
      <c r="EX108" s="449"/>
      <c r="EY108" s="449"/>
      <c r="EZ108" s="449"/>
      <c r="FA108" s="449"/>
      <c r="FB108" s="449"/>
      <c r="FC108" s="449"/>
      <c r="FD108" s="449"/>
      <c r="FE108" s="449"/>
      <c r="FF108" s="449"/>
      <c r="FG108" s="449"/>
      <c r="FH108" s="449"/>
      <c r="FI108" s="449"/>
      <c r="FJ108" s="449"/>
      <c r="FK108" s="449"/>
      <c r="FL108" s="449"/>
      <c r="FM108" s="449"/>
      <c r="FN108" s="449"/>
      <c r="FO108" s="449"/>
      <c r="FP108" s="449"/>
      <c r="FQ108" s="449"/>
      <c r="FR108" s="449"/>
      <c r="FS108" s="449"/>
      <c r="FT108" s="449"/>
      <c r="FU108" s="449"/>
      <c r="FV108" s="449"/>
      <c r="FW108" s="449"/>
      <c r="FX108" s="449"/>
      <c r="FY108" s="449"/>
      <c r="FZ108" s="449"/>
      <c r="GA108" s="449"/>
      <c r="GB108" s="449"/>
      <c r="GC108" s="449"/>
      <c r="GD108" s="449"/>
      <c r="GE108" s="449"/>
      <c r="GF108" s="449"/>
      <c r="GG108" s="449"/>
      <c r="GH108" s="449"/>
      <c r="GI108" s="449"/>
      <c r="GJ108" s="449"/>
      <c r="GK108" s="449"/>
      <c r="GL108" s="449"/>
      <c r="GM108" s="449"/>
      <c r="GN108" s="449"/>
      <c r="GO108" s="449"/>
      <c r="GP108" s="449"/>
      <c r="GQ108" s="449"/>
      <c r="GR108" s="449"/>
      <c r="GS108" s="449"/>
      <c r="GT108" s="449"/>
      <c r="GU108" s="449"/>
      <c r="GV108" s="449"/>
      <c r="GW108" s="449"/>
      <c r="GX108" s="449"/>
      <c r="GY108" s="449"/>
      <c r="GZ108" s="449"/>
      <c r="HA108" s="449"/>
      <c r="HB108" s="449"/>
      <c r="HC108" s="449"/>
      <c r="HD108" s="449"/>
      <c r="HE108" s="449"/>
      <c r="HF108" s="449"/>
      <c r="HG108" s="449"/>
      <c r="HH108" s="449"/>
      <c r="HI108" s="449"/>
      <c r="HJ108" s="449"/>
      <c r="HK108" s="449"/>
      <c r="HL108" s="449"/>
      <c r="HM108" s="449"/>
      <c r="HN108" s="449"/>
      <c r="HO108" s="449"/>
      <c r="HP108" s="449"/>
      <c r="HQ108" s="449"/>
      <c r="HR108" s="449"/>
      <c r="HS108" s="449"/>
      <c r="HT108" s="449"/>
      <c r="HU108" s="449"/>
      <c r="HV108" s="449"/>
      <c r="HW108" s="449"/>
      <c r="HX108" s="449"/>
      <c r="HY108" s="449"/>
      <c r="HZ108" s="449"/>
      <c r="IA108" s="449"/>
      <c r="IB108" s="449"/>
      <c r="IC108" s="449"/>
      <c r="ID108" s="449"/>
      <c r="IE108" s="449"/>
      <c r="IF108" s="449"/>
      <c r="IG108" s="449"/>
      <c r="IH108" s="449"/>
      <c r="II108" s="449"/>
      <c r="IJ108" s="449"/>
      <c r="IK108" s="449"/>
      <c r="IL108" s="449"/>
      <c r="IM108" s="449"/>
      <c r="IN108" s="449"/>
      <c r="IO108" s="449"/>
      <c r="IP108" s="449"/>
      <c r="IQ108" s="449"/>
      <c r="IR108" s="449"/>
      <c r="IS108" s="449"/>
      <c r="IT108" s="449"/>
      <c r="IU108" s="449"/>
      <c r="IV108" s="449"/>
      <c r="IW108" s="449"/>
      <c r="IX108" s="449"/>
      <c r="IY108" s="449"/>
    </row>
    <row r="109" spans="3:259" s="379" customFormat="1" ht="12.75" x14ac:dyDescent="0.2">
      <c r="C109" s="384" t="s">
        <v>903</v>
      </c>
      <c r="D109" s="385"/>
      <c r="E109" s="385"/>
      <c r="F109" s="385"/>
      <c r="G109" s="385"/>
      <c r="H109" s="385"/>
      <c r="I109" s="385"/>
      <c r="J109" s="385"/>
      <c r="K109" s="386"/>
      <c r="L109" s="386"/>
      <c r="M109" s="387" t="str">
        <f>IFERROR(K109/#REF!-1,"")</f>
        <v/>
      </c>
      <c r="N109" s="449"/>
      <c r="O109" s="449"/>
      <c r="P109" s="449"/>
      <c r="Q109" s="449"/>
      <c r="R109" s="449"/>
      <c r="S109" s="449"/>
      <c r="T109" s="449"/>
      <c r="U109" s="449"/>
      <c r="V109" s="449"/>
      <c r="W109" s="449"/>
      <c r="X109" s="449"/>
      <c r="Y109" s="449"/>
      <c r="Z109" s="449"/>
      <c r="AA109" s="449"/>
      <c r="AB109" s="449"/>
      <c r="AC109" s="449"/>
      <c r="AD109" s="449"/>
      <c r="AE109" s="449"/>
      <c r="AF109" s="449"/>
      <c r="AG109" s="449"/>
      <c r="AH109" s="449"/>
      <c r="AI109" s="449"/>
      <c r="AJ109" s="449"/>
      <c r="AK109" s="449"/>
      <c r="AL109" s="449"/>
      <c r="AM109" s="449"/>
      <c r="AN109" s="449"/>
      <c r="AO109" s="449"/>
      <c r="AP109" s="449"/>
      <c r="AQ109" s="449"/>
      <c r="AR109" s="449"/>
      <c r="AS109" s="449"/>
      <c r="AT109" s="449"/>
      <c r="AU109" s="449"/>
      <c r="AV109" s="449"/>
      <c r="AW109" s="449"/>
      <c r="AX109" s="449"/>
      <c r="AY109" s="449"/>
      <c r="AZ109" s="449"/>
      <c r="BA109" s="449"/>
      <c r="BB109" s="449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49"/>
      <c r="CV109" s="449"/>
      <c r="CW109" s="449"/>
      <c r="CX109" s="449"/>
      <c r="CY109" s="449"/>
      <c r="CZ109" s="449"/>
      <c r="DA109" s="449"/>
      <c r="DB109" s="449"/>
      <c r="DC109" s="449"/>
      <c r="DD109" s="449"/>
      <c r="DE109" s="449"/>
      <c r="DF109" s="449"/>
      <c r="DG109" s="449"/>
      <c r="DH109" s="449"/>
      <c r="DI109" s="449"/>
      <c r="DJ109" s="449"/>
      <c r="DK109" s="449"/>
      <c r="DL109" s="449"/>
      <c r="DM109" s="449"/>
      <c r="DN109" s="449"/>
      <c r="DO109" s="449"/>
      <c r="DP109" s="449"/>
      <c r="DQ109" s="449"/>
      <c r="DR109" s="449"/>
      <c r="DS109" s="449"/>
      <c r="DT109" s="449"/>
      <c r="DU109" s="449"/>
      <c r="DV109" s="449"/>
      <c r="DW109" s="449"/>
      <c r="DX109" s="449"/>
      <c r="DY109" s="449"/>
      <c r="DZ109" s="449"/>
      <c r="EA109" s="449"/>
      <c r="EB109" s="449"/>
      <c r="EC109" s="449"/>
      <c r="ED109" s="449"/>
      <c r="EE109" s="449"/>
      <c r="EF109" s="449"/>
      <c r="EG109" s="449"/>
      <c r="EH109" s="449"/>
      <c r="EI109" s="449"/>
      <c r="EJ109" s="449"/>
      <c r="EK109" s="449"/>
      <c r="EL109" s="449"/>
      <c r="EM109" s="449"/>
      <c r="EN109" s="449"/>
      <c r="EO109" s="449"/>
      <c r="EP109" s="449"/>
      <c r="EQ109" s="449"/>
      <c r="ER109" s="449"/>
      <c r="ES109" s="449"/>
      <c r="ET109" s="449"/>
      <c r="EU109" s="449"/>
      <c r="EV109" s="449"/>
      <c r="EW109" s="449"/>
      <c r="EX109" s="449"/>
      <c r="EY109" s="449"/>
      <c r="EZ109" s="449"/>
      <c r="FA109" s="449"/>
      <c r="FB109" s="449"/>
      <c r="FC109" s="449"/>
      <c r="FD109" s="449"/>
      <c r="FE109" s="449"/>
      <c r="FF109" s="449"/>
      <c r="FG109" s="449"/>
      <c r="FH109" s="449"/>
      <c r="FI109" s="449"/>
      <c r="FJ109" s="449"/>
      <c r="FK109" s="449"/>
      <c r="FL109" s="449"/>
      <c r="FM109" s="449"/>
      <c r="FN109" s="449"/>
      <c r="FO109" s="449"/>
      <c r="FP109" s="449"/>
      <c r="FQ109" s="449"/>
      <c r="FR109" s="449"/>
      <c r="FS109" s="449"/>
      <c r="FT109" s="449"/>
      <c r="FU109" s="449"/>
      <c r="FV109" s="449"/>
      <c r="FW109" s="449"/>
      <c r="FX109" s="449"/>
      <c r="FY109" s="449"/>
      <c r="FZ109" s="449"/>
      <c r="GA109" s="449"/>
      <c r="GB109" s="449"/>
      <c r="GC109" s="449"/>
      <c r="GD109" s="449"/>
      <c r="GE109" s="449"/>
      <c r="GF109" s="449"/>
      <c r="GG109" s="449"/>
      <c r="GH109" s="449"/>
      <c r="GI109" s="449"/>
      <c r="GJ109" s="449"/>
      <c r="GK109" s="449"/>
      <c r="GL109" s="449"/>
      <c r="GM109" s="449"/>
      <c r="GN109" s="449"/>
      <c r="GO109" s="449"/>
      <c r="GP109" s="449"/>
      <c r="GQ109" s="449"/>
      <c r="GR109" s="449"/>
      <c r="GS109" s="449"/>
      <c r="GT109" s="449"/>
      <c r="GU109" s="449"/>
      <c r="GV109" s="449"/>
      <c r="GW109" s="449"/>
      <c r="GX109" s="449"/>
      <c r="GY109" s="449"/>
      <c r="GZ109" s="449"/>
      <c r="HA109" s="449"/>
      <c r="HB109" s="449"/>
      <c r="HC109" s="449"/>
      <c r="HD109" s="449"/>
      <c r="HE109" s="449"/>
      <c r="HF109" s="449"/>
      <c r="HG109" s="449"/>
      <c r="HH109" s="449"/>
      <c r="HI109" s="449"/>
      <c r="HJ109" s="449"/>
      <c r="HK109" s="449"/>
      <c r="HL109" s="449"/>
      <c r="HM109" s="449"/>
      <c r="HN109" s="449"/>
      <c r="HO109" s="449"/>
      <c r="HP109" s="449"/>
      <c r="HQ109" s="449"/>
      <c r="HR109" s="449"/>
      <c r="HS109" s="449"/>
      <c r="HT109" s="449"/>
      <c r="HU109" s="449"/>
      <c r="HV109" s="449"/>
      <c r="HW109" s="449"/>
      <c r="HX109" s="449"/>
      <c r="HY109" s="449"/>
      <c r="HZ109" s="449"/>
      <c r="IA109" s="449"/>
      <c r="IB109" s="449"/>
      <c r="IC109" s="449"/>
      <c r="ID109" s="449"/>
      <c r="IE109" s="449"/>
      <c r="IF109" s="449"/>
      <c r="IG109" s="449"/>
      <c r="IH109" s="449"/>
      <c r="II109" s="449"/>
      <c r="IJ109" s="449"/>
      <c r="IK109" s="449"/>
      <c r="IL109" s="449"/>
      <c r="IM109" s="449"/>
      <c r="IN109" s="449"/>
      <c r="IO109" s="449"/>
      <c r="IP109" s="449"/>
      <c r="IQ109" s="449"/>
      <c r="IR109" s="449"/>
      <c r="IS109" s="449"/>
      <c r="IT109" s="449"/>
      <c r="IU109" s="449"/>
      <c r="IV109" s="449"/>
      <c r="IW109" s="449"/>
      <c r="IX109" s="449"/>
      <c r="IY109" s="449"/>
    </row>
    <row r="110" spans="3:259" s="379" customFormat="1" ht="12.75" x14ac:dyDescent="0.2">
      <c r="C110" s="388" t="s">
        <v>1047</v>
      </c>
      <c r="D110" s="389"/>
      <c r="E110" s="389"/>
      <c r="F110" s="389"/>
      <c r="G110" s="389"/>
      <c r="H110" s="389"/>
      <c r="I110" s="389"/>
      <c r="J110" s="389"/>
      <c r="K110" s="390"/>
      <c r="L110" s="390"/>
      <c r="M110" s="391" t="str">
        <f>IFERROR(K110/#REF!-1,"")</f>
        <v/>
      </c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49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49"/>
      <c r="CV110" s="449"/>
      <c r="CW110" s="449"/>
      <c r="CX110" s="449"/>
      <c r="CY110" s="449"/>
      <c r="CZ110" s="449"/>
      <c r="DA110" s="449"/>
      <c r="DB110" s="449"/>
      <c r="DC110" s="449"/>
      <c r="DD110" s="449"/>
      <c r="DE110" s="449"/>
      <c r="DF110" s="449"/>
      <c r="DG110" s="449"/>
      <c r="DH110" s="449"/>
      <c r="DI110" s="449"/>
      <c r="DJ110" s="449"/>
      <c r="DK110" s="449"/>
      <c r="DL110" s="449"/>
      <c r="DM110" s="449"/>
      <c r="DN110" s="449"/>
      <c r="DO110" s="449"/>
      <c r="DP110" s="449"/>
      <c r="DQ110" s="449"/>
      <c r="DR110" s="449"/>
      <c r="DS110" s="449"/>
      <c r="DT110" s="449"/>
      <c r="DU110" s="449"/>
      <c r="DV110" s="449"/>
      <c r="DW110" s="449"/>
      <c r="DX110" s="449"/>
      <c r="DY110" s="449"/>
      <c r="DZ110" s="449"/>
      <c r="EA110" s="449"/>
      <c r="EB110" s="449"/>
      <c r="EC110" s="449"/>
      <c r="ED110" s="449"/>
      <c r="EE110" s="449"/>
      <c r="EF110" s="449"/>
      <c r="EG110" s="449"/>
      <c r="EH110" s="449"/>
      <c r="EI110" s="449"/>
      <c r="EJ110" s="449"/>
      <c r="EK110" s="449"/>
      <c r="EL110" s="449"/>
      <c r="EM110" s="449"/>
      <c r="EN110" s="449"/>
      <c r="EO110" s="449"/>
      <c r="EP110" s="449"/>
      <c r="EQ110" s="449"/>
      <c r="ER110" s="449"/>
      <c r="ES110" s="449"/>
      <c r="ET110" s="449"/>
      <c r="EU110" s="449"/>
      <c r="EV110" s="449"/>
      <c r="EW110" s="449"/>
      <c r="EX110" s="449"/>
      <c r="EY110" s="449"/>
      <c r="EZ110" s="449"/>
      <c r="FA110" s="449"/>
      <c r="FB110" s="449"/>
      <c r="FC110" s="449"/>
      <c r="FD110" s="449"/>
      <c r="FE110" s="449"/>
      <c r="FF110" s="449"/>
      <c r="FG110" s="449"/>
      <c r="FH110" s="449"/>
      <c r="FI110" s="449"/>
      <c r="FJ110" s="449"/>
      <c r="FK110" s="449"/>
      <c r="FL110" s="449"/>
      <c r="FM110" s="449"/>
      <c r="FN110" s="449"/>
      <c r="FO110" s="449"/>
      <c r="FP110" s="449"/>
      <c r="FQ110" s="449"/>
      <c r="FR110" s="449"/>
      <c r="FS110" s="449"/>
      <c r="FT110" s="449"/>
      <c r="FU110" s="449"/>
      <c r="FV110" s="449"/>
      <c r="FW110" s="449"/>
      <c r="FX110" s="449"/>
      <c r="FY110" s="449"/>
      <c r="FZ110" s="449"/>
      <c r="GA110" s="449"/>
      <c r="GB110" s="449"/>
      <c r="GC110" s="449"/>
      <c r="GD110" s="449"/>
      <c r="GE110" s="449"/>
      <c r="GF110" s="449"/>
      <c r="GG110" s="449"/>
      <c r="GH110" s="449"/>
      <c r="GI110" s="449"/>
      <c r="GJ110" s="449"/>
      <c r="GK110" s="449"/>
      <c r="GL110" s="449"/>
      <c r="GM110" s="449"/>
      <c r="GN110" s="449"/>
      <c r="GO110" s="449"/>
      <c r="GP110" s="449"/>
      <c r="GQ110" s="449"/>
      <c r="GR110" s="449"/>
      <c r="GS110" s="449"/>
      <c r="GT110" s="449"/>
      <c r="GU110" s="449"/>
      <c r="GV110" s="449"/>
      <c r="GW110" s="449"/>
      <c r="GX110" s="449"/>
      <c r="GY110" s="449"/>
      <c r="GZ110" s="449"/>
      <c r="HA110" s="449"/>
      <c r="HB110" s="449"/>
      <c r="HC110" s="449"/>
      <c r="HD110" s="449"/>
      <c r="HE110" s="449"/>
      <c r="HF110" s="449"/>
      <c r="HG110" s="449"/>
      <c r="HH110" s="449"/>
      <c r="HI110" s="449"/>
      <c r="HJ110" s="449"/>
      <c r="HK110" s="449"/>
      <c r="HL110" s="449"/>
      <c r="HM110" s="449"/>
      <c r="HN110" s="449"/>
      <c r="HO110" s="449"/>
      <c r="HP110" s="449"/>
      <c r="HQ110" s="449"/>
      <c r="HR110" s="449"/>
      <c r="HS110" s="449"/>
      <c r="HT110" s="449"/>
      <c r="HU110" s="449"/>
      <c r="HV110" s="449"/>
      <c r="HW110" s="449"/>
      <c r="HX110" s="449"/>
      <c r="HY110" s="449"/>
      <c r="HZ110" s="449"/>
      <c r="IA110" s="449"/>
      <c r="IB110" s="449"/>
      <c r="IC110" s="449"/>
      <c r="ID110" s="449"/>
      <c r="IE110" s="449"/>
      <c r="IF110" s="449"/>
      <c r="IG110" s="449"/>
      <c r="IH110" s="449"/>
      <c r="II110" s="449"/>
      <c r="IJ110" s="449"/>
      <c r="IK110" s="449"/>
      <c r="IL110" s="449"/>
      <c r="IM110" s="449"/>
      <c r="IN110" s="449"/>
      <c r="IO110" s="449"/>
      <c r="IP110" s="449"/>
      <c r="IQ110" s="449"/>
      <c r="IR110" s="449"/>
      <c r="IS110" s="449"/>
      <c r="IT110" s="449"/>
      <c r="IU110" s="449"/>
      <c r="IV110" s="449"/>
      <c r="IW110" s="449"/>
      <c r="IX110" s="449"/>
      <c r="IY110" s="449"/>
    </row>
    <row r="111" spans="3:259" s="379" customFormat="1" ht="12.75" x14ac:dyDescent="0.2">
      <c r="C111" s="410" t="s">
        <v>1048</v>
      </c>
      <c r="D111" s="393" t="s">
        <v>877</v>
      </c>
      <c r="E111" s="410" t="s">
        <v>1049</v>
      </c>
      <c r="F111" s="410"/>
      <c r="G111" s="393">
        <v>1000</v>
      </c>
      <c r="H111" s="393">
        <v>160</v>
      </c>
      <c r="I111" s="393">
        <v>100</v>
      </c>
      <c r="J111" s="393">
        <v>21.4</v>
      </c>
      <c r="K111" s="397">
        <v>5714</v>
      </c>
      <c r="L111" s="397"/>
      <c r="M111" s="398">
        <f>K111*0.7</f>
        <v>3999.7999999999997</v>
      </c>
      <c r="N111" s="449"/>
      <c r="O111" s="449"/>
      <c r="P111" s="449"/>
      <c r="Q111" s="449"/>
      <c r="R111" s="449"/>
      <c r="S111" s="449"/>
      <c r="T111" s="449"/>
      <c r="U111" s="449"/>
      <c r="V111" s="449"/>
      <c r="W111" s="449"/>
      <c r="X111" s="449"/>
      <c r="Y111" s="449"/>
      <c r="Z111" s="449"/>
      <c r="AA111" s="449"/>
      <c r="AB111" s="449"/>
      <c r="AC111" s="449"/>
      <c r="AD111" s="449"/>
      <c r="AE111" s="449"/>
      <c r="AF111" s="449"/>
      <c r="AG111" s="449"/>
      <c r="AH111" s="449"/>
      <c r="AI111" s="449"/>
      <c r="AJ111" s="449"/>
      <c r="AK111" s="449"/>
      <c r="AL111" s="449"/>
      <c r="AM111" s="449"/>
      <c r="AN111" s="449"/>
      <c r="AO111" s="449"/>
      <c r="AP111" s="449"/>
      <c r="AQ111" s="449"/>
      <c r="AR111" s="449"/>
      <c r="AS111" s="449"/>
      <c r="AT111" s="449"/>
      <c r="AU111" s="449"/>
      <c r="AV111" s="449"/>
      <c r="AW111" s="449"/>
      <c r="AX111" s="449"/>
      <c r="AY111" s="449"/>
      <c r="AZ111" s="449"/>
      <c r="BA111" s="449"/>
      <c r="BB111" s="449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49"/>
      <c r="CV111" s="449"/>
      <c r="CW111" s="449"/>
      <c r="CX111" s="449"/>
      <c r="CY111" s="449"/>
      <c r="CZ111" s="449"/>
      <c r="DA111" s="449"/>
      <c r="DB111" s="449"/>
      <c r="DC111" s="449"/>
      <c r="DD111" s="449"/>
      <c r="DE111" s="449"/>
      <c r="DF111" s="449"/>
      <c r="DG111" s="449"/>
      <c r="DH111" s="449"/>
      <c r="DI111" s="449"/>
      <c r="DJ111" s="449"/>
      <c r="DK111" s="449"/>
      <c r="DL111" s="449"/>
      <c r="DM111" s="449"/>
      <c r="DN111" s="449"/>
      <c r="DO111" s="449"/>
      <c r="DP111" s="449"/>
      <c r="DQ111" s="449"/>
      <c r="DR111" s="449"/>
      <c r="DS111" s="449"/>
      <c r="DT111" s="449"/>
      <c r="DU111" s="449"/>
      <c r="DV111" s="449"/>
      <c r="DW111" s="449"/>
      <c r="DX111" s="449"/>
      <c r="DY111" s="449"/>
      <c r="DZ111" s="449"/>
      <c r="EA111" s="449"/>
      <c r="EB111" s="449"/>
      <c r="EC111" s="449"/>
      <c r="ED111" s="449"/>
      <c r="EE111" s="449"/>
      <c r="EF111" s="449"/>
      <c r="EG111" s="449"/>
      <c r="EH111" s="449"/>
      <c r="EI111" s="449"/>
      <c r="EJ111" s="449"/>
      <c r="EK111" s="449"/>
      <c r="EL111" s="449"/>
      <c r="EM111" s="449"/>
      <c r="EN111" s="449"/>
      <c r="EO111" s="449"/>
      <c r="EP111" s="449"/>
      <c r="EQ111" s="449"/>
      <c r="ER111" s="449"/>
      <c r="ES111" s="449"/>
      <c r="ET111" s="449"/>
      <c r="EU111" s="449"/>
      <c r="EV111" s="449"/>
      <c r="EW111" s="449"/>
      <c r="EX111" s="449"/>
      <c r="EY111" s="449"/>
      <c r="EZ111" s="449"/>
      <c r="FA111" s="449"/>
      <c r="FB111" s="449"/>
      <c r="FC111" s="449"/>
      <c r="FD111" s="449"/>
      <c r="FE111" s="449"/>
      <c r="FF111" s="449"/>
      <c r="FG111" s="449"/>
      <c r="FH111" s="449"/>
      <c r="FI111" s="449"/>
      <c r="FJ111" s="449"/>
      <c r="FK111" s="449"/>
      <c r="FL111" s="449"/>
      <c r="FM111" s="449"/>
      <c r="FN111" s="449"/>
      <c r="FO111" s="449"/>
      <c r="FP111" s="449"/>
      <c r="FQ111" s="449"/>
      <c r="FR111" s="449"/>
      <c r="FS111" s="449"/>
      <c r="FT111" s="449"/>
      <c r="FU111" s="449"/>
      <c r="FV111" s="449"/>
      <c r="FW111" s="449"/>
      <c r="FX111" s="449"/>
      <c r="FY111" s="449"/>
      <c r="FZ111" s="449"/>
      <c r="GA111" s="449"/>
      <c r="GB111" s="449"/>
      <c r="GC111" s="449"/>
      <c r="GD111" s="449"/>
      <c r="GE111" s="449"/>
      <c r="GF111" s="449"/>
      <c r="GG111" s="449"/>
      <c r="GH111" s="449"/>
      <c r="GI111" s="449"/>
      <c r="GJ111" s="449"/>
      <c r="GK111" s="449"/>
      <c r="GL111" s="449"/>
      <c r="GM111" s="449"/>
      <c r="GN111" s="449"/>
      <c r="GO111" s="449"/>
      <c r="GP111" s="449"/>
      <c r="GQ111" s="449"/>
      <c r="GR111" s="449"/>
      <c r="GS111" s="449"/>
      <c r="GT111" s="449"/>
      <c r="GU111" s="449"/>
      <c r="GV111" s="449"/>
      <c r="GW111" s="449"/>
      <c r="GX111" s="449"/>
      <c r="GY111" s="449"/>
      <c r="GZ111" s="449"/>
      <c r="HA111" s="449"/>
      <c r="HB111" s="449"/>
      <c r="HC111" s="449"/>
      <c r="HD111" s="449"/>
      <c r="HE111" s="449"/>
      <c r="HF111" s="449"/>
      <c r="HG111" s="449"/>
      <c r="HH111" s="449"/>
      <c r="HI111" s="449"/>
      <c r="HJ111" s="449"/>
      <c r="HK111" s="449"/>
      <c r="HL111" s="449"/>
      <c r="HM111" s="449"/>
      <c r="HN111" s="449"/>
      <c r="HO111" s="449"/>
      <c r="HP111" s="449"/>
      <c r="HQ111" s="449"/>
      <c r="HR111" s="449"/>
      <c r="HS111" s="449"/>
      <c r="HT111" s="449"/>
      <c r="HU111" s="449"/>
      <c r="HV111" s="449"/>
      <c r="HW111" s="449"/>
      <c r="HX111" s="449"/>
      <c r="HY111" s="449"/>
      <c r="HZ111" s="449"/>
      <c r="IA111" s="449"/>
      <c r="IB111" s="449"/>
      <c r="IC111" s="449"/>
      <c r="ID111" s="449"/>
      <c r="IE111" s="449"/>
      <c r="IF111" s="449"/>
      <c r="IG111" s="449"/>
      <c r="IH111" s="449"/>
      <c r="II111" s="449"/>
      <c r="IJ111" s="449"/>
      <c r="IK111" s="449"/>
      <c r="IL111" s="449"/>
      <c r="IM111" s="449"/>
      <c r="IN111" s="449"/>
      <c r="IO111" s="449"/>
      <c r="IP111" s="449"/>
      <c r="IQ111" s="449"/>
      <c r="IR111" s="449"/>
      <c r="IS111" s="449"/>
      <c r="IT111" s="449"/>
      <c r="IU111" s="449"/>
      <c r="IV111" s="449"/>
      <c r="IW111" s="449"/>
      <c r="IX111" s="449"/>
      <c r="IY111" s="449"/>
    </row>
    <row r="112" spans="3:259" s="379" customFormat="1" ht="12.75" x14ac:dyDescent="0.2">
      <c r="C112" s="410" t="s">
        <v>1050</v>
      </c>
      <c r="D112" s="393" t="s">
        <v>877</v>
      </c>
      <c r="E112" s="410" t="s">
        <v>1051</v>
      </c>
      <c r="F112" s="410"/>
      <c r="G112" s="393">
        <v>1000</v>
      </c>
      <c r="H112" s="393">
        <v>160</v>
      </c>
      <c r="I112" s="393">
        <v>210</v>
      </c>
      <c r="J112" s="393">
        <v>29.13</v>
      </c>
      <c r="K112" s="397">
        <v>6988</v>
      </c>
      <c r="L112" s="397"/>
      <c r="M112" s="398">
        <f>K112*0.7</f>
        <v>4891.5999999999995</v>
      </c>
      <c r="N112" s="449"/>
      <c r="O112" s="449"/>
      <c r="P112" s="449"/>
      <c r="Q112" s="449"/>
      <c r="R112" s="449"/>
      <c r="S112" s="449"/>
      <c r="T112" s="449"/>
      <c r="U112" s="449"/>
      <c r="V112" s="449"/>
      <c r="W112" s="449"/>
      <c r="X112" s="449"/>
      <c r="Y112" s="449"/>
      <c r="Z112" s="449"/>
      <c r="AA112" s="449"/>
      <c r="AB112" s="449"/>
      <c r="AC112" s="449"/>
      <c r="AD112" s="449"/>
      <c r="AE112" s="449"/>
      <c r="AF112" s="449"/>
      <c r="AG112" s="449"/>
      <c r="AH112" s="449"/>
      <c r="AI112" s="449"/>
      <c r="AJ112" s="449"/>
      <c r="AK112" s="449"/>
      <c r="AL112" s="449"/>
      <c r="AM112" s="449"/>
      <c r="AN112" s="449"/>
      <c r="AO112" s="449"/>
      <c r="AP112" s="449"/>
      <c r="AQ112" s="449"/>
      <c r="AR112" s="449"/>
      <c r="AS112" s="449"/>
      <c r="AT112" s="449"/>
      <c r="AU112" s="449"/>
      <c r="AV112" s="449"/>
      <c r="AW112" s="449"/>
      <c r="AX112" s="449"/>
      <c r="AY112" s="449"/>
      <c r="AZ112" s="449"/>
      <c r="BA112" s="449"/>
      <c r="BB112" s="449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49"/>
      <c r="CV112" s="449"/>
      <c r="CW112" s="449"/>
      <c r="CX112" s="449"/>
      <c r="CY112" s="449"/>
      <c r="CZ112" s="449"/>
      <c r="DA112" s="449"/>
      <c r="DB112" s="449"/>
      <c r="DC112" s="449"/>
      <c r="DD112" s="449"/>
      <c r="DE112" s="449"/>
      <c r="DF112" s="449"/>
      <c r="DG112" s="449"/>
      <c r="DH112" s="449"/>
      <c r="DI112" s="449"/>
      <c r="DJ112" s="449"/>
      <c r="DK112" s="449"/>
      <c r="DL112" s="449"/>
      <c r="DM112" s="449"/>
      <c r="DN112" s="449"/>
      <c r="DO112" s="449"/>
      <c r="DP112" s="449"/>
      <c r="DQ112" s="449"/>
      <c r="DR112" s="449"/>
      <c r="DS112" s="449"/>
      <c r="DT112" s="449"/>
      <c r="DU112" s="449"/>
      <c r="DV112" s="449"/>
      <c r="DW112" s="449"/>
      <c r="DX112" s="449"/>
      <c r="DY112" s="449"/>
      <c r="DZ112" s="449"/>
      <c r="EA112" s="449"/>
      <c r="EB112" s="449"/>
      <c r="EC112" s="449"/>
      <c r="ED112" s="449"/>
      <c r="EE112" s="449"/>
      <c r="EF112" s="449"/>
      <c r="EG112" s="449"/>
      <c r="EH112" s="449"/>
      <c r="EI112" s="449"/>
      <c r="EJ112" s="449"/>
      <c r="EK112" s="449"/>
      <c r="EL112" s="449"/>
      <c r="EM112" s="449"/>
      <c r="EN112" s="449"/>
      <c r="EO112" s="449"/>
      <c r="EP112" s="449"/>
      <c r="EQ112" s="449"/>
      <c r="ER112" s="449"/>
      <c r="ES112" s="449"/>
      <c r="ET112" s="449"/>
      <c r="EU112" s="449"/>
      <c r="EV112" s="449"/>
      <c r="EW112" s="449"/>
      <c r="EX112" s="449"/>
      <c r="EY112" s="449"/>
      <c r="EZ112" s="449"/>
      <c r="FA112" s="449"/>
      <c r="FB112" s="449"/>
      <c r="FC112" s="449"/>
      <c r="FD112" s="449"/>
      <c r="FE112" s="449"/>
      <c r="FF112" s="449"/>
      <c r="FG112" s="449"/>
      <c r="FH112" s="449"/>
      <c r="FI112" s="449"/>
      <c r="FJ112" s="449"/>
      <c r="FK112" s="449"/>
      <c r="FL112" s="449"/>
      <c r="FM112" s="449"/>
      <c r="FN112" s="449"/>
      <c r="FO112" s="449"/>
      <c r="FP112" s="449"/>
      <c r="FQ112" s="449"/>
      <c r="FR112" s="449"/>
      <c r="FS112" s="449"/>
      <c r="FT112" s="449"/>
      <c r="FU112" s="449"/>
      <c r="FV112" s="449"/>
      <c r="FW112" s="449"/>
      <c r="FX112" s="449"/>
      <c r="FY112" s="449"/>
      <c r="FZ112" s="449"/>
      <c r="GA112" s="449"/>
      <c r="GB112" s="449"/>
      <c r="GC112" s="449"/>
      <c r="GD112" s="449"/>
      <c r="GE112" s="449"/>
      <c r="GF112" s="449"/>
      <c r="GG112" s="449"/>
      <c r="GH112" s="449"/>
      <c r="GI112" s="449"/>
      <c r="GJ112" s="449"/>
      <c r="GK112" s="449"/>
      <c r="GL112" s="449"/>
      <c r="GM112" s="449"/>
      <c r="GN112" s="449"/>
      <c r="GO112" s="449"/>
      <c r="GP112" s="449"/>
      <c r="GQ112" s="449"/>
      <c r="GR112" s="449"/>
      <c r="GS112" s="449"/>
      <c r="GT112" s="449"/>
      <c r="GU112" s="449"/>
      <c r="GV112" s="449"/>
      <c r="GW112" s="449"/>
      <c r="GX112" s="449"/>
      <c r="GY112" s="449"/>
      <c r="GZ112" s="449"/>
      <c r="HA112" s="449"/>
      <c r="HB112" s="449"/>
      <c r="HC112" s="449"/>
      <c r="HD112" s="449"/>
      <c r="HE112" s="449"/>
      <c r="HF112" s="449"/>
      <c r="HG112" s="449"/>
      <c r="HH112" s="449"/>
      <c r="HI112" s="449"/>
      <c r="HJ112" s="449"/>
      <c r="HK112" s="449"/>
      <c r="HL112" s="449"/>
      <c r="HM112" s="449"/>
      <c r="HN112" s="449"/>
      <c r="HO112" s="449"/>
      <c r="HP112" s="449"/>
      <c r="HQ112" s="449"/>
      <c r="HR112" s="449"/>
      <c r="HS112" s="449"/>
      <c r="HT112" s="449"/>
      <c r="HU112" s="449"/>
      <c r="HV112" s="449"/>
      <c r="HW112" s="449"/>
      <c r="HX112" s="449"/>
      <c r="HY112" s="449"/>
      <c r="HZ112" s="449"/>
      <c r="IA112" s="449"/>
      <c r="IB112" s="449"/>
      <c r="IC112" s="449"/>
      <c r="ID112" s="449"/>
      <c r="IE112" s="449"/>
      <c r="IF112" s="449"/>
      <c r="IG112" s="449"/>
      <c r="IH112" s="449"/>
      <c r="II112" s="449"/>
      <c r="IJ112" s="449"/>
      <c r="IK112" s="449"/>
      <c r="IL112" s="449"/>
      <c r="IM112" s="449"/>
      <c r="IN112" s="449"/>
      <c r="IO112" s="449"/>
      <c r="IP112" s="449"/>
      <c r="IQ112" s="449"/>
      <c r="IR112" s="449"/>
      <c r="IS112" s="449"/>
      <c r="IT112" s="449"/>
      <c r="IU112" s="449"/>
      <c r="IV112" s="449"/>
      <c r="IW112" s="449"/>
      <c r="IX112" s="449"/>
      <c r="IY112" s="449"/>
    </row>
    <row r="113" spans="3:259" s="379" customFormat="1" ht="12.75" x14ac:dyDescent="0.2">
      <c r="C113" s="410" t="s">
        <v>1052</v>
      </c>
      <c r="D113" s="393" t="s">
        <v>877</v>
      </c>
      <c r="E113" s="410" t="s">
        <v>1053</v>
      </c>
      <c r="F113" s="410"/>
      <c r="G113" s="393">
        <v>1000</v>
      </c>
      <c r="H113" s="393">
        <v>160</v>
      </c>
      <c r="I113" s="393">
        <v>260</v>
      </c>
      <c r="J113" s="393">
        <v>33.049999999999997</v>
      </c>
      <c r="K113" s="397">
        <v>7689</v>
      </c>
      <c r="L113" s="397"/>
      <c r="M113" s="398">
        <f>K113*0.7</f>
        <v>5382.2999999999993</v>
      </c>
      <c r="N113" s="449"/>
      <c r="O113" s="449"/>
      <c r="P113" s="449"/>
      <c r="Q113" s="449"/>
      <c r="R113" s="449"/>
      <c r="S113" s="449"/>
      <c r="T113" s="449"/>
      <c r="U113" s="449"/>
      <c r="V113" s="449"/>
      <c r="W113" s="449"/>
      <c r="X113" s="449"/>
      <c r="Y113" s="449"/>
      <c r="Z113" s="449"/>
      <c r="AA113" s="449"/>
      <c r="AB113" s="449"/>
      <c r="AC113" s="449"/>
      <c r="AD113" s="449"/>
      <c r="AE113" s="449"/>
      <c r="AF113" s="449"/>
      <c r="AG113" s="449"/>
      <c r="AH113" s="449"/>
      <c r="AI113" s="449"/>
      <c r="AJ113" s="449"/>
      <c r="AK113" s="449"/>
      <c r="AL113" s="449"/>
      <c r="AM113" s="449"/>
      <c r="AN113" s="449"/>
      <c r="AO113" s="449"/>
      <c r="AP113" s="449"/>
      <c r="AQ113" s="449"/>
      <c r="AR113" s="449"/>
      <c r="AS113" s="449"/>
      <c r="AT113" s="449"/>
      <c r="AU113" s="449"/>
      <c r="AV113" s="449"/>
      <c r="AW113" s="449"/>
      <c r="AX113" s="449"/>
      <c r="AY113" s="449"/>
      <c r="AZ113" s="449"/>
      <c r="BA113" s="449"/>
      <c r="BB113" s="449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49"/>
      <c r="CV113" s="449"/>
      <c r="CW113" s="449"/>
      <c r="CX113" s="449"/>
      <c r="CY113" s="449"/>
      <c r="CZ113" s="449"/>
      <c r="DA113" s="449"/>
      <c r="DB113" s="449"/>
      <c r="DC113" s="449"/>
      <c r="DD113" s="449"/>
      <c r="DE113" s="449"/>
      <c r="DF113" s="449"/>
      <c r="DG113" s="449"/>
      <c r="DH113" s="449"/>
      <c r="DI113" s="449"/>
      <c r="DJ113" s="449"/>
      <c r="DK113" s="449"/>
      <c r="DL113" s="449"/>
      <c r="DM113" s="449"/>
      <c r="DN113" s="449"/>
      <c r="DO113" s="449"/>
      <c r="DP113" s="449"/>
      <c r="DQ113" s="449"/>
      <c r="DR113" s="449"/>
      <c r="DS113" s="449"/>
      <c r="DT113" s="449"/>
      <c r="DU113" s="449"/>
      <c r="DV113" s="449"/>
      <c r="DW113" s="449"/>
      <c r="DX113" s="449"/>
      <c r="DY113" s="449"/>
      <c r="DZ113" s="449"/>
      <c r="EA113" s="449"/>
      <c r="EB113" s="449"/>
      <c r="EC113" s="449"/>
      <c r="ED113" s="449"/>
      <c r="EE113" s="449"/>
      <c r="EF113" s="449"/>
      <c r="EG113" s="449"/>
      <c r="EH113" s="449"/>
      <c r="EI113" s="449"/>
      <c r="EJ113" s="449"/>
      <c r="EK113" s="449"/>
      <c r="EL113" s="449"/>
      <c r="EM113" s="449"/>
      <c r="EN113" s="449"/>
      <c r="EO113" s="449"/>
      <c r="EP113" s="449"/>
      <c r="EQ113" s="449"/>
      <c r="ER113" s="449"/>
      <c r="ES113" s="449"/>
      <c r="ET113" s="449"/>
      <c r="EU113" s="449"/>
      <c r="EV113" s="449"/>
      <c r="EW113" s="449"/>
      <c r="EX113" s="449"/>
      <c r="EY113" s="449"/>
      <c r="EZ113" s="449"/>
      <c r="FA113" s="449"/>
      <c r="FB113" s="449"/>
      <c r="FC113" s="449"/>
      <c r="FD113" s="449"/>
      <c r="FE113" s="449"/>
      <c r="FF113" s="449"/>
      <c r="FG113" s="449"/>
      <c r="FH113" s="449"/>
      <c r="FI113" s="449"/>
      <c r="FJ113" s="449"/>
      <c r="FK113" s="449"/>
      <c r="FL113" s="449"/>
      <c r="FM113" s="449"/>
      <c r="FN113" s="449"/>
      <c r="FO113" s="449"/>
      <c r="FP113" s="449"/>
      <c r="FQ113" s="449"/>
      <c r="FR113" s="449"/>
      <c r="FS113" s="449"/>
      <c r="FT113" s="449"/>
      <c r="FU113" s="449"/>
      <c r="FV113" s="449"/>
      <c r="FW113" s="449"/>
      <c r="FX113" s="449"/>
      <c r="FY113" s="449"/>
      <c r="FZ113" s="449"/>
      <c r="GA113" s="449"/>
      <c r="GB113" s="449"/>
      <c r="GC113" s="449"/>
      <c r="GD113" s="449"/>
      <c r="GE113" s="449"/>
      <c r="GF113" s="449"/>
      <c r="GG113" s="449"/>
      <c r="GH113" s="449"/>
      <c r="GI113" s="449"/>
      <c r="GJ113" s="449"/>
      <c r="GK113" s="449"/>
      <c r="GL113" s="449"/>
      <c r="GM113" s="449"/>
      <c r="GN113" s="449"/>
      <c r="GO113" s="449"/>
      <c r="GP113" s="449"/>
      <c r="GQ113" s="449"/>
      <c r="GR113" s="449"/>
      <c r="GS113" s="449"/>
      <c r="GT113" s="449"/>
      <c r="GU113" s="449"/>
      <c r="GV113" s="449"/>
      <c r="GW113" s="449"/>
      <c r="GX113" s="449"/>
      <c r="GY113" s="449"/>
      <c r="GZ113" s="449"/>
      <c r="HA113" s="449"/>
      <c r="HB113" s="449"/>
      <c r="HC113" s="449"/>
      <c r="HD113" s="449"/>
      <c r="HE113" s="449"/>
      <c r="HF113" s="449"/>
      <c r="HG113" s="449"/>
      <c r="HH113" s="449"/>
      <c r="HI113" s="449"/>
      <c r="HJ113" s="449"/>
      <c r="HK113" s="449"/>
      <c r="HL113" s="449"/>
      <c r="HM113" s="449"/>
      <c r="HN113" s="449"/>
      <c r="HO113" s="449"/>
      <c r="HP113" s="449"/>
      <c r="HQ113" s="449"/>
      <c r="HR113" s="449"/>
      <c r="HS113" s="449"/>
      <c r="HT113" s="449"/>
      <c r="HU113" s="449"/>
      <c r="HV113" s="449"/>
      <c r="HW113" s="449"/>
      <c r="HX113" s="449"/>
      <c r="HY113" s="449"/>
      <c r="HZ113" s="449"/>
      <c r="IA113" s="449"/>
      <c r="IB113" s="449"/>
      <c r="IC113" s="449"/>
      <c r="ID113" s="449"/>
      <c r="IE113" s="449"/>
      <c r="IF113" s="449"/>
      <c r="IG113" s="449"/>
      <c r="IH113" s="449"/>
      <c r="II113" s="449"/>
      <c r="IJ113" s="449"/>
      <c r="IK113" s="449"/>
      <c r="IL113" s="449"/>
      <c r="IM113" s="449"/>
      <c r="IN113" s="449"/>
      <c r="IO113" s="449"/>
      <c r="IP113" s="449"/>
      <c r="IQ113" s="449"/>
      <c r="IR113" s="449"/>
      <c r="IS113" s="449"/>
      <c r="IT113" s="449"/>
      <c r="IU113" s="449"/>
      <c r="IV113" s="449"/>
      <c r="IW113" s="449"/>
      <c r="IX113" s="449"/>
      <c r="IY113" s="449"/>
    </row>
    <row r="114" spans="3:259" s="379" customFormat="1" ht="12.75" x14ac:dyDescent="0.2">
      <c r="C114" s="410" t="s">
        <v>1054</v>
      </c>
      <c r="D114" s="393" t="s">
        <v>877</v>
      </c>
      <c r="E114" s="410" t="s">
        <v>1055</v>
      </c>
      <c r="F114" s="410"/>
      <c r="G114" s="393"/>
      <c r="H114" s="393">
        <v>160</v>
      </c>
      <c r="I114" s="393">
        <v>500</v>
      </c>
      <c r="J114" s="393">
        <v>30.5</v>
      </c>
      <c r="K114" s="397">
        <v>5970</v>
      </c>
      <c r="L114" s="397"/>
      <c r="M114" s="398">
        <f>K114*0.7</f>
        <v>4179</v>
      </c>
      <c r="N114" s="449"/>
      <c r="O114" s="449"/>
      <c r="P114" s="449"/>
      <c r="Q114" s="449"/>
      <c r="R114" s="449"/>
      <c r="S114" s="449"/>
      <c r="T114" s="449"/>
      <c r="U114" s="449"/>
      <c r="V114" s="449"/>
      <c r="W114" s="449"/>
      <c r="X114" s="449"/>
      <c r="Y114" s="449"/>
      <c r="Z114" s="449"/>
      <c r="AA114" s="449"/>
      <c r="AB114" s="449"/>
      <c r="AC114" s="449"/>
      <c r="AD114" s="449"/>
      <c r="AE114" s="449"/>
      <c r="AF114" s="449"/>
      <c r="AG114" s="449"/>
      <c r="AH114" s="449"/>
      <c r="AI114" s="449"/>
      <c r="AJ114" s="449"/>
      <c r="AK114" s="449"/>
      <c r="AL114" s="449"/>
      <c r="AM114" s="449"/>
      <c r="AN114" s="449"/>
      <c r="AO114" s="449"/>
      <c r="AP114" s="449"/>
      <c r="AQ114" s="449"/>
      <c r="AR114" s="449"/>
      <c r="AS114" s="449"/>
      <c r="AT114" s="449"/>
      <c r="AU114" s="449"/>
      <c r="AV114" s="449"/>
      <c r="AW114" s="449"/>
      <c r="AX114" s="449"/>
      <c r="AY114" s="449"/>
      <c r="AZ114" s="449"/>
      <c r="BA114" s="449"/>
      <c r="BB114" s="449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49"/>
      <c r="CV114" s="449"/>
      <c r="CW114" s="449"/>
      <c r="CX114" s="449"/>
      <c r="CY114" s="449"/>
      <c r="CZ114" s="449"/>
      <c r="DA114" s="449"/>
      <c r="DB114" s="449"/>
      <c r="DC114" s="449"/>
      <c r="DD114" s="449"/>
      <c r="DE114" s="449"/>
      <c r="DF114" s="449"/>
      <c r="DG114" s="449"/>
      <c r="DH114" s="449"/>
      <c r="DI114" s="449"/>
      <c r="DJ114" s="449"/>
      <c r="DK114" s="449"/>
      <c r="DL114" s="449"/>
      <c r="DM114" s="449"/>
      <c r="DN114" s="449"/>
      <c r="DO114" s="449"/>
      <c r="DP114" s="449"/>
      <c r="DQ114" s="449"/>
      <c r="DR114" s="449"/>
      <c r="DS114" s="449"/>
      <c r="DT114" s="449"/>
      <c r="DU114" s="449"/>
      <c r="DV114" s="449"/>
      <c r="DW114" s="449"/>
      <c r="DX114" s="449"/>
      <c r="DY114" s="449"/>
      <c r="DZ114" s="449"/>
      <c r="EA114" s="449"/>
      <c r="EB114" s="449"/>
      <c r="EC114" s="449"/>
      <c r="ED114" s="449"/>
      <c r="EE114" s="449"/>
      <c r="EF114" s="449"/>
      <c r="EG114" s="449"/>
      <c r="EH114" s="449"/>
      <c r="EI114" s="449"/>
      <c r="EJ114" s="449"/>
      <c r="EK114" s="449"/>
      <c r="EL114" s="449"/>
      <c r="EM114" s="449"/>
      <c r="EN114" s="449"/>
      <c r="EO114" s="449"/>
      <c r="EP114" s="449"/>
      <c r="EQ114" s="449"/>
      <c r="ER114" s="449"/>
      <c r="ES114" s="449"/>
      <c r="ET114" s="449"/>
      <c r="EU114" s="449"/>
      <c r="EV114" s="449"/>
      <c r="EW114" s="449"/>
      <c r="EX114" s="449"/>
      <c r="EY114" s="449"/>
      <c r="EZ114" s="449"/>
      <c r="FA114" s="449"/>
      <c r="FB114" s="449"/>
      <c r="FC114" s="449"/>
      <c r="FD114" s="449"/>
      <c r="FE114" s="449"/>
      <c r="FF114" s="449"/>
      <c r="FG114" s="449"/>
      <c r="FH114" s="449"/>
      <c r="FI114" s="449"/>
      <c r="FJ114" s="449"/>
      <c r="FK114" s="449"/>
      <c r="FL114" s="449"/>
      <c r="FM114" s="449"/>
      <c r="FN114" s="449"/>
      <c r="FO114" s="449"/>
      <c r="FP114" s="449"/>
      <c r="FQ114" s="449"/>
      <c r="FR114" s="449"/>
      <c r="FS114" s="449"/>
      <c r="FT114" s="449"/>
      <c r="FU114" s="449"/>
      <c r="FV114" s="449"/>
      <c r="FW114" s="449"/>
      <c r="FX114" s="449"/>
      <c r="FY114" s="449"/>
      <c r="FZ114" s="449"/>
      <c r="GA114" s="449"/>
      <c r="GB114" s="449"/>
      <c r="GC114" s="449"/>
      <c r="GD114" s="449"/>
      <c r="GE114" s="449"/>
      <c r="GF114" s="449"/>
      <c r="GG114" s="449"/>
      <c r="GH114" s="449"/>
      <c r="GI114" s="449"/>
      <c r="GJ114" s="449"/>
      <c r="GK114" s="449"/>
      <c r="GL114" s="449"/>
      <c r="GM114" s="449"/>
      <c r="GN114" s="449"/>
      <c r="GO114" s="449"/>
      <c r="GP114" s="449"/>
      <c r="GQ114" s="449"/>
      <c r="GR114" s="449"/>
      <c r="GS114" s="449"/>
      <c r="GT114" s="449"/>
      <c r="GU114" s="449"/>
      <c r="GV114" s="449"/>
      <c r="GW114" s="449"/>
      <c r="GX114" s="449"/>
      <c r="GY114" s="449"/>
      <c r="GZ114" s="449"/>
      <c r="HA114" s="449"/>
      <c r="HB114" s="449"/>
      <c r="HC114" s="449"/>
      <c r="HD114" s="449"/>
      <c r="HE114" s="449"/>
      <c r="HF114" s="449"/>
      <c r="HG114" s="449"/>
      <c r="HH114" s="449"/>
      <c r="HI114" s="449"/>
      <c r="HJ114" s="449"/>
      <c r="HK114" s="449"/>
      <c r="HL114" s="449"/>
      <c r="HM114" s="449"/>
      <c r="HN114" s="449"/>
      <c r="HO114" s="449"/>
      <c r="HP114" s="449"/>
      <c r="HQ114" s="449"/>
      <c r="HR114" s="449"/>
      <c r="HS114" s="449"/>
      <c r="HT114" s="449"/>
      <c r="HU114" s="449"/>
      <c r="HV114" s="449"/>
      <c r="HW114" s="449"/>
      <c r="HX114" s="449"/>
      <c r="HY114" s="449"/>
      <c r="HZ114" s="449"/>
      <c r="IA114" s="449"/>
      <c r="IB114" s="449"/>
      <c r="IC114" s="449"/>
      <c r="ID114" s="449"/>
      <c r="IE114" s="449"/>
      <c r="IF114" s="449"/>
      <c r="IG114" s="449"/>
      <c r="IH114" s="449"/>
      <c r="II114" s="449"/>
      <c r="IJ114" s="449"/>
      <c r="IK114" s="449"/>
      <c r="IL114" s="449"/>
      <c r="IM114" s="449"/>
      <c r="IN114" s="449"/>
      <c r="IO114" s="449"/>
      <c r="IP114" s="449"/>
      <c r="IQ114" s="449"/>
      <c r="IR114" s="449"/>
      <c r="IS114" s="449"/>
      <c r="IT114" s="449"/>
      <c r="IU114" s="449"/>
      <c r="IV114" s="449"/>
      <c r="IW114" s="449"/>
      <c r="IX114" s="449"/>
      <c r="IY114" s="449"/>
    </row>
    <row r="115" spans="3:259" s="379" customFormat="1" ht="12.75" x14ac:dyDescent="0.2">
      <c r="C115" s="388" t="s">
        <v>1056</v>
      </c>
      <c r="D115" s="389"/>
      <c r="E115" s="389"/>
      <c r="F115" s="389"/>
      <c r="G115" s="389"/>
      <c r="H115" s="389"/>
      <c r="I115" s="389"/>
      <c r="J115" s="389"/>
      <c r="K115" s="390"/>
      <c r="L115" s="390"/>
      <c r="M115" s="391" t="str">
        <f>IFERROR(K115/#REF!-1,"")</f>
        <v/>
      </c>
      <c r="N115" s="449"/>
      <c r="O115" s="449"/>
      <c r="P115" s="449"/>
      <c r="Q115" s="449"/>
      <c r="R115" s="449"/>
      <c r="S115" s="449"/>
      <c r="T115" s="449"/>
      <c r="U115" s="449"/>
      <c r="V115" s="449"/>
      <c r="W115" s="449"/>
      <c r="X115" s="449"/>
      <c r="Y115" s="449"/>
      <c r="Z115" s="449"/>
      <c r="AA115" s="449"/>
      <c r="AB115" s="449"/>
      <c r="AC115" s="449"/>
      <c r="AD115" s="449"/>
      <c r="AE115" s="449"/>
      <c r="AF115" s="449"/>
      <c r="AG115" s="449"/>
      <c r="AH115" s="449"/>
      <c r="AI115" s="449"/>
      <c r="AJ115" s="449"/>
      <c r="AK115" s="449"/>
      <c r="AL115" s="449"/>
      <c r="AM115" s="449"/>
      <c r="AN115" s="449"/>
      <c r="AO115" s="449"/>
      <c r="AP115" s="449"/>
      <c r="AQ115" s="449"/>
      <c r="AR115" s="449"/>
      <c r="AS115" s="449"/>
      <c r="AT115" s="449"/>
      <c r="AU115" s="449"/>
      <c r="AV115" s="449"/>
      <c r="AW115" s="449"/>
      <c r="AX115" s="449"/>
      <c r="AY115" s="449"/>
      <c r="AZ115" s="449"/>
      <c r="BA115" s="449"/>
      <c r="BB115" s="449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49"/>
      <c r="CV115" s="449"/>
      <c r="CW115" s="449"/>
      <c r="CX115" s="449"/>
      <c r="CY115" s="449"/>
      <c r="CZ115" s="449"/>
      <c r="DA115" s="449"/>
      <c r="DB115" s="449"/>
      <c r="DC115" s="449"/>
      <c r="DD115" s="449"/>
      <c r="DE115" s="449"/>
      <c r="DF115" s="449"/>
      <c r="DG115" s="449"/>
      <c r="DH115" s="449"/>
      <c r="DI115" s="449"/>
      <c r="DJ115" s="449"/>
      <c r="DK115" s="449"/>
      <c r="DL115" s="449"/>
      <c r="DM115" s="449"/>
      <c r="DN115" s="449"/>
      <c r="DO115" s="449"/>
      <c r="DP115" s="449"/>
      <c r="DQ115" s="449"/>
      <c r="DR115" s="449"/>
      <c r="DS115" s="449"/>
      <c r="DT115" s="449"/>
      <c r="DU115" s="449"/>
      <c r="DV115" s="449"/>
      <c r="DW115" s="449"/>
      <c r="DX115" s="449"/>
      <c r="DY115" s="449"/>
      <c r="DZ115" s="449"/>
      <c r="EA115" s="449"/>
      <c r="EB115" s="449"/>
      <c r="EC115" s="449"/>
      <c r="ED115" s="449"/>
      <c r="EE115" s="449"/>
      <c r="EF115" s="449"/>
      <c r="EG115" s="449"/>
      <c r="EH115" s="449"/>
      <c r="EI115" s="449"/>
      <c r="EJ115" s="449"/>
      <c r="EK115" s="449"/>
      <c r="EL115" s="449"/>
      <c r="EM115" s="449"/>
      <c r="EN115" s="449"/>
      <c r="EO115" s="449"/>
      <c r="EP115" s="449"/>
      <c r="EQ115" s="449"/>
      <c r="ER115" s="449"/>
      <c r="ES115" s="449"/>
      <c r="ET115" s="449"/>
      <c r="EU115" s="449"/>
      <c r="EV115" s="449"/>
      <c r="EW115" s="449"/>
      <c r="EX115" s="449"/>
      <c r="EY115" s="449"/>
      <c r="EZ115" s="449"/>
      <c r="FA115" s="449"/>
      <c r="FB115" s="449"/>
      <c r="FC115" s="449"/>
      <c r="FD115" s="449"/>
      <c r="FE115" s="449"/>
      <c r="FF115" s="449"/>
      <c r="FG115" s="449"/>
      <c r="FH115" s="449"/>
      <c r="FI115" s="449"/>
      <c r="FJ115" s="449"/>
      <c r="FK115" s="449"/>
      <c r="FL115" s="449"/>
      <c r="FM115" s="449"/>
      <c r="FN115" s="449"/>
      <c r="FO115" s="449"/>
      <c r="FP115" s="449"/>
      <c r="FQ115" s="449"/>
      <c r="FR115" s="449"/>
      <c r="FS115" s="449"/>
      <c r="FT115" s="449"/>
      <c r="FU115" s="449"/>
      <c r="FV115" s="449"/>
      <c r="FW115" s="449"/>
      <c r="FX115" s="449"/>
      <c r="FY115" s="449"/>
      <c r="FZ115" s="449"/>
      <c r="GA115" s="449"/>
      <c r="GB115" s="449"/>
      <c r="GC115" s="449"/>
      <c r="GD115" s="449"/>
      <c r="GE115" s="449"/>
      <c r="GF115" s="449"/>
      <c r="GG115" s="449"/>
      <c r="GH115" s="449"/>
      <c r="GI115" s="449"/>
      <c r="GJ115" s="449"/>
      <c r="GK115" s="449"/>
      <c r="GL115" s="449"/>
      <c r="GM115" s="449"/>
      <c r="GN115" s="449"/>
      <c r="GO115" s="449"/>
      <c r="GP115" s="449"/>
      <c r="GQ115" s="449"/>
      <c r="GR115" s="449"/>
      <c r="GS115" s="449"/>
      <c r="GT115" s="449"/>
      <c r="GU115" s="449"/>
      <c r="GV115" s="449"/>
      <c r="GW115" s="449"/>
      <c r="GX115" s="449"/>
      <c r="GY115" s="449"/>
      <c r="GZ115" s="449"/>
      <c r="HA115" s="449"/>
      <c r="HB115" s="449"/>
      <c r="HC115" s="449"/>
      <c r="HD115" s="449"/>
      <c r="HE115" s="449"/>
      <c r="HF115" s="449"/>
      <c r="HG115" s="449"/>
      <c r="HH115" s="449"/>
      <c r="HI115" s="449"/>
      <c r="HJ115" s="449"/>
      <c r="HK115" s="449"/>
      <c r="HL115" s="449"/>
      <c r="HM115" s="449"/>
      <c r="HN115" s="449"/>
      <c r="HO115" s="449"/>
      <c r="HP115" s="449"/>
      <c r="HQ115" s="449"/>
      <c r="HR115" s="449"/>
      <c r="HS115" s="449"/>
      <c r="HT115" s="449"/>
      <c r="HU115" s="449"/>
      <c r="HV115" s="449"/>
      <c r="HW115" s="449"/>
      <c r="HX115" s="449"/>
      <c r="HY115" s="449"/>
      <c r="HZ115" s="449"/>
      <c r="IA115" s="449"/>
      <c r="IB115" s="449"/>
      <c r="IC115" s="449"/>
      <c r="ID115" s="449"/>
      <c r="IE115" s="449"/>
      <c r="IF115" s="449"/>
      <c r="IG115" s="449"/>
      <c r="IH115" s="449"/>
      <c r="II115" s="449"/>
      <c r="IJ115" s="449"/>
      <c r="IK115" s="449"/>
      <c r="IL115" s="449"/>
      <c r="IM115" s="449"/>
      <c r="IN115" s="449"/>
      <c r="IO115" s="449"/>
      <c r="IP115" s="449"/>
      <c r="IQ115" s="449"/>
      <c r="IR115" s="449"/>
      <c r="IS115" s="449"/>
      <c r="IT115" s="449"/>
      <c r="IU115" s="449"/>
      <c r="IV115" s="449"/>
      <c r="IW115" s="449"/>
      <c r="IX115" s="449"/>
      <c r="IY115" s="449"/>
    </row>
    <row r="116" spans="3:259" s="379" customFormat="1" ht="12.75" x14ac:dyDescent="0.2">
      <c r="C116" s="410" t="s">
        <v>1057</v>
      </c>
      <c r="D116" s="393" t="s">
        <v>867</v>
      </c>
      <c r="E116" s="410" t="s">
        <v>1058</v>
      </c>
      <c r="F116" s="410"/>
      <c r="G116" s="393">
        <v>1000</v>
      </c>
      <c r="H116" s="393">
        <v>160</v>
      </c>
      <c r="I116" s="393">
        <v>100</v>
      </c>
      <c r="J116" s="393">
        <f>J117-8</f>
        <v>22.33</v>
      </c>
      <c r="K116" s="397">
        <v>5970</v>
      </c>
      <c r="L116" s="397"/>
      <c r="M116" s="398">
        <f>K116*0.7</f>
        <v>4179</v>
      </c>
      <c r="N116" s="449"/>
      <c r="O116" s="449"/>
      <c r="P116" s="449"/>
      <c r="Q116" s="449"/>
      <c r="R116" s="449"/>
      <c r="S116" s="449"/>
      <c r="T116" s="449"/>
      <c r="U116" s="449"/>
      <c r="V116" s="449"/>
      <c r="W116" s="449"/>
      <c r="X116" s="449"/>
      <c r="Y116" s="449"/>
      <c r="Z116" s="449"/>
      <c r="AA116" s="449"/>
      <c r="AB116" s="449"/>
      <c r="AC116" s="449"/>
      <c r="AD116" s="449"/>
      <c r="AE116" s="449"/>
      <c r="AF116" s="449"/>
      <c r="AG116" s="449"/>
      <c r="AH116" s="449"/>
      <c r="AI116" s="449"/>
      <c r="AJ116" s="449"/>
      <c r="AK116" s="449"/>
      <c r="AL116" s="449"/>
      <c r="AM116" s="449"/>
      <c r="AN116" s="449"/>
      <c r="AO116" s="449"/>
      <c r="AP116" s="449"/>
      <c r="AQ116" s="449"/>
      <c r="AR116" s="449"/>
      <c r="AS116" s="449"/>
      <c r="AT116" s="449"/>
      <c r="AU116" s="449"/>
      <c r="AV116" s="449"/>
      <c r="AW116" s="449"/>
      <c r="AX116" s="449"/>
      <c r="AY116" s="449"/>
      <c r="AZ116" s="449"/>
      <c r="BA116" s="449"/>
      <c r="BB116" s="449"/>
      <c r="BC116" s="449"/>
      <c r="BD116" s="449"/>
      <c r="BE116" s="449"/>
      <c r="BF116" s="449"/>
      <c r="BG116" s="449"/>
      <c r="BH116" s="449"/>
      <c r="BI116" s="449"/>
      <c r="BJ116" s="449"/>
      <c r="BK116" s="449"/>
      <c r="BL116" s="449"/>
      <c r="BM116" s="449"/>
      <c r="BN116" s="449"/>
      <c r="BO116" s="449"/>
      <c r="BP116" s="449"/>
      <c r="BQ116" s="449"/>
      <c r="BR116" s="449"/>
      <c r="BS116" s="449"/>
      <c r="BT116" s="449"/>
      <c r="BU116" s="449"/>
      <c r="BV116" s="449"/>
      <c r="BW116" s="449"/>
      <c r="BX116" s="449"/>
      <c r="BY116" s="449"/>
      <c r="BZ116" s="449"/>
      <c r="CA116" s="449"/>
      <c r="CB116" s="449"/>
      <c r="CC116" s="449"/>
      <c r="CD116" s="449"/>
      <c r="CE116" s="449"/>
      <c r="CF116" s="449"/>
      <c r="CG116" s="449"/>
      <c r="CH116" s="449"/>
      <c r="CI116" s="449"/>
      <c r="CJ116" s="449"/>
      <c r="CK116" s="449"/>
      <c r="CL116" s="449"/>
      <c r="CM116" s="449"/>
      <c r="CN116" s="449"/>
      <c r="CO116" s="449"/>
      <c r="CP116" s="449"/>
      <c r="CQ116" s="449"/>
      <c r="CR116" s="449"/>
      <c r="CS116" s="449"/>
      <c r="CT116" s="449"/>
      <c r="CU116" s="449"/>
      <c r="CV116" s="449"/>
      <c r="CW116" s="449"/>
      <c r="CX116" s="449"/>
      <c r="CY116" s="449"/>
      <c r="CZ116" s="449"/>
      <c r="DA116" s="449"/>
      <c r="DB116" s="449"/>
      <c r="DC116" s="449"/>
      <c r="DD116" s="449"/>
      <c r="DE116" s="449"/>
      <c r="DF116" s="449"/>
      <c r="DG116" s="449"/>
      <c r="DH116" s="449"/>
      <c r="DI116" s="449"/>
      <c r="DJ116" s="449"/>
      <c r="DK116" s="449"/>
      <c r="DL116" s="449"/>
      <c r="DM116" s="449"/>
      <c r="DN116" s="449"/>
      <c r="DO116" s="449"/>
      <c r="DP116" s="449"/>
      <c r="DQ116" s="449"/>
      <c r="DR116" s="449"/>
      <c r="DS116" s="449"/>
      <c r="DT116" s="449"/>
      <c r="DU116" s="449"/>
      <c r="DV116" s="449"/>
      <c r="DW116" s="449"/>
      <c r="DX116" s="449"/>
      <c r="DY116" s="449"/>
      <c r="DZ116" s="449"/>
      <c r="EA116" s="449"/>
      <c r="EB116" s="449"/>
      <c r="EC116" s="449"/>
      <c r="ED116" s="449"/>
      <c r="EE116" s="449"/>
      <c r="EF116" s="449"/>
      <c r="EG116" s="449"/>
      <c r="EH116" s="449"/>
      <c r="EI116" s="449"/>
      <c r="EJ116" s="449"/>
      <c r="EK116" s="449"/>
      <c r="EL116" s="449"/>
      <c r="EM116" s="449"/>
      <c r="EN116" s="449"/>
      <c r="EO116" s="449"/>
      <c r="EP116" s="449"/>
      <c r="EQ116" s="449"/>
      <c r="ER116" s="449"/>
      <c r="ES116" s="449"/>
      <c r="ET116" s="449"/>
      <c r="EU116" s="449"/>
      <c r="EV116" s="449"/>
      <c r="EW116" s="449"/>
      <c r="EX116" s="449"/>
      <c r="EY116" s="449"/>
      <c r="EZ116" s="449"/>
      <c r="FA116" s="449"/>
      <c r="FB116" s="449"/>
      <c r="FC116" s="449"/>
      <c r="FD116" s="449"/>
      <c r="FE116" s="449"/>
      <c r="FF116" s="449"/>
      <c r="FG116" s="449"/>
      <c r="FH116" s="449"/>
      <c r="FI116" s="449"/>
      <c r="FJ116" s="449"/>
      <c r="FK116" s="449"/>
      <c r="FL116" s="449"/>
      <c r="FM116" s="449"/>
      <c r="FN116" s="449"/>
      <c r="FO116" s="449"/>
      <c r="FP116" s="449"/>
      <c r="FQ116" s="449"/>
      <c r="FR116" s="449"/>
      <c r="FS116" s="449"/>
      <c r="FT116" s="449"/>
      <c r="FU116" s="449"/>
      <c r="FV116" s="449"/>
      <c r="FW116" s="449"/>
      <c r="FX116" s="449"/>
      <c r="FY116" s="449"/>
      <c r="FZ116" s="449"/>
      <c r="GA116" s="449"/>
      <c r="GB116" s="449"/>
      <c r="GC116" s="449"/>
      <c r="GD116" s="449"/>
      <c r="GE116" s="449"/>
      <c r="GF116" s="449"/>
      <c r="GG116" s="449"/>
      <c r="GH116" s="449"/>
      <c r="GI116" s="449"/>
      <c r="GJ116" s="449"/>
      <c r="GK116" s="449"/>
      <c r="GL116" s="449"/>
      <c r="GM116" s="449"/>
      <c r="GN116" s="449"/>
      <c r="GO116" s="449"/>
      <c r="GP116" s="449"/>
      <c r="GQ116" s="449"/>
      <c r="GR116" s="449"/>
      <c r="GS116" s="449"/>
      <c r="GT116" s="449"/>
      <c r="GU116" s="449"/>
      <c r="GV116" s="449"/>
      <c r="GW116" s="449"/>
      <c r="GX116" s="449"/>
      <c r="GY116" s="449"/>
      <c r="GZ116" s="449"/>
      <c r="HA116" s="449"/>
      <c r="HB116" s="449"/>
      <c r="HC116" s="449"/>
      <c r="HD116" s="449"/>
      <c r="HE116" s="449"/>
      <c r="HF116" s="449"/>
      <c r="HG116" s="449"/>
      <c r="HH116" s="449"/>
      <c r="HI116" s="449"/>
      <c r="HJ116" s="449"/>
      <c r="HK116" s="449"/>
      <c r="HL116" s="449"/>
      <c r="HM116" s="449"/>
      <c r="HN116" s="449"/>
      <c r="HO116" s="449"/>
      <c r="HP116" s="449"/>
      <c r="HQ116" s="449"/>
      <c r="HR116" s="449"/>
      <c r="HS116" s="449"/>
      <c r="HT116" s="449"/>
      <c r="HU116" s="449"/>
      <c r="HV116" s="449"/>
      <c r="HW116" s="449"/>
      <c r="HX116" s="449"/>
      <c r="HY116" s="449"/>
      <c r="HZ116" s="449"/>
      <c r="IA116" s="449"/>
      <c r="IB116" s="449"/>
      <c r="IC116" s="449"/>
      <c r="ID116" s="449"/>
      <c r="IE116" s="449"/>
      <c r="IF116" s="449"/>
      <c r="IG116" s="449"/>
      <c r="IH116" s="449"/>
      <c r="II116" s="449"/>
      <c r="IJ116" s="449"/>
      <c r="IK116" s="449"/>
      <c r="IL116" s="449"/>
      <c r="IM116" s="449"/>
      <c r="IN116" s="449"/>
      <c r="IO116" s="449"/>
      <c r="IP116" s="449"/>
      <c r="IQ116" s="449"/>
      <c r="IR116" s="449"/>
      <c r="IS116" s="449"/>
      <c r="IT116" s="449"/>
      <c r="IU116" s="449"/>
      <c r="IV116" s="449"/>
      <c r="IW116" s="449"/>
      <c r="IX116" s="449"/>
      <c r="IY116" s="449"/>
    </row>
    <row r="117" spans="3:259" s="379" customFormat="1" ht="12.75" x14ac:dyDescent="0.2">
      <c r="C117" s="410" t="s">
        <v>1059</v>
      </c>
      <c r="D117" s="393" t="s">
        <v>867</v>
      </c>
      <c r="E117" s="410" t="s">
        <v>1060</v>
      </c>
      <c r="F117" s="410"/>
      <c r="G117" s="393">
        <v>1000</v>
      </c>
      <c r="H117" s="393">
        <v>160</v>
      </c>
      <c r="I117" s="393">
        <v>210</v>
      </c>
      <c r="J117" s="393">
        <v>30.33</v>
      </c>
      <c r="K117" s="397">
        <v>7804</v>
      </c>
      <c r="L117" s="397"/>
      <c r="M117" s="398">
        <f>K117*0.7</f>
        <v>5462.7999999999993</v>
      </c>
      <c r="N117" s="449"/>
      <c r="O117" s="449"/>
      <c r="P117" s="449"/>
      <c r="Q117" s="449"/>
      <c r="R117" s="449"/>
      <c r="S117" s="449"/>
      <c r="T117" s="449"/>
      <c r="U117" s="449"/>
      <c r="V117" s="449"/>
      <c r="W117" s="449"/>
      <c r="X117" s="449"/>
      <c r="Y117" s="449"/>
      <c r="Z117" s="449"/>
      <c r="AA117" s="449"/>
      <c r="AB117" s="449"/>
      <c r="AC117" s="449"/>
      <c r="AD117" s="449"/>
      <c r="AE117" s="449"/>
      <c r="AF117" s="449"/>
      <c r="AG117" s="449"/>
      <c r="AH117" s="449"/>
      <c r="AI117" s="449"/>
      <c r="AJ117" s="449"/>
      <c r="AK117" s="449"/>
      <c r="AL117" s="449"/>
      <c r="AM117" s="449"/>
      <c r="AN117" s="449"/>
      <c r="AO117" s="449"/>
      <c r="AP117" s="449"/>
      <c r="AQ117" s="449"/>
      <c r="AR117" s="449"/>
      <c r="AS117" s="449"/>
      <c r="AT117" s="449"/>
      <c r="AU117" s="449"/>
      <c r="AV117" s="449"/>
      <c r="AW117" s="449"/>
      <c r="AX117" s="449"/>
      <c r="AY117" s="449"/>
      <c r="AZ117" s="449"/>
      <c r="BA117" s="449"/>
      <c r="BB117" s="449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49"/>
      <c r="CV117" s="449"/>
      <c r="CW117" s="449"/>
      <c r="CX117" s="449"/>
      <c r="CY117" s="449"/>
      <c r="CZ117" s="449"/>
      <c r="DA117" s="449"/>
      <c r="DB117" s="449"/>
      <c r="DC117" s="449"/>
      <c r="DD117" s="449"/>
      <c r="DE117" s="449"/>
      <c r="DF117" s="449"/>
      <c r="DG117" s="449"/>
      <c r="DH117" s="449"/>
      <c r="DI117" s="449"/>
      <c r="DJ117" s="449"/>
      <c r="DK117" s="449"/>
      <c r="DL117" s="449"/>
      <c r="DM117" s="449"/>
      <c r="DN117" s="449"/>
      <c r="DO117" s="449"/>
      <c r="DP117" s="449"/>
      <c r="DQ117" s="449"/>
      <c r="DR117" s="449"/>
      <c r="DS117" s="449"/>
      <c r="DT117" s="449"/>
      <c r="DU117" s="449"/>
      <c r="DV117" s="449"/>
      <c r="DW117" s="449"/>
      <c r="DX117" s="449"/>
      <c r="DY117" s="449"/>
      <c r="DZ117" s="449"/>
      <c r="EA117" s="449"/>
      <c r="EB117" s="449"/>
      <c r="EC117" s="449"/>
      <c r="ED117" s="449"/>
      <c r="EE117" s="449"/>
      <c r="EF117" s="449"/>
      <c r="EG117" s="449"/>
      <c r="EH117" s="449"/>
      <c r="EI117" s="449"/>
      <c r="EJ117" s="449"/>
      <c r="EK117" s="449"/>
      <c r="EL117" s="449"/>
      <c r="EM117" s="449"/>
      <c r="EN117" s="449"/>
      <c r="EO117" s="449"/>
      <c r="EP117" s="449"/>
      <c r="EQ117" s="449"/>
      <c r="ER117" s="449"/>
      <c r="ES117" s="449"/>
      <c r="ET117" s="449"/>
      <c r="EU117" s="449"/>
      <c r="EV117" s="449"/>
      <c r="EW117" s="449"/>
      <c r="EX117" s="449"/>
      <c r="EY117" s="449"/>
      <c r="EZ117" s="449"/>
      <c r="FA117" s="449"/>
      <c r="FB117" s="449"/>
      <c r="FC117" s="449"/>
      <c r="FD117" s="449"/>
      <c r="FE117" s="449"/>
      <c r="FF117" s="449"/>
      <c r="FG117" s="449"/>
      <c r="FH117" s="449"/>
      <c r="FI117" s="449"/>
      <c r="FJ117" s="449"/>
      <c r="FK117" s="449"/>
      <c r="FL117" s="449"/>
      <c r="FM117" s="449"/>
      <c r="FN117" s="449"/>
      <c r="FO117" s="449"/>
      <c r="FP117" s="449"/>
      <c r="FQ117" s="449"/>
      <c r="FR117" s="449"/>
      <c r="FS117" s="449"/>
      <c r="FT117" s="449"/>
      <c r="FU117" s="449"/>
      <c r="FV117" s="449"/>
      <c r="FW117" s="449"/>
      <c r="FX117" s="449"/>
      <c r="FY117" s="449"/>
      <c r="FZ117" s="449"/>
      <c r="GA117" s="449"/>
      <c r="GB117" s="449"/>
      <c r="GC117" s="449"/>
      <c r="GD117" s="449"/>
      <c r="GE117" s="449"/>
      <c r="GF117" s="449"/>
      <c r="GG117" s="449"/>
      <c r="GH117" s="449"/>
      <c r="GI117" s="449"/>
      <c r="GJ117" s="449"/>
      <c r="GK117" s="449"/>
      <c r="GL117" s="449"/>
      <c r="GM117" s="449"/>
      <c r="GN117" s="449"/>
      <c r="GO117" s="449"/>
      <c r="GP117" s="449"/>
      <c r="GQ117" s="449"/>
      <c r="GR117" s="449"/>
      <c r="GS117" s="449"/>
      <c r="GT117" s="449"/>
      <c r="GU117" s="449"/>
      <c r="GV117" s="449"/>
      <c r="GW117" s="449"/>
      <c r="GX117" s="449"/>
      <c r="GY117" s="449"/>
      <c r="GZ117" s="449"/>
      <c r="HA117" s="449"/>
      <c r="HB117" s="449"/>
      <c r="HC117" s="449"/>
      <c r="HD117" s="449"/>
      <c r="HE117" s="449"/>
      <c r="HF117" s="449"/>
      <c r="HG117" s="449"/>
      <c r="HH117" s="449"/>
      <c r="HI117" s="449"/>
      <c r="HJ117" s="449"/>
      <c r="HK117" s="449"/>
      <c r="HL117" s="449"/>
      <c r="HM117" s="449"/>
      <c r="HN117" s="449"/>
      <c r="HO117" s="449"/>
      <c r="HP117" s="449"/>
      <c r="HQ117" s="449"/>
      <c r="HR117" s="449"/>
      <c r="HS117" s="449"/>
      <c r="HT117" s="449"/>
      <c r="HU117" s="449"/>
      <c r="HV117" s="449"/>
      <c r="HW117" s="449"/>
      <c r="HX117" s="449"/>
      <c r="HY117" s="449"/>
      <c r="HZ117" s="449"/>
      <c r="IA117" s="449"/>
      <c r="IB117" s="449"/>
      <c r="IC117" s="449"/>
      <c r="ID117" s="449"/>
      <c r="IE117" s="449"/>
      <c r="IF117" s="449"/>
      <c r="IG117" s="449"/>
      <c r="IH117" s="449"/>
      <c r="II117" s="449"/>
      <c r="IJ117" s="449"/>
      <c r="IK117" s="449"/>
      <c r="IL117" s="449"/>
      <c r="IM117" s="449"/>
      <c r="IN117" s="449"/>
      <c r="IO117" s="449"/>
      <c r="IP117" s="449"/>
      <c r="IQ117" s="449"/>
      <c r="IR117" s="449"/>
      <c r="IS117" s="449"/>
      <c r="IT117" s="449"/>
      <c r="IU117" s="449"/>
      <c r="IV117" s="449"/>
      <c r="IW117" s="449"/>
      <c r="IX117" s="449"/>
      <c r="IY117" s="449"/>
    </row>
    <row r="118" spans="3:259" s="379" customFormat="1" ht="12.75" x14ac:dyDescent="0.2">
      <c r="C118" s="410" t="s">
        <v>1061</v>
      </c>
      <c r="D118" s="393" t="s">
        <v>867</v>
      </c>
      <c r="E118" s="410" t="s">
        <v>1062</v>
      </c>
      <c r="F118" s="410"/>
      <c r="G118" s="393">
        <v>1000</v>
      </c>
      <c r="H118" s="393">
        <v>160</v>
      </c>
      <c r="I118" s="393">
        <v>260</v>
      </c>
      <c r="J118" s="393">
        <v>34.229999999999997</v>
      </c>
      <c r="K118" s="397">
        <v>8160</v>
      </c>
      <c r="L118" s="397"/>
      <c r="M118" s="398">
        <f>K118*0.7</f>
        <v>5712</v>
      </c>
      <c r="N118" s="449"/>
      <c r="O118" s="449"/>
      <c r="P118" s="449"/>
      <c r="Q118" s="449"/>
      <c r="R118" s="449"/>
      <c r="S118" s="449"/>
      <c r="T118" s="449"/>
      <c r="U118" s="449"/>
      <c r="V118" s="449"/>
      <c r="W118" s="449"/>
      <c r="X118" s="449"/>
      <c r="Y118" s="449"/>
      <c r="Z118" s="449"/>
      <c r="AA118" s="449"/>
      <c r="AB118" s="449"/>
      <c r="AC118" s="449"/>
      <c r="AD118" s="449"/>
      <c r="AE118" s="449"/>
      <c r="AF118" s="449"/>
      <c r="AG118" s="449"/>
      <c r="AH118" s="449"/>
      <c r="AI118" s="449"/>
      <c r="AJ118" s="449"/>
      <c r="AK118" s="449"/>
      <c r="AL118" s="449"/>
      <c r="AM118" s="449"/>
      <c r="AN118" s="449"/>
      <c r="AO118" s="449"/>
      <c r="AP118" s="449"/>
      <c r="AQ118" s="449"/>
      <c r="AR118" s="449"/>
      <c r="AS118" s="449"/>
      <c r="AT118" s="449"/>
      <c r="AU118" s="449"/>
      <c r="AV118" s="449"/>
      <c r="AW118" s="449"/>
      <c r="AX118" s="449"/>
      <c r="AY118" s="449"/>
      <c r="AZ118" s="449"/>
      <c r="BA118" s="449"/>
      <c r="BB118" s="449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49"/>
      <c r="CV118" s="449"/>
      <c r="CW118" s="449"/>
      <c r="CX118" s="449"/>
      <c r="CY118" s="449"/>
      <c r="CZ118" s="449"/>
      <c r="DA118" s="449"/>
      <c r="DB118" s="449"/>
      <c r="DC118" s="449"/>
      <c r="DD118" s="449"/>
      <c r="DE118" s="449"/>
      <c r="DF118" s="449"/>
      <c r="DG118" s="449"/>
      <c r="DH118" s="449"/>
      <c r="DI118" s="449"/>
      <c r="DJ118" s="449"/>
      <c r="DK118" s="449"/>
      <c r="DL118" s="449"/>
      <c r="DM118" s="449"/>
      <c r="DN118" s="449"/>
      <c r="DO118" s="449"/>
      <c r="DP118" s="449"/>
      <c r="DQ118" s="449"/>
      <c r="DR118" s="449"/>
      <c r="DS118" s="449"/>
      <c r="DT118" s="449"/>
      <c r="DU118" s="449"/>
      <c r="DV118" s="449"/>
      <c r="DW118" s="449"/>
      <c r="DX118" s="449"/>
      <c r="DY118" s="449"/>
      <c r="DZ118" s="449"/>
      <c r="EA118" s="449"/>
      <c r="EB118" s="449"/>
      <c r="EC118" s="449"/>
      <c r="ED118" s="449"/>
      <c r="EE118" s="449"/>
      <c r="EF118" s="449"/>
      <c r="EG118" s="449"/>
      <c r="EH118" s="449"/>
      <c r="EI118" s="449"/>
      <c r="EJ118" s="449"/>
      <c r="EK118" s="449"/>
      <c r="EL118" s="449"/>
      <c r="EM118" s="449"/>
      <c r="EN118" s="449"/>
      <c r="EO118" s="449"/>
      <c r="EP118" s="449"/>
      <c r="EQ118" s="449"/>
      <c r="ER118" s="449"/>
      <c r="ES118" s="449"/>
      <c r="ET118" s="449"/>
      <c r="EU118" s="449"/>
      <c r="EV118" s="449"/>
      <c r="EW118" s="449"/>
      <c r="EX118" s="449"/>
      <c r="EY118" s="449"/>
      <c r="EZ118" s="449"/>
      <c r="FA118" s="449"/>
      <c r="FB118" s="449"/>
      <c r="FC118" s="449"/>
      <c r="FD118" s="449"/>
      <c r="FE118" s="449"/>
      <c r="FF118" s="449"/>
      <c r="FG118" s="449"/>
      <c r="FH118" s="449"/>
      <c r="FI118" s="449"/>
      <c r="FJ118" s="449"/>
      <c r="FK118" s="449"/>
      <c r="FL118" s="449"/>
      <c r="FM118" s="449"/>
      <c r="FN118" s="449"/>
      <c r="FO118" s="449"/>
      <c r="FP118" s="449"/>
      <c r="FQ118" s="449"/>
      <c r="FR118" s="449"/>
      <c r="FS118" s="449"/>
      <c r="FT118" s="449"/>
      <c r="FU118" s="449"/>
      <c r="FV118" s="449"/>
      <c r="FW118" s="449"/>
      <c r="FX118" s="449"/>
      <c r="FY118" s="449"/>
      <c r="FZ118" s="449"/>
      <c r="GA118" s="449"/>
      <c r="GB118" s="449"/>
      <c r="GC118" s="449"/>
      <c r="GD118" s="449"/>
      <c r="GE118" s="449"/>
      <c r="GF118" s="449"/>
      <c r="GG118" s="449"/>
      <c r="GH118" s="449"/>
      <c r="GI118" s="449"/>
      <c r="GJ118" s="449"/>
      <c r="GK118" s="449"/>
      <c r="GL118" s="449"/>
      <c r="GM118" s="449"/>
      <c r="GN118" s="449"/>
      <c r="GO118" s="449"/>
      <c r="GP118" s="449"/>
      <c r="GQ118" s="449"/>
      <c r="GR118" s="449"/>
      <c r="GS118" s="449"/>
      <c r="GT118" s="449"/>
      <c r="GU118" s="449"/>
      <c r="GV118" s="449"/>
      <c r="GW118" s="449"/>
      <c r="GX118" s="449"/>
      <c r="GY118" s="449"/>
      <c r="GZ118" s="449"/>
      <c r="HA118" s="449"/>
      <c r="HB118" s="449"/>
      <c r="HC118" s="449"/>
      <c r="HD118" s="449"/>
      <c r="HE118" s="449"/>
      <c r="HF118" s="449"/>
      <c r="HG118" s="449"/>
      <c r="HH118" s="449"/>
      <c r="HI118" s="449"/>
      <c r="HJ118" s="449"/>
      <c r="HK118" s="449"/>
      <c r="HL118" s="449"/>
      <c r="HM118" s="449"/>
      <c r="HN118" s="449"/>
      <c r="HO118" s="449"/>
      <c r="HP118" s="449"/>
      <c r="HQ118" s="449"/>
      <c r="HR118" s="449"/>
      <c r="HS118" s="449"/>
      <c r="HT118" s="449"/>
      <c r="HU118" s="449"/>
      <c r="HV118" s="449"/>
      <c r="HW118" s="449"/>
      <c r="HX118" s="449"/>
      <c r="HY118" s="449"/>
      <c r="HZ118" s="449"/>
      <c r="IA118" s="449"/>
      <c r="IB118" s="449"/>
      <c r="IC118" s="449"/>
      <c r="ID118" s="449"/>
      <c r="IE118" s="449"/>
      <c r="IF118" s="449"/>
      <c r="IG118" s="449"/>
      <c r="IH118" s="449"/>
      <c r="II118" s="449"/>
      <c r="IJ118" s="449"/>
      <c r="IK118" s="449"/>
      <c r="IL118" s="449"/>
      <c r="IM118" s="449"/>
      <c r="IN118" s="449"/>
      <c r="IO118" s="449"/>
      <c r="IP118" s="449"/>
      <c r="IQ118" s="449"/>
      <c r="IR118" s="449"/>
      <c r="IS118" s="449"/>
      <c r="IT118" s="449"/>
      <c r="IU118" s="449"/>
      <c r="IV118" s="449"/>
      <c r="IW118" s="449"/>
      <c r="IX118" s="449"/>
      <c r="IY118" s="449"/>
    </row>
    <row r="119" spans="3:259" s="379" customFormat="1" ht="12.75" x14ac:dyDescent="0.2">
      <c r="C119" s="410" t="s">
        <v>1063</v>
      </c>
      <c r="D119" s="393" t="s">
        <v>867</v>
      </c>
      <c r="E119" s="410" t="s">
        <v>1064</v>
      </c>
      <c r="F119" s="410"/>
      <c r="G119" s="393">
        <v>500</v>
      </c>
      <c r="H119" s="393">
        <v>160</v>
      </c>
      <c r="I119" s="393">
        <v>500</v>
      </c>
      <c r="J119" s="393">
        <v>30.5</v>
      </c>
      <c r="K119" s="397">
        <v>6253</v>
      </c>
      <c r="L119" s="397"/>
      <c r="M119" s="398">
        <f>K119*0.7</f>
        <v>4377.0999999999995</v>
      </c>
      <c r="N119" s="449"/>
      <c r="O119" s="449"/>
      <c r="P119" s="449"/>
      <c r="Q119" s="449"/>
      <c r="R119" s="449"/>
      <c r="S119" s="449"/>
      <c r="T119" s="449"/>
      <c r="U119" s="449"/>
      <c r="V119" s="449"/>
      <c r="W119" s="449"/>
      <c r="X119" s="449"/>
      <c r="Y119" s="449"/>
      <c r="Z119" s="449"/>
      <c r="AA119" s="449"/>
      <c r="AB119" s="449"/>
      <c r="AC119" s="449"/>
      <c r="AD119" s="449"/>
      <c r="AE119" s="449"/>
      <c r="AF119" s="449"/>
      <c r="AG119" s="449"/>
      <c r="AH119" s="449"/>
      <c r="AI119" s="449"/>
      <c r="AJ119" s="449"/>
      <c r="AK119" s="449"/>
      <c r="AL119" s="449"/>
      <c r="AM119" s="449"/>
      <c r="AN119" s="449"/>
      <c r="AO119" s="449"/>
      <c r="AP119" s="449"/>
      <c r="AQ119" s="449"/>
      <c r="AR119" s="449"/>
      <c r="AS119" s="449"/>
      <c r="AT119" s="449"/>
      <c r="AU119" s="449"/>
      <c r="AV119" s="449"/>
      <c r="AW119" s="449"/>
      <c r="AX119" s="449"/>
      <c r="AY119" s="449"/>
      <c r="AZ119" s="449"/>
      <c r="BA119" s="449"/>
      <c r="BB119" s="449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49"/>
      <c r="CV119" s="449"/>
      <c r="CW119" s="449"/>
      <c r="CX119" s="449"/>
      <c r="CY119" s="449"/>
      <c r="CZ119" s="449"/>
      <c r="DA119" s="449"/>
      <c r="DB119" s="449"/>
      <c r="DC119" s="449"/>
      <c r="DD119" s="449"/>
      <c r="DE119" s="449"/>
      <c r="DF119" s="449"/>
      <c r="DG119" s="449"/>
      <c r="DH119" s="449"/>
      <c r="DI119" s="449"/>
      <c r="DJ119" s="449"/>
      <c r="DK119" s="449"/>
      <c r="DL119" s="449"/>
      <c r="DM119" s="449"/>
      <c r="DN119" s="449"/>
      <c r="DO119" s="449"/>
      <c r="DP119" s="449"/>
      <c r="DQ119" s="449"/>
      <c r="DR119" s="449"/>
      <c r="DS119" s="449"/>
      <c r="DT119" s="449"/>
      <c r="DU119" s="449"/>
      <c r="DV119" s="449"/>
      <c r="DW119" s="449"/>
      <c r="DX119" s="449"/>
      <c r="DY119" s="449"/>
      <c r="DZ119" s="449"/>
      <c r="EA119" s="449"/>
      <c r="EB119" s="449"/>
      <c r="EC119" s="449"/>
      <c r="ED119" s="449"/>
      <c r="EE119" s="449"/>
      <c r="EF119" s="449"/>
      <c r="EG119" s="449"/>
      <c r="EH119" s="449"/>
      <c r="EI119" s="449"/>
      <c r="EJ119" s="449"/>
      <c r="EK119" s="449"/>
      <c r="EL119" s="449"/>
      <c r="EM119" s="449"/>
      <c r="EN119" s="449"/>
      <c r="EO119" s="449"/>
      <c r="EP119" s="449"/>
      <c r="EQ119" s="449"/>
      <c r="ER119" s="449"/>
      <c r="ES119" s="449"/>
      <c r="ET119" s="449"/>
      <c r="EU119" s="449"/>
      <c r="EV119" s="449"/>
      <c r="EW119" s="449"/>
      <c r="EX119" s="449"/>
      <c r="EY119" s="449"/>
      <c r="EZ119" s="449"/>
      <c r="FA119" s="449"/>
      <c r="FB119" s="449"/>
      <c r="FC119" s="449"/>
      <c r="FD119" s="449"/>
      <c r="FE119" s="449"/>
      <c r="FF119" s="449"/>
      <c r="FG119" s="449"/>
      <c r="FH119" s="449"/>
      <c r="FI119" s="449"/>
      <c r="FJ119" s="449"/>
      <c r="FK119" s="449"/>
      <c r="FL119" s="449"/>
      <c r="FM119" s="449"/>
      <c r="FN119" s="449"/>
      <c r="FO119" s="449"/>
      <c r="FP119" s="449"/>
      <c r="FQ119" s="449"/>
      <c r="FR119" s="449"/>
      <c r="FS119" s="449"/>
      <c r="FT119" s="449"/>
      <c r="FU119" s="449"/>
      <c r="FV119" s="449"/>
      <c r="FW119" s="449"/>
      <c r="FX119" s="449"/>
      <c r="FY119" s="449"/>
      <c r="FZ119" s="449"/>
      <c r="GA119" s="449"/>
      <c r="GB119" s="449"/>
      <c r="GC119" s="449"/>
      <c r="GD119" s="449"/>
      <c r="GE119" s="449"/>
      <c r="GF119" s="449"/>
      <c r="GG119" s="449"/>
      <c r="GH119" s="449"/>
      <c r="GI119" s="449"/>
      <c r="GJ119" s="449"/>
      <c r="GK119" s="449"/>
      <c r="GL119" s="449"/>
      <c r="GM119" s="449"/>
      <c r="GN119" s="449"/>
      <c r="GO119" s="449"/>
      <c r="GP119" s="449"/>
      <c r="GQ119" s="449"/>
      <c r="GR119" s="449"/>
      <c r="GS119" s="449"/>
      <c r="GT119" s="449"/>
      <c r="GU119" s="449"/>
      <c r="GV119" s="449"/>
      <c r="GW119" s="449"/>
      <c r="GX119" s="449"/>
      <c r="GY119" s="449"/>
      <c r="GZ119" s="449"/>
      <c r="HA119" s="449"/>
      <c r="HB119" s="449"/>
      <c r="HC119" s="449"/>
      <c r="HD119" s="449"/>
      <c r="HE119" s="449"/>
      <c r="HF119" s="449"/>
      <c r="HG119" s="449"/>
      <c r="HH119" s="449"/>
      <c r="HI119" s="449"/>
      <c r="HJ119" s="449"/>
      <c r="HK119" s="449"/>
      <c r="HL119" s="449"/>
      <c r="HM119" s="449"/>
      <c r="HN119" s="449"/>
      <c r="HO119" s="449"/>
      <c r="HP119" s="449"/>
      <c r="HQ119" s="449"/>
      <c r="HR119" s="449"/>
      <c r="HS119" s="449"/>
      <c r="HT119" s="449"/>
      <c r="HU119" s="449"/>
      <c r="HV119" s="449"/>
      <c r="HW119" s="449"/>
      <c r="HX119" s="449"/>
      <c r="HY119" s="449"/>
      <c r="HZ119" s="449"/>
      <c r="IA119" s="449"/>
      <c r="IB119" s="449"/>
      <c r="IC119" s="449"/>
      <c r="ID119" s="449"/>
      <c r="IE119" s="449"/>
      <c r="IF119" s="449"/>
      <c r="IG119" s="449"/>
      <c r="IH119" s="449"/>
      <c r="II119" s="449"/>
      <c r="IJ119" s="449"/>
      <c r="IK119" s="449"/>
      <c r="IL119" s="449"/>
      <c r="IM119" s="449"/>
      <c r="IN119" s="449"/>
      <c r="IO119" s="449"/>
      <c r="IP119" s="449"/>
      <c r="IQ119" s="449"/>
      <c r="IR119" s="449"/>
      <c r="IS119" s="449"/>
      <c r="IT119" s="449"/>
      <c r="IU119" s="449"/>
      <c r="IV119" s="449"/>
      <c r="IW119" s="449"/>
      <c r="IX119" s="449"/>
      <c r="IY119" s="449"/>
    </row>
    <row r="120" spans="3:259" s="379" customFormat="1" ht="12.75" x14ac:dyDescent="0.2">
      <c r="C120" s="384" t="s">
        <v>922</v>
      </c>
      <c r="D120" s="385"/>
      <c r="E120" s="385"/>
      <c r="F120" s="385"/>
      <c r="G120" s="385"/>
      <c r="H120" s="385"/>
      <c r="I120" s="385"/>
      <c r="J120" s="385"/>
      <c r="K120" s="386"/>
      <c r="L120" s="386"/>
      <c r="M120" s="387" t="str">
        <f>IFERROR(K120/#REF!-1,"")</f>
        <v/>
      </c>
      <c r="N120" s="449"/>
      <c r="O120" s="449"/>
      <c r="P120" s="449"/>
      <c r="Q120" s="449"/>
      <c r="R120" s="449"/>
      <c r="S120" s="449"/>
      <c r="T120" s="449"/>
      <c r="U120" s="449"/>
      <c r="V120" s="449"/>
      <c r="W120" s="449"/>
      <c r="X120" s="449"/>
      <c r="Y120" s="449"/>
      <c r="Z120" s="449"/>
      <c r="AA120" s="449"/>
      <c r="AB120" s="449"/>
      <c r="AC120" s="449"/>
      <c r="AD120" s="449"/>
      <c r="AE120" s="449"/>
      <c r="AF120" s="449"/>
      <c r="AG120" s="449"/>
      <c r="AH120" s="449"/>
      <c r="AI120" s="449"/>
      <c r="AJ120" s="449"/>
      <c r="AK120" s="449"/>
      <c r="AL120" s="449"/>
      <c r="AM120" s="449"/>
      <c r="AN120" s="449"/>
      <c r="AO120" s="449"/>
      <c r="AP120" s="449"/>
      <c r="AQ120" s="449"/>
      <c r="AR120" s="449"/>
      <c r="AS120" s="449"/>
      <c r="AT120" s="449"/>
      <c r="AU120" s="449"/>
      <c r="AV120" s="449"/>
      <c r="AW120" s="449"/>
      <c r="AX120" s="449"/>
      <c r="AY120" s="449"/>
      <c r="AZ120" s="449"/>
      <c r="BA120" s="449"/>
      <c r="BB120" s="449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49"/>
      <c r="CV120" s="449"/>
      <c r="CW120" s="449"/>
      <c r="CX120" s="449"/>
      <c r="CY120" s="449"/>
      <c r="CZ120" s="449"/>
      <c r="DA120" s="449"/>
      <c r="DB120" s="449"/>
      <c r="DC120" s="449"/>
      <c r="DD120" s="449"/>
      <c r="DE120" s="449"/>
      <c r="DF120" s="449"/>
      <c r="DG120" s="449"/>
      <c r="DH120" s="449"/>
      <c r="DI120" s="449"/>
      <c r="DJ120" s="449"/>
      <c r="DK120" s="449"/>
      <c r="DL120" s="449"/>
      <c r="DM120" s="449"/>
      <c r="DN120" s="449"/>
      <c r="DO120" s="449"/>
      <c r="DP120" s="449"/>
      <c r="DQ120" s="449"/>
      <c r="DR120" s="449"/>
      <c r="DS120" s="449"/>
      <c r="DT120" s="449"/>
      <c r="DU120" s="449"/>
      <c r="DV120" s="449"/>
      <c r="DW120" s="449"/>
      <c r="DX120" s="449"/>
      <c r="DY120" s="449"/>
      <c r="DZ120" s="449"/>
      <c r="EA120" s="449"/>
      <c r="EB120" s="449"/>
      <c r="EC120" s="449"/>
      <c r="ED120" s="449"/>
      <c r="EE120" s="449"/>
      <c r="EF120" s="449"/>
      <c r="EG120" s="449"/>
      <c r="EH120" s="449"/>
      <c r="EI120" s="449"/>
      <c r="EJ120" s="449"/>
      <c r="EK120" s="449"/>
      <c r="EL120" s="449"/>
      <c r="EM120" s="449"/>
      <c r="EN120" s="449"/>
      <c r="EO120" s="449"/>
      <c r="EP120" s="449"/>
      <c r="EQ120" s="449"/>
      <c r="ER120" s="449"/>
      <c r="ES120" s="449"/>
      <c r="ET120" s="449"/>
      <c r="EU120" s="449"/>
      <c r="EV120" s="449"/>
      <c r="EW120" s="449"/>
      <c r="EX120" s="449"/>
      <c r="EY120" s="449"/>
      <c r="EZ120" s="449"/>
      <c r="FA120" s="449"/>
      <c r="FB120" s="449"/>
      <c r="FC120" s="449"/>
      <c r="FD120" s="449"/>
      <c r="FE120" s="449"/>
      <c r="FF120" s="449"/>
      <c r="FG120" s="449"/>
      <c r="FH120" s="449"/>
      <c r="FI120" s="449"/>
      <c r="FJ120" s="449"/>
      <c r="FK120" s="449"/>
      <c r="FL120" s="449"/>
      <c r="FM120" s="449"/>
      <c r="FN120" s="449"/>
      <c r="FO120" s="449"/>
      <c r="FP120" s="449"/>
      <c r="FQ120" s="449"/>
      <c r="FR120" s="449"/>
      <c r="FS120" s="449"/>
      <c r="FT120" s="449"/>
      <c r="FU120" s="449"/>
      <c r="FV120" s="449"/>
      <c r="FW120" s="449"/>
      <c r="FX120" s="449"/>
      <c r="FY120" s="449"/>
      <c r="FZ120" s="449"/>
      <c r="GA120" s="449"/>
      <c r="GB120" s="449"/>
      <c r="GC120" s="449"/>
      <c r="GD120" s="449"/>
      <c r="GE120" s="449"/>
      <c r="GF120" s="449"/>
      <c r="GG120" s="449"/>
      <c r="GH120" s="449"/>
      <c r="GI120" s="449"/>
      <c r="GJ120" s="449"/>
      <c r="GK120" s="449"/>
      <c r="GL120" s="449"/>
      <c r="GM120" s="449"/>
      <c r="GN120" s="449"/>
      <c r="GO120" s="449"/>
      <c r="GP120" s="449"/>
      <c r="GQ120" s="449"/>
      <c r="GR120" s="449"/>
      <c r="GS120" s="449"/>
      <c r="GT120" s="449"/>
      <c r="GU120" s="449"/>
      <c r="GV120" s="449"/>
      <c r="GW120" s="449"/>
      <c r="GX120" s="449"/>
      <c r="GY120" s="449"/>
      <c r="GZ120" s="449"/>
      <c r="HA120" s="449"/>
      <c r="HB120" s="449"/>
      <c r="HC120" s="449"/>
      <c r="HD120" s="449"/>
      <c r="HE120" s="449"/>
      <c r="HF120" s="449"/>
      <c r="HG120" s="449"/>
      <c r="HH120" s="449"/>
      <c r="HI120" s="449"/>
      <c r="HJ120" s="449"/>
      <c r="HK120" s="449"/>
      <c r="HL120" s="449"/>
      <c r="HM120" s="449"/>
      <c r="HN120" s="449"/>
      <c r="HO120" s="449"/>
      <c r="HP120" s="449"/>
      <c r="HQ120" s="449"/>
      <c r="HR120" s="449"/>
      <c r="HS120" s="449"/>
      <c r="HT120" s="449"/>
      <c r="HU120" s="449"/>
      <c r="HV120" s="449"/>
      <c r="HW120" s="449"/>
      <c r="HX120" s="449"/>
      <c r="HY120" s="449"/>
      <c r="HZ120" s="449"/>
      <c r="IA120" s="449"/>
      <c r="IB120" s="449"/>
      <c r="IC120" s="449"/>
      <c r="ID120" s="449"/>
      <c r="IE120" s="449"/>
      <c r="IF120" s="449"/>
      <c r="IG120" s="449"/>
      <c r="IH120" s="449"/>
      <c r="II120" s="449"/>
      <c r="IJ120" s="449"/>
      <c r="IK120" s="449"/>
      <c r="IL120" s="449"/>
      <c r="IM120" s="449"/>
      <c r="IN120" s="449"/>
      <c r="IO120" s="449"/>
      <c r="IP120" s="449"/>
      <c r="IQ120" s="449"/>
      <c r="IR120" s="449"/>
      <c r="IS120" s="449"/>
      <c r="IT120" s="449"/>
      <c r="IU120" s="449"/>
      <c r="IV120" s="449"/>
      <c r="IW120" s="449"/>
      <c r="IX120" s="449"/>
      <c r="IY120" s="449"/>
    </row>
    <row r="121" spans="3:259" s="379" customFormat="1" ht="12.75" x14ac:dyDescent="0.2">
      <c r="C121" s="388" t="s">
        <v>1065</v>
      </c>
      <c r="D121" s="389"/>
      <c r="E121" s="389"/>
      <c r="F121" s="389"/>
      <c r="G121" s="389"/>
      <c r="H121" s="389"/>
      <c r="I121" s="389"/>
      <c r="J121" s="389"/>
      <c r="K121" s="390"/>
      <c r="L121" s="390"/>
      <c r="M121" s="391" t="str">
        <f>IFERROR(K121/#REF!-1,"")</f>
        <v/>
      </c>
      <c r="N121" s="449"/>
      <c r="O121" s="449"/>
      <c r="P121" s="449"/>
      <c r="Q121" s="449"/>
      <c r="R121" s="449"/>
      <c r="S121" s="449"/>
      <c r="T121" s="449"/>
      <c r="U121" s="449"/>
      <c r="V121" s="449"/>
      <c r="W121" s="449"/>
      <c r="X121" s="449"/>
      <c r="Y121" s="449"/>
      <c r="Z121" s="449"/>
      <c r="AA121" s="449"/>
      <c r="AB121" s="449"/>
      <c r="AC121" s="449"/>
      <c r="AD121" s="449"/>
      <c r="AE121" s="449"/>
      <c r="AF121" s="449"/>
      <c r="AG121" s="449"/>
      <c r="AH121" s="449"/>
      <c r="AI121" s="449"/>
      <c r="AJ121" s="449"/>
      <c r="AK121" s="449"/>
      <c r="AL121" s="449"/>
      <c r="AM121" s="449"/>
      <c r="AN121" s="449"/>
      <c r="AO121" s="449"/>
      <c r="AP121" s="449"/>
      <c r="AQ121" s="449"/>
      <c r="AR121" s="449"/>
      <c r="AS121" s="449"/>
      <c r="AT121" s="449"/>
      <c r="AU121" s="449"/>
      <c r="AV121" s="449"/>
      <c r="AW121" s="449"/>
      <c r="AX121" s="449"/>
      <c r="AY121" s="449"/>
      <c r="AZ121" s="449"/>
      <c r="BA121" s="449"/>
      <c r="BB121" s="449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49"/>
      <c r="CV121" s="449"/>
      <c r="CW121" s="449"/>
      <c r="CX121" s="449"/>
      <c r="CY121" s="449"/>
      <c r="CZ121" s="449"/>
      <c r="DA121" s="449"/>
      <c r="DB121" s="449"/>
      <c r="DC121" s="449"/>
      <c r="DD121" s="449"/>
      <c r="DE121" s="449"/>
      <c r="DF121" s="449"/>
      <c r="DG121" s="449"/>
      <c r="DH121" s="449"/>
      <c r="DI121" s="449"/>
      <c r="DJ121" s="449"/>
      <c r="DK121" s="449"/>
      <c r="DL121" s="449"/>
      <c r="DM121" s="449"/>
      <c r="DN121" s="449"/>
      <c r="DO121" s="449"/>
      <c r="DP121" s="449"/>
      <c r="DQ121" s="449"/>
      <c r="DR121" s="449"/>
      <c r="DS121" s="449"/>
      <c r="DT121" s="449"/>
      <c r="DU121" s="449"/>
      <c r="DV121" s="449"/>
      <c r="DW121" s="449"/>
      <c r="DX121" s="449"/>
      <c r="DY121" s="449"/>
      <c r="DZ121" s="449"/>
      <c r="EA121" s="449"/>
      <c r="EB121" s="449"/>
      <c r="EC121" s="449"/>
      <c r="ED121" s="449"/>
      <c r="EE121" s="449"/>
      <c r="EF121" s="449"/>
      <c r="EG121" s="449"/>
      <c r="EH121" s="449"/>
      <c r="EI121" s="449"/>
      <c r="EJ121" s="449"/>
      <c r="EK121" s="449"/>
      <c r="EL121" s="449"/>
      <c r="EM121" s="449"/>
      <c r="EN121" s="449"/>
      <c r="EO121" s="449"/>
      <c r="EP121" s="449"/>
      <c r="EQ121" s="449"/>
      <c r="ER121" s="449"/>
      <c r="ES121" s="449"/>
      <c r="ET121" s="449"/>
      <c r="EU121" s="449"/>
      <c r="EV121" s="449"/>
      <c r="EW121" s="449"/>
      <c r="EX121" s="449"/>
      <c r="EY121" s="449"/>
      <c r="EZ121" s="449"/>
      <c r="FA121" s="449"/>
      <c r="FB121" s="449"/>
      <c r="FC121" s="449"/>
      <c r="FD121" s="449"/>
      <c r="FE121" s="449"/>
      <c r="FF121" s="449"/>
      <c r="FG121" s="449"/>
      <c r="FH121" s="449"/>
      <c r="FI121" s="449"/>
      <c r="FJ121" s="449"/>
      <c r="FK121" s="449"/>
      <c r="FL121" s="449"/>
      <c r="FM121" s="449"/>
      <c r="FN121" s="449"/>
      <c r="FO121" s="449"/>
      <c r="FP121" s="449"/>
      <c r="FQ121" s="449"/>
      <c r="FR121" s="449"/>
      <c r="FS121" s="449"/>
      <c r="FT121" s="449"/>
      <c r="FU121" s="449"/>
      <c r="FV121" s="449"/>
      <c r="FW121" s="449"/>
      <c r="FX121" s="449"/>
      <c r="FY121" s="449"/>
      <c r="FZ121" s="449"/>
      <c r="GA121" s="449"/>
      <c r="GB121" s="449"/>
      <c r="GC121" s="449"/>
      <c r="GD121" s="449"/>
      <c r="GE121" s="449"/>
      <c r="GF121" s="449"/>
      <c r="GG121" s="449"/>
      <c r="GH121" s="449"/>
      <c r="GI121" s="449"/>
      <c r="GJ121" s="449"/>
      <c r="GK121" s="449"/>
      <c r="GL121" s="449"/>
      <c r="GM121" s="449"/>
      <c r="GN121" s="449"/>
      <c r="GO121" s="449"/>
      <c r="GP121" s="449"/>
      <c r="GQ121" s="449"/>
      <c r="GR121" s="449"/>
      <c r="GS121" s="449"/>
      <c r="GT121" s="449"/>
      <c r="GU121" s="449"/>
      <c r="GV121" s="449"/>
      <c r="GW121" s="449"/>
      <c r="GX121" s="449"/>
      <c r="GY121" s="449"/>
      <c r="GZ121" s="449"/>
      <c r="HA121" s="449"/>
      <c r="HB121" s="449"/>
      <c r="HC121" s="449"/>
      <c r="HD121" s="449"/>
      <c r="HE121" s="449"/>
      <c r="HF121" s="449"/>
      <c r="HG121" s="449"/>
      <c r="HH121" s="449"/>
      <c r="HI121" s="449"/>
      <c r="HJ121" s="449"/>
      <c r="HK121" s="449"/>
      <c r="HL121" s="449"/>
      <c r="HM121" s="449"/>
      <c r="HN121" s="449"/>
      <c r="HO121" s="449"/>
      <c r="HP121" s="449"/>
      <c r="HQ121" s="449"/>
      <c r="HR121" s="449"/>
      <c r="HS121" s="449"/>
      <c r="HT121" s="449"/>
      <c r="HU121" s="449"/>
      <c r="HV121" s="449"/>
      <c r="HW121" s="449"/>
      <c r="HX121" s="449"/>
      <c r="HY121" s="449"/>
      <c r="HZ121" s="449"/>
      <c r="IA121" s="449"/>
      <c r="IB121" s="449"/>
      <c r="IC121" s="449"/>
      <c r="ID121" s="449"/>
      <c r="IE121" s="449"/>
      <c r="IF121" s="449"/>
      <c r="IG121" s="449"/>
      <c r="IH121" s="449"/>
      <c r="II121" s="449"/>
      <c r="IJ121" s="449"/>
      <c r="IK121" s="449"/>
      <c r="IL121" s="449"/>
      <c r="IM121" s="449"/>
      <c r="IN121" s="449"/>
      <c r="IO121" s="449"/>
      <c r="IP121" s="449"/>
      <c r="IQ121" s="449"/>
      <c r="IR121" s="449"/>
      <c r="IS121" s="449"/>
      <c r="IT121" s="449"/>
      <c r="IU121" s="449"/>
      <c r="IV121" s="449"/>
      <c r="IW121" s="449"/>
      <c r="IX121" s="449"/>
      <c r="IY121" s="449"/>
    </row>
    <row r="122" spans="3:259" s="379" customFormat="1" ht="12.75" x14ac:dyDescent="0.2">
      <c r="C122" s="392" t="s">
        <v>1066</v>
      </c>
      <c r="D122" s="393" t="s">
        <v>877</v>
      </c>
      <c r="E122" s="392" t="s">
        <v>1067</v>
      </c>
      <c r="F122" s="392"/>
      <c r="G122" s="393">
        <v>1000</v>
      </c>
      <c r="H122" s="393">
        <v>210</v>
      </c>
      <c r="I122" s="393">
        <v>100</v>
      </c>
      <c r="J122" s="393">
        <v>15.9</v>
      </c>
      <c r="K122" s="452">
        <v>3849</v>
      </c>
      <c r="L122" s="452"/>
      <c r="M122" s="453">
        <f>K122*0.7</f>
        <v>2694.2999999999997</v>
      </c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49"/>
      <c r="AG122" s="449"/>
      <c r="AH122" s="449"/>
      <c r="AI122" s="449"/>
      <c r="AJ122" s="449"/>
      <c r="AK122" s="449"/>
      <c r="AL122" s="449"/>
      <c r="AM122" s="449"/>
      <c r="AN122" s="449"/>
      <c r="AO122" s="449"/>
      <c r="AP122" s="449"/>
      <c r="AQ122" s="449"/>
      <c r="AR122" s="449"/>
      <c r="AS122" s="449"/>
      <c r="AT122" s="449"/>
      <c r="AU122" s="449"/>
      <c r="AV122" s="449"/>
      <c r="AW122" s="449"/>
      <c r="AX122" s="449"/>
      <c r="AY122" s="449"/>
      <c r="AZ122" s="449"/>
      <c r="BA122" s="449"/>
      <c r="BB122" s="449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49"/>
      <c r="CV122" s="449"/>
      <c r="CW122" s="449"/>
      <c r="CX122" s="449"/>
      <c r="CY122" s="449"/>
      <c r="CZ122" s="449"/>
      <c r="DA122" s="449"/>
      <c r="DB122" s="449"/>
      <c r="DC122" s="449"/>
      <c r="DD122" s="449"/>
      <c r="DE122" s="449"/>
      <c r="DF122" s="449"/>
      <c r="DG122" s="449"/>
      <c r="DH122" s="449"/>
      <c r="DI122" s="449"/>
      <c r="DJ122" s="449"/>
      <c r="DK122" s="449"/>
      <c r="DL122" s="449"/>
      <c r="DM122" s="449"/>
      <c r="DN122" s="449"/>
      <c r="DO122" s="449"/>
      <c r="DP122" s="449"/>
      <c r="DQ122" s="449"/>
      <c r="DR122" s="449"/>
      <c r="DS122" s="449"/>
      <c r="DT122" s="449"/>
      <c r="DU122" s="449"/>
      <c r="DV122" s="449"/>
      <c r="DW122" s="449"/>
      <c r="DX122" s="449"/>
      <c r="DY122" s="449"/>
      <c r="DZ122" s="449"/>
      <c r="EA122" s="449"/>
      <c r="EB122" s="449"/>
      <c r="EC122" s="449"/>
      <c r="ED122" s="449"/>
      <c r="EE122" s="449"/>
      <c r="EF122" s="449"/>
      <c r="EG122" s="449"/>
      <c r="EH122" s="449"/>
      <c r="EI122" s="449"/>
      <c r="EJ122" s="449"/>
      <c r="EK122" s="449"/>
      <c r="EL122" s="449"/>
      <c r="EM122" s="449"/>
      <c r="EN122" s="449"/>
      <c r="EO122" s="449"/>
      <c r="EP122" s="449"/>
      <c r="EQ122" s="449"/>
      <c r="ER122" s="449"/>
      <c r="ES122" s="449"/>
      <c r="ET122" s="449"/>
      <c r="EU122" s="449"/>
      <c r="EV122" s="449"/>
      <c r="EW122" s="449"/>
      <c r="EX122" s="449"/>
      <c r="EY122" s="449"/>
      <c r="EZ122" s="449"/>
      <c r="FA122" s="449"/>
      <c r="FB122" s="449"/>
      <c r="FC122" s="449"/>
      <c r="FD122" s="449"/>
      <c r="FE122" s="449"/>
      <c r="FF122" s="449"/>
      <c r="FG122" s="449"/>
      <c r="FH122" s="449"/>
      <c r="FI122" s="449"/>
      <c r="FJ122" s="449"/>
      <c r="FK122" s="449"/>
      <c r="FL122" s="449"/>
      <c r="FM122" s="449"/>
      <c r="FN122" s="449"/>
      <c r="FO122" s="449"/>
      <c r="FP122" s="449"/>
      <c r="FQ122" s="449"/>
      <c r="FR122" s="449"/>
      <c r="FS122" s="449"/>
      <c r="FT122" s="449"/>
      <c r="FU122" s="449"/>
      <c r="FV122" s="449"/>
      <c r="FW122" s="449"/>
      <c r="FX122" s="449"/>
      <c r="FY122" s="449"/>
      <c r="FZ122" s="449"/>
      <c r="GA122" s="449"/>
      <c r="GB122" s="449"/>
      <c r="GC122" s="449"/>
      <c r="GD122" s="449"/>
      <c r="GE122" s="449"/>
      <c r="GF122" s="449"/>
      <c r="GG122" s="449"/>
      <c r="GH122" s="449"/>
      <c r="GI122" s="449"/>
      <c r="GJ122" s="449"/>
      <c r="GK122" s="449"/>
      <c r="GL122" s="449"/>
      <c r="GM122" s="449"/>
      <c r="GN122" s="449"/>
      <c r="GO122" s="449"/>
      <c r="GP122" s="449"/>
      <c r="GQ122" s="449"/>
      <c r="GR122" s="449"/>
      <c r="GS122" s="449"/>
      <c r="GT122" s="449"/>
      <c r="GU122" s="449"/>
      <c r="GV122" s="449"/>
      <c r="GW122" s="449"/>
      <c r="GX122" s="449"/>
      <c r="GY122" s="449"/>
      <c r="GZ122" s="449"/>
      <c r="HA122" s="449"/>
      <c r="HB122" s="449"/>
      <c r="HC122" s="449"/>
      <c r="HD122" s="449"/>
      <c r="HE122" s="449"/>
      <c r="HF122" s="449"/>
      <c r="HG122" s="449"/>
      <c r="HH122" s="449"/>
      <c r="HI122" s="449"/>
      <c r="HJ122" s="449"/>
      <c r="HK122" s="449"/>
      <c r="HL122" s="449"/>
      <c r="HM122" s="449"/>
      <c r="HN122" s="449"/>
      <c r="HO122" s="449"/>
      <c r="HP122" s="449"/>
      <c r="HQ122" s="449"/>
      <c r="HR122" s="449"/>
      <c r="HS122" s="449"/>
      <c r="HT122" s="449"/>
      <c r="HU122" s="449"/>
      <c r="HV122" s="449"/>
      <c r="HW122" s="449"/>
      <c r="HX122" s="449"/>
      <c r="HY122" s="449"/>
      <c r="HZ122" s="449"/>
      <c r="IA122" s="449"/>
      <c r="IB122" s="449"/>
      <c r="IC122" s="449"/>
      <c r="ID122" s="449"/>
      <c r="IE122" s="449"/>
      <c r="IF122" s="449"/>
      <c r="IG122" s="449"/>
      <c r="IH122" s="449"/>
      <c r="II122" s="449"/>
      <c r="IJ122" s="449"/>
      <c r="IK122" s="449"/>
      <c r="IL122" s="449"/>
      <c r="IM122" s="449"/>
      <c r="IN122" s="449"/>
      <c r="IO122" s="449"/>
      <c r="IP122" s="449"/>
      <c r="IQ122" s="449"/>
      <c r="IR122" s="449"/>
      <c r="IS122" s="449"/>
      <c r="IT122" s="449"/>
      <c r="IU122" s="449"/>
      <c r="IV122" s="449"/>
      <c r="IW122" s="449"/>
      <c r="IX122" s="449"/>
      <c r="IY122" s="449"/>
    </row>
    <row r="123" spans="3:259" s="379" customFormat="1" ht="12.75" x14ac:dyDescent="0.2">
      <c r="C123" s="392" t="s">
        <v>1068</v>
      </c>
      <c r="D123" s="393" t="s">
        <v>877</v>
      </c>
      <c r="E123" s="392" t="s">
        <v>1069</v>
      </c>
      <c r="F123" s="392"/>
      <c r="G123" s="393">
        <v>1000</v>
      </c>
      <c r="H123" s="393">
        <v>210</v>
      </c>
      <c r="I123" s="393">
        <v>210</v>
      </c>
      <c r="J123" s="393">
        <v>22.58</v>
      </c>
      <c r="K123" s="452">
        <v>5105</v>
      </c>
      <c r="L123" s="452"/>
      <c r="M123" s="453">
        <f>K123*0.7</f>
        <v>3573.5</v>
      </c>
      <c r="N123" s="449"/>
      <c r="O123" s="449"/>
      <c r="P123" s="449"/>
      <c r="Q123" s="449"/>
      <c r="R123" s="449"/>
      <c r="S123" s="449"/>
      <c r="T123" s="449"/>
      <c r="U123" s="449"/>
      <c r="V123" s="449"/>
      <c r="W123" s="449"/>
      <c r="X123" s="449"/>
      <c r="Y123" s="449"/>
      <c r="Z123" s="449"/>
      <c r="AA123" s="449"/>
      <c r="AB123" s="449"/>
      <c r="AC123" s="449"/>
      <c r="AD123" s="449"/>
      <c r="AE123" s="449"/>
      <c r="AF123" s="449"/>
      <c r="AG123" s="449"/>
      <c r="AH123" s="449"/>
      <c r="AI123" s="449"/>
      <c r="AJ123" s="449"/>
      <c r="AK123" s="449"/>
      <c r="AL123" s="449"/>
      <c r="AM123" s="449"/>
      <c r="AN123" s="449"/>
      <c r="AO123" s="449"/>
      <c r="AP123" s="449"/>
      <c r="AQ123" s="449"/>
      <c r="AR123" s="449"/>
      <c r="AS123" s="449"/>
      <c r="AT123" s="449"/>
      <c r="AU123" s="449"/>
      <c r="AV123" s="449"/>
      <c r="AW123" s="449"/>
      <c r="AX123" s="449"/>
      <c r="AY123" s="449"/>
      <c r="AZ123" s="449"/>
      <c r="BA123" s="449"/>
      <c r="BB123" s="449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49"/>
      <c r="CV123" s="449"/>
      <c r="CW123" s="449"/>
      <c r="CX123" s="449"/>
      <c r="CY123" s="449"/>
      <c r="CZ123" s="449"/>
      <c r="DA123" s="449"/>
      <c r="DB123" s="449"/>
      <c r="DC123" s="449"/>
      <c r="DD123" s="449"/>
      <c r="DE123" s="449"/>
      <c r="DF123" s="449"/>
      <c r="DG123" s="449"/>
      <c r="DH123" s="449"/>
      <c r="DI123" s="449"/>
      <c r="DJ123" s="449"/>
      <c r="DK123" s="449"/>
      <c r="DL123" s="449"/>
      <c r="DM123" s="449"/>
      <c r="DN123" s="449"/>
      <c r="DO123" s="449"/>
      <c r="DP123" s="449"/>
      <c r="DQ123" s="449"/>
      <c r="DR123" s="449"/>
      <c r="DS123" s="449"/>
      <c r="DT123" s="449"/>
      <c r="DU123" s="449"/>
      <c r="DV123" s="449"/>
      <c r="DW123" s="449"/>
      <c r="DX123" s="449"/>
      <c r="DY123" s="449"/>
      <c r="DZ123" s="449"/>
      <c r="EA123" s="449"/>
      <c r="EB123" s="449"/>
      <c r="EC123" s="449"/>
      <c r="ED123" s="449"/>
      <c r="EE123" s="449"/>
      <c r="EF123" s="449"/>
      <c r="EG123" s="449"/>
      <c r="EH123" s="449"/>
      <c r="EI123" s="449"/>
      <c r="EJ123" s="449"/>
      <c r="EK123" s="449"/>
      <c r="EL123" s="449"/>
      <c r="EM123" s="449"/>
      <c r="EN123" s="449"/>
      <c r="EO123" s="449"/>
      <c r="EP123" s="449"/>
      <c r="EQ123" s="449"/>
      <c r="ER123" s="449"/>
      <c r="ES123" s="449"/>
      <c r="ET123" s="449"/>
      <c r="EU123" s="449"/>
      <c r="EV123" s="449"/>
      <c r="EW123" s="449"/>
      <c r="EX123" s="449"/>
      <c r="EY123" s="449"/>
      <c r="EZ123" s="449"/>
      <c r="FA123" s="449"/>
      <c r="FB123" s="449"/>
      <c r="FC123" s="449"/>
      <c r="FD123" s="449"/>
      <c r="FE123" s="449"/>
      <c r="FF123" s="449"/>
      <c r="FG123" s="449"/>
      <c r="FH123" s="449"/>
      <c r="FI123" s="449"/>
      <c r="FJ123" s="449"/>
      <c r="FK123" s="449"/>
      <c r="FL123" s="449"/>
      <c r="FM123" s="449"/>
      <c r="FN123" s="449"/>
      <c r="FO123" s="449"/>
      <c r="FP123" s="449"/>
      <c r="FQ123" s="449"/>
      <c r="FR123" s="449"/>
      <c r="FS123" s="449"/>
      <c r="FT123" s="449"/>
      <c r="FU123" s="449"/>
      <c r="FV123" s="449"/>
      <c r="FW123" s="449"/>
      <c r="FX123" s="449"/>
      <c r="FY123" s="449"/>
      <c r="FZ123" s="449"/>
      <c r="GA123" s="449"/>
      <c r="GB123" s="449"/>
      <c r="GC123" s="449"/>
      <c r="GD123" s="449"/>
      <c r="GE123" s="449"/>
      <c r="GF123" s="449"/>
      <c r="GG123" s="449"/>
      <c r="GH123" s="449"/>
      <c r="GI123" s="449"/>
      <c r="GJ123" s="449"/>
      <c r="GK123" s="449"/>
      <c r="GL123" s="449"/>
      <c r="GM123" s="449"/>
      <c r="GN123" s="449"/>
      <c r="GO123" s="449"/>
      <c r="GP123" s="449"/>
      <c r="GQ123" s="449"/>
      <c r="GR123" s="449"/>
      <c r="GS123" s="449"/>
      <c r="GT123" s="449"/>
      <c r="GU123" s="449"/>
      <c r="GV123" s="449"/>
      <c r="GW123" s="449"/>
      <c r="GX123" s="449"/>
      <c r="GY123" s="449"/>
      <c r="GZ123" s="449"/>
      <c r="HA123" s="449"/>
      <c r="HB123" s="449"/>
      <c r="HC123" s="449"/>
      <c r="HD123" s="449"/>
      <c r="HE123" s="449"/>
      <c r="HF123" s="449"/>
      <c r="HG123" s="449"/>
      <c r="HH123" s="449"/>
      <c r="HI123" s="449"/>
      <c r="HJ123" s="449"/>
      <c r="HK123" s="449"/>
      <c r="HL123" s="449"/>
      <c r="HM123" s="449"/>
      <c r="HN123" s="449"/>
      <c r="HO123" s="449"/>
      <c r="HP123" s="449"/>
      <c r="HQ123" s="449"/>
      <c r="HR123" s="449"/>
      <c r="HS123" s="449"/>
      <c r="HT123" s="449"/>
      <c r="HU123" s="449"/>
      <c r="HV123" s="449"/>
      <c r="HW123" s="449"/>
      <c r="HX123" s="449"/>
      <c r="HY123" s="449"/>
      <c r="HZ123" s="449"/>
      <c r="IA123" s="449"/>
      <c r="IB123" s="449"/>
      <c r="IC123" s="449"/>
      <c r="ID123" s="449"/>
      <c r="IE123" s="449"/>
      <c r="IF123" s="449"/>
      <c r="IG123" s="449"/>
      <c r="IH123" s="449"/>
      <c r="II123" s="449"/>
      <c r="IJ123" s="449"/>
      <c r="IK123" s="449"/>
      <c r="IL123" s="449"/>
      <c r="IM123" s="449"/>
      <c r="IN123" s="449"/>
      <c r="IO123" s="449"/>
      <c r="IP123" s="449"/>
      <c r="IQ123" s="449"/>
      <c r="IR123" s="449"/>
      <c r="IS123" s="449"/>
      <c r="IT123" s="449"/>
      <c r="IU123" s="449"/>
      <c r="IV123" s="449"/>
      <c r="IW123" s="449"/>
      <c r="IX123" s="449"/>
      <c r="IY123" s="449"/>
    </row>
    <row r="124" spans="3:259" s="379" customFormat="1" ht="12.75" x14ac:dyDescent="0.2">
      <c r="C124" s="392" t="s">
        <v>1070</v>
      </c>
      <c r="D124" s="393" t="s">
        <v>877</v>
      </c>
      <c r="E124" s="392" t="s">
        <v>1071</v>
      </c>
      <c r="F124" s="392"/>
      <c r="G124" s="393">
        <v>1000</v>
      </c>
      <c r="H124" s="393">
        <v>210</v>
      </c>
      <c r="I124" s="393">
        <v>260</v>
      </c>
      <c r="J124" s="393">
        <v>26.58</v>
      </c>
      <c r="K124" s="452">
        <v>5905</v>
      </c>
      <c r="L124" s="452"/>
      <c r="M124" s="453">
        <f>K124*0.7</f>
        <v>4133.5</v>
      </c>
      <c r="N124" s="449"/>
      <c r="O124" s="449"/>
      <c r="P124" s="449"/>
      <c r="Q124" s="449"/>
      <c r="R124" s="449"/>
      <c r="S124" s="449"/>
      <c r="T124" s="449"/>
      <c r="U124" s="449"/>
      <c r="V124" s="449"/>
      <c r="W124" s="449"/>
      <c r="X124" s="449"/>
      <c r="Y124" s="449"/>
      <c r="Z124" s="449"/>
      <c r="AA124" s="449"/>
      <c r="AB124" s="449"/>
      <c r="AC124" s="449"/>
      <c r="AD124" s="449"/>
      <c r="AE124" s="449"/>
      <c r="AF124" s="449"/>
      <c r="AG124" s="449"/>
      <c r="AH124" s="449"/>
      <c r="AI124" s="449"/>
      <c r="AJ124" s="449"/>
      <c r="AK124" s="449"/>
      <c r="AL124" s="449"/>
      <c r="AM124" s="449"/>
      <c r="AN124" s="449"/>
      <c r="AO124" s="449"/>
      <c r="AP124" s="449"/>
      <c r="AQ124" s="449"/>
      <c r="AR124" s="449"/>
      <c r="AS124" s="449"/>
      <c r="AT124" s="449"/>
      <c r="AU124" s="449"/>
      <c r="AV124" s="449"/>
      <c r="AW124" s="449"/>
      <c r="AX124" s="449"/>
      <c r="AY124" s="449"/>
      <c r="AZ124" s="449"/>
      <c r="BA124" s="449"/>
      <c r="BB124" s="449"/>
      <c r="BC124" s="449"/>
      <c r="BD124" s="449"/>
      <c r="BE124" s="449"/>
      <c r="BF124" s="449"/>
      <c r="BG124" s="449"/>
      <c r="BH124" s="449"/>
      <c r="BI124" s="449"/>
      <c r="BJ124" s="449"/>
      <c r="BK124" s="449"/>
      <c r="BL124" s="449"/>
      <c r="BM124" s="449"/>
      <c r="BN124" s="449"/>
      <c r="BO124" s="449"/>
      <c r="BP124" s="449"/>
      <c r="BQ124" s="449"/>
      <c r="BR124" s="449"/>
      <c r="BS124" s="449"/>
      <c r="BT124" s="449"/>
      <c r="BU124" s="449"/>
      <c r="BV124" s="449"/>
      <c r="BW124" s="449"/>
      <c r="BX124" s="449"/>
      <c r="BY124" s="449"/>
      <c r="BZ124" s="449"/>
      <c r="CA124" s="449"/>
      <c r="CB124" s="449"/>
      <c r="CC124" s="449"/>
      <c r="CD124" s="449"/>
      <c r="CE124" s="449"/>
      <c r="CF124" s="449"/>
      <c r="CG124" s="449"/>
      <c r="CH124" s="449"/>
      <c r="CI124" s="449"/>
      <c r="CJ124" s="449"/>
      <c r="CK124" s="449"/>
      <c r="CL124" s="449"/>
      <c r="CM124" s="449"/>
      <c r="CN124" s="449"/>
      <c r="CO124" s="449"/>
      <c r="CP124" s="449"/>
      <c r="CQ124" s="449"/>
      <c r="CR124" s="449"/>
      <c r="CS124" s="449"/>
      <c r="CT124" s="449"/>
      <c r="CU124" s="449"/>
      <c r="CV124" s="449"/>
      <c r="CW124" s="449"/>
      <c r="CX124" s="449"/>
      <c r="CY124" s="449"/>
      <c r="CZ124" s="449"/>
      <c r="DA124" s="449"/>
      <c r="DB124" s="449"/>
      <c r="DC124" s="449"/>
      <c r="DD124" s="449"/>
      <c r="DE124" s="449"/>
      <c r="DF124" s="449"/>
      <c r="DG124" s="449"/>
      <c r="DH124" s="449"/>
      <c r="DI124" s="449"/>
      <c r="DJ124" s="449"/>
      <c r="DK124" s="449"/>
      <c r="DL124" s="449"/>
      <c r="DM124" s="449"/>
      <c r="DN124" s="449"/>
      <c r="DO124" s="449"/>
      <c r="DP124" s="449"/>
      <c r="DQ124" s="449"/>
      <c r="DR124" s="449"/>
      <c r="DS124" s="449"/>
      <c r="DT124" s="449"/>
      <c r="DU124" s="449"/>
      <c r="DV124" s="449"/>
      <c r="DW124" s="449"/>
      <c r="DX124" s="449"/>
      <c r="DY124" s="449"/>
      <c r="DZ124" s="449"/>
      <c r="EA124" s="449"/>
      <c r="EB124" s="449"/>
      <c r="EC124" s="449"/>
      <c r="ED124" s="449"/>
      <c r="EE124" s="449"/>
      <c r="EF124" s="449"/>
      <c r="EG124" s="449"/>
      <c r="EH124" s="449"/>
      <c r="EI124" s="449"/>
      <c r="EJ124" s="449"/>
      <c r="EK124" s="449"/>
      <c r="EL124" s="449"/>
      <c r="EM124" s="449"/>
      <c r="EN124" s="449"/>
      <c r="EO124" s="449"/>
      <c r="EP124" s="449"/>
      <c r="EQ124" s="449"/>
      <c r="ER124" s="449"/>
      <c r="ES124" s="449"/>
      <c r="ET124" s="449"/>
      <c r="EU124" s="449"/>
      <c r="EV124" s="449"/>
      <c r="EW124" s="449"/>
      <c r="EX124" s="449"/>
      <c r="EY124" s="449"/>
      <c r="EZ124" s="449"/>
      <c r="FA124" s="449"/>
      <c r="FB124" s="449"/>
      <c r="FC124" s="449"/>
      <c r="FD124" s="449"/>
      <c r="FE124" s="449"/>
      <c r="FF124" s="449"/>
      <c r="FG124" s="449"/>
      <c r="FH124" s="449"/>
      <c r="FI124" s="449"/>
      <c r="FJ124" s="449"/>
      <c r="FK124" s="449"/>
      <c r="FL124" s="449"/>
      <c r="FM124" s="449"/>
      <c r="FN124" s="449"/>
      <c r="FO124" s="449"/>
      <c r="FP124" s="449"/>
      <c r="FQ124" s="449"/>
      <c r="FR124" s="449"/>
      <c r="FS124" s="449"/>
      <c r="FT124" s="449"/>
      <c r="FU124" s="449"/>
      <c r="FV124" s="449"/>
      <c r="FW124" s="449"/>
      <c r="FX124" s="449"/>
      <c r="FY124" s="449"/>
      <c r="FZ124" s="449"/>
      <c r="GA124" s="449"/>
      <c r="GB124" s="449"/>
      <c r="GC124" s="449"/>
      <c r="GD124" s="449"/>
      <c r="GE124" s="449"/>
      <c r="GF124" s="449"/>
      <c r="GG124" s="449"/>
      <c r="GH124" s="449"/>
      <c r="GI124" s="449"/>
      <c r="GJ124" s="449"/>
      <c r="GK124" s="449"/>
      <c r="GL124" s="449"/>
      <c r="GM124" s="449"/>
      <c r="GN124" s="449"/>
      <c r="GO124" s="449"/>
      <c r="GP124" s="449"/>
      <c r="GQ124" s="449"/>
      <c r="GR124" s="449"/>
      <c r="GS124" s="449"/>
      <c r="GT124" s="449"/>
      <c r="GU124" s="449"/>
      <c r="GV124" s="449"/>
      <c r="GW124" s="449"/>
      <c r="GX124" s="449"/>
      <c r="GY124" s="449"/>
      <c r="GZ124" s="449"/>
      <c r="HA124" s="449"/>
      <c r="HB124" s="449"/>
      <c r="HC124" s="449"/>
      <c r="HD124" s="449"/>
      <c r="HE124" s="449"/>
      <c r="HF124" s="449"/>
      <c r="HG124" s="449"/>
      <c r="HH124" s="449"/>
      <c r="HI124" s="449"/>
      <c r="HJ124" s="449"/>
      <c r="HK124" s="449"/>
      <c r="HL124" s="449"/>
      <c r="HM124" s="449"/>
      <c r="HN124" s="449"/>
      <c r="HO124" s="449"/>
      <c r="HP124" s="449"/>
      <c r="HQ124" s="449"/>
      <c r="HR124" s="449"/>
      <c r="HS124" s="449"/>
      <c r="HT124" s="449"/>
      <c r="HU124" s="449"/>
      <c r="HV124" s="449"/>
      <c r="HW124" s="449"/>
      <c r="HX124" s="449"/>
      <c r="HY124" s="449"/>
      <c r="HZ124" s="449"/>
      <c r="IA124" s="449"/>
      <c r="IB124" s="449"/>
      <c r="IC124" s="449"/>
      <c r="ID124" s="449"/>
      <c r="IE124" s="449"/>
      <c r="IF124" s="449"/>
      <c r="IG124" s="449"/>
      <c r="IH124" s="449"/>
      <c r="II124" s="449"/>
      <c r="IJ124" s="449"/>
      <c r="IK124" s="449"/>
      <c r="IL124" s="449"/>
      <c r="IM124" s="449"/>
      <c r="IN124" s="449"/>
      <c r="IO124" s="449"/>
      <c r="IP124" s="449"/>
      <c r="IQ124" s="449"/>
      <c r="IR124" s="449"/>
      <c r="IS124" s="449"/>
      <c r="IT124" s="449"/>
      <c r="IU124" s="449"/>
      <c r="IV124" s="449"/>
      <c r="IW124" s="449"/>
      <c r="IX124" s="449"/>
      <c r="IY124" s="449"/>
    </row>
    <row r="125" spans="3:259" s="379" customFormat="1" ht="12.75" x14ac:dyDescent="0.2">
      <c r="C125" s="392" t="s">
        <v>1072</v>
      </c>
      <c r="D125" s="393" t="s">
        <v>877</v>
      </c>
      <c r="E125" s="392" t="s">
        <v>1073</v>
      </c>
      <c r="F125" s="392"/>
      <c r="G125" s="393">
        <v>1000</v>
      </c>
      <c r="H125" s="393">
        <v>210</v>
      </c>
      <c r="I125" s="393">
        <v>310</v>
      </c>
      <c r="J125" s="393">
        <v>30.91</v>
      </c>
      <c r="K125" s="452">
        <v>6678</v>
      </c>
      <c r="L125" s="452"/>
      <c r="M125" s="453">
        <f>K125*0.7</f>
        <v>4674.5999999999995</v>
      </c>
      <c r="N125" s="449"/>
      <c r="O125" s="449"/>
      <c r="P125" s="449"/>
      <c r="Q125" s="449"/>
      <c r="R125" s="449"/>
      <c r="S125" s="449"/>
      <c r="T125" s="449"/>
      <c r="U125" s="449"/>
      <c r="V125" s="449"/>
      <c r="W125" s="449"/>
      <c r="X125" s="449"/>
      <c r="Y125" s="449"/>
      <c r="Z125" s="449"/>
      <c r="AA125" s="449"/>
      <c r="AB125" s="449"/>
      <c r="AC125" s="449"/>
      <c r="AD125" s="449"/>
      <c r="AE125" s="449"/>
      <c r="AF125" s="449"/>
      <c r="AG125" s="449"/>
      <c r="AH125" s="449"/>
      <c r="AI125" s="449"/>
      <c r="AJ125" s="449"/>
      <c r="AK125" s="449"/>
      <c r="AL125" s="449"/>
      <c r="AM125" s="449"/>
      <c r="AN125" s="449"/>
      <c r="AO125" s="449"/>
      <c r="AP125" s="449"/>
      <c r="AQ125" s="449"/>
      <c r="AR125" s="449"/>
      <c r="AS125" s="449"/>
      <c r="AT125" s="449"/>
      <c r="AU125" s="449"/>
      <c r="AV125" s="449"/>
      <c r="AW125" s="449"/>
      <c r="AX125" s="449"/>
      <c r="AY125" s="449"/>
      <c r="AZ125" s="449"/>
      <c r="BA125" s="449"/>
      <c r="BB125" s="449"/>
      <c r="BC125" s="449"/>
      <c r="BD125" s="449"/>
      <c r="BE125" s="449"/>
      <c r="BF125" s="449"/>
      <c r="BG125" s="449"/>
      <c r="BH125" s="449"/>
      <c r="BI125" s="449"/>
      <c r="BJ125" s="449"/>
      <c r="BK125" s="449"/>
      <c r="BL125" s="449"/>
      <c r="BM125" s="449"/>
      <c r="BN125" s="449"/>
      <c r="BO125" s="449"/>
      <c r="BP125" s="449"/>
      <c r="BQ125" s="449"/>
      <c r="BR125" s="449"/>
      <c r="BS125" s="449"/>
      <c r="BT125" s="449"/>
      <c r="BU125" s="449"/>
      <c r="BV125" s="449"/>
      <c r="BW125" s="449"/>
      <c r="BX125" s="449"/>
      <c r="BY125" s="449"/>
      <c r="BZ125" s="449"/>
      <c r="CA125" s="449"/>
      <c r="CB125" s="449"/>
      <c r="CC125" s="449"/>
      <c r="CD125" s="449"/>
      <c r="CE125" s="449"/>
      <c r="CF125" s="449"/>
      <c r="CG125" s="449"/>
      <c r="CH125" s="449"/>
      <c r="CI125" s="449"/>
      <c r="CJ125" s="449"/>
      <c r="CK125" s="449"/>
      <c r="CL125" s="449"/>
      <c r="CM125" s="449"/>
      <c r="CN125" s="449"/>
      <c r="CO125" s="449"/>
      <c r="CP125" s="449"/>
      <c r="CQ125" s="449"/>
      <c r="CR125" s="449"/>
      <c r="CS125" s="449"/>
      <c r="CT125" s="449"/>
      <c r="CU125" s="449"/>
      <c r="CV125" s="449"/>
      <c r="CW125" s="449"/>
      <c r="CX125" s="449"/>
      <c r="CY125" s="449"/>
      <c r="CZ125" s="449"/>
      <c r="DA125" s="449"/>
      <c r="DB125" s="449"/>
      <c r="DC125" s="449"/>
      <c r="DD125" s="449"/>
      <c r="DE125" s="449"/>
      <c r="DF125" s="449"/>
      <c r="DG125" s="449"/>
      <c r="DH125" s="449"/>
      <c r="DI125" s="449"/>
      <c r="DJ125" s="449"/>
      <c r="DK125" s="449"/>
      <c r="DL125" s="449"/>
      <c r="DM125" s="449"/>
      <c r="DN125" s="449"/>
      <c r="DO125" s="449"/>
      <c r="DP125" s="449"/>
      <c r="DQ125" s="449"/>
      <c r="DR125" s="449"/>
      <c r="DS125" s="449"/>
      <c r="DT125" s="449"/>
      <c r="DU125" s="449"/>
      <c r="DV125" s="449"/>
      <c r="DW125" s="449"/>
      <c r="DX125" s="449"/>
      <c r="DY125" s="449"/>
      <c r="DZ125" s="449"/>
      <c r="EA125" s="449"/>
      <c r="EB125" s="449"/>
      <c r="EC125" s="449"/>
      <c r="ED125" s="449"/>
      <c r="EE125" s="449"/>
      <c r="EF125" s="449"/>
      <c r="EG125" s="449"/>
      <c r="EH125" s="449"/>
      <c r="EI125" s="449"/>
      <c r="EJ125" s="449"/>
      <c r="EK125" s="449"/>
      <c r="EL125" s="449"/>
      <c r="EM125" s="449"/>
      <c r="EN125" s="449"/>
      <c r="EO125" s="449"/>
      <c r="EP125" s="449"/>
      <c r="EQ125" s="449"/>
      <c r="ER125" s="449"/>
      <c r="ES125" s="449"/>
      <c r="ET125" s="449"/>
      <c r="EU125" s="449"/>
      <c r="EV125" s="449"/>
      <c r="EW125" s="449"/>
      <c r="EX125" s="449"/>
      <c r="EY125" s="449"/>
      <c r="EZ125" s="449"/>
      <c r="FA125" s="449"/>
      <c r="FB125" s="449"/>
      <c r="FC125" s="449"/>
      <c r="FD125" s="449"/>
      <c r="FE125" s="449"/>
      <c r="FF125" s="449"/>
      <c r="FG125" s="449"/>
      <c r="FH125" s="449"/>
      <c r="FI125" s="449"/>
      <c r="FJ125" s="449"/>
      <c r="FK125" s="449"/>
      <c r="FL125" s="449"/>
      <c r="FM125" s="449"/>
      <c r="FN125" s="449"/>
      <c r="FO125" s="449"/>
      <c r="FP125" s="449"/>
      <c r="FQ125" s="449"/>
      <c r="FR125" s="449"/>
      <c r="FS125" s="449"/>
      <c r="FT125" s="449"/>
      <c r="FU125" s="449"/>
      <c r="FV125" s="449"/>
      <c r="FW125" s="449"/>
      <c r="FX125" s="449"/>
      <c r="FY125" s="449"/>
      <c r="FZ125" s="449"/>
      <c r="GA125" s="449"/>
      <c r="GB125" s="449"/>
      <c r="GC125" s="449"/>
      <c r="GD125" s="449"/>
      <c r="GE125" s="449"/>
      <c r="GF125" s="449"/>
      <c r="GG125" s="449"/>
      <c r="GH125" s="449"/>
      <c r="GI125" s="449"/>
      <c r="GJ125" s="449"/>
      <c r="GK125" s="449"/>
      <c r="GL125" s="449"/>
      <c r="GM125" s="449"/>
      <c r="GN125" s="449"/>
      <c r="GO125" s="449"/>
      <c r="GP125" s="449"/>
      <c r="GQ125" s="449"/>
      <c r="GR125" s="449"/>
      <c r="GS125" s="449"/>
      <c r="GT125" s="449"/>
      <c r="GU125" s="449"/>
      <c r="GV125" s="449"/>
      <c r="GW125" s="449"/>
      <c r="GX125" s="449"/>
      <c r="GY125" s="449"/>
      <c r="GZ125" s="449"/>
      <c r="HA125" s="449"/>
      <c r="HB125" s="449"/>
      <c r="HC125" s="449"/>
      <c r="HD125" s="449"/>
      <c r="HE125" s="449"/>
      <c r="HF125" s="449"/>
      <c r="HG125" s="449"/>
      <c r="HH125" s="449"/>
      <c r="HI125" s="449"/>
      <c r="HJ125" s="449"/>
      <c r="HK125" s="449"/>
      <c r="HL125" s="449"/>
      <c r="HM125" s="449"/>
      <c r="HN125" s="449"/>
      <c r="HO125" s="449"/>
      <c r="HP125" s="449"/>
      <c r="HQ125" s="449"/>
      <c r="HR125" s="449"/>
      <c r="HS125" s="449"/>
      <c r="HT125" s="449"/>
      <c r="HU125" s="449"/>
      <c r="HV125" s="449"/>
      <c r="HW125" s="449"/>
      <c r="HX125" s="449"/>
      <c r="HY125" s="449"/>
      <c r="HZ125" s="449"/>
      <c r="IA125" s="449"/>
      <c r="IB125" s="449"/>
      <c r="IC125" s="449"/>
      <c r="ID125" s="449"/>
      <c r="IE125" s="449"/>
      <c r="IF125" s="449"/>
      <c r="IG125" s="449"/>
      <c r="IH125" s="449"/>
      <c r="II125" s="449"/>
      <c r="IJ125" s="449"/>
      <c r="IK125" s="449"/>
      <c r="IL125" s="449"/>
      <c r="IM125" s="449"/>
      <c r="IN125" s="449"/>
      <c r="IO125" s="449"/>
      <c r="IP125" s="449"/>
      <c r="IQ125" s="449"/>
      <c r="IR125" s="449"/>
      <c r="IS125" s="449"/>
      <c r="IT125" s="449"/>
      <c r="IU125" s="449"/>
      <c r="IV125" s="449"/>
      <c r="IW125" s="449"/>
      <c r="IX125" s="449"/>
      <c r="IY125" s="449"/>
    </row>
    <row r="126" spans="3:259" s="379" customFormat="1" ht="12.75" x14ac:dyDescent="0.2">
      <c r="C126" s="392" t="s">
        <v>1074</v>
      </c>
      <c r="D126" s="393" t="s">
        <v>877</v>
      </c>
      <c r="E126" s="411" t="s">
        <v>1075</v>
      </c>
      <c r="F126" s="411"/>
      <c r="G126" s="393">
        <v>500</v>
      </c>
      <c r="H126" s="393">
        <v>210</v>
      </c>
      <c r="I126" s="393">
        <v>500</v>
      </c>
      <c r="J126" s="393">
        <v>26.81</v>
      </c>
      <c r="K126" s="452">
        <v>4205</v>
      </c>
      <c r="L126" s="452"/>
      <c r="M126" s="453">
        <f>K126*0.7</f>
        <v>2943.5</v>
      </c>
      <c r="N126" s="449"/>
      <c r="O126" s="449"/>
      <c r="P126" s="449"/>
      <c r="Q126" s="449"/>
      <c r="R126" s="449"/>
      <c r="S126" s="449"/>
      <c r="T126" s="449"/>
      <c r="U126" s="449"/>
      <c r="V126" s="449"/>
      <c r="W126" s="449"/>
      <c r="X126" s="449"/>
      <c r="Y126" s="449"/>
      <c r="Z126" s="449"/>
      <c r="AA126" s="449"/>
      <c r="AB126" s="449"/>
      <c r="AC126" s="449"/>
      <c r="AD126" s="449"/>
      <c r="AE126" s="449"/>
      <c r="AF126" s="449"/>
      <c r="AG126" s="449"/>
      <c r="AH126" s="449"/>
      <c r="AI126" s="449"/>
      <c r="AJ126" s="449"/>
      <c r="AK126" s="449"/>
      <c r="AL126" s="449"/>
      <c r="AM126" s="449"/>
      <c r="AN126" s="449"/>
      <c r="AO126" s="449"/>
      <c r="AP126" s="449"/>
      <c r="AQ126" s="449"/>
      <c r="AR126" s="449"/>
      <c r="AS126" s="449"/>
      <c r="AT126" s="449"/>
      <c r="AU126" s="449"/>
      <c r="AV126" s="449"/>
      <c r="AW126" s="449"/>
      <c r="AX126" s="449"/>
      <c r="AY126" s="449"/>
      <c r="AZ126" s="449"/>
      <c r="BA126" s="449"/>
      <c r="BB126" s="449"/>
      <c r="BC126" s="449"/>
      <c r="BD126" s="449"/>
      <c r="BE126" s="449"/>
      <c r="BF126" s="449"/>
      <c r="BG126" s="449"/>
      <c r="BH126" s="449"/>
      <c r="BI126" s="449"/>
      <c r="BJ126" s="449"/>
      <c r="BK126" s="449"/>
      <c r="BL126" s="449"/>
      <c r="BM126" s="449"/>
      <c r="BN126" s="449"/>
      <c r="BO126" s="449"/>
      <c r="BP126" s="449"/>
      <c r="BQ126" s="449"/>
      <c r="BR126" s="449"/>
      <c r="BS126" s="449"/>
      <c r="BT126" s="449"/>
      <c r="BU126" s="449"/>
      <c r="BV126" s="449"/>
      <c r="BW126" s="449"/>
      <c r="BX126" s="449"/>
      <c r="BY126" s="449"/>
      <c r="BZ126" s="449"/>
      <c r="CA126" s="449"/>
      <c r="CB126" s="449"/>
      <c r="CC126" s="449"/>
      <c r="CD126" s="449"/>
      <c r="CE126" s="449"/>
      <c r="CF126" s="449"/>
      <c r="CG126" s="449"/>
      <c r="CH126" s="449"/>
      <c r="CI126" s="449"/>
      <c r="CJ126" s="449"/>
      <c r="CK126" s="449"/>
      <c r="CL126" s="449"/>
      <c r="CM126" s="449"/>
      <c r="CN126" s="449"/>
      <c r="CO126" s="449"/>
      <c r="CP126" s="449"/>
      <c r="CQ126" s="449"/>
      <c r="CR126" s="449"/>
      <c r="CS126" s="449"/>
      <c r="CT126" s="449"/>
      <c r="CU126" s="449"/>
      <c r="CV126" s="449"/>
      <c r="CW126" s="449"/>
      <c r="CX126" s="449"/>
      <c r="CY126" s="449"/>
      <c r="CZ126" s="449"/>
      <c r="DA126" s="449"/>
      <c r="DB126" s="449"/>
      <c r="DC126" s="449"/>
      <c r="DD126" s="449"/>
      <c r="DE126" s="449"/>
      <c r="DF126" s="449"/>
      <c r="DG126" s="449"/>
      <c r="DH126" s="449"/>
      <c r="DI126" s="449"/>
      <c r="DJ126" s="449"/>
      <c r="DK126" s="449"/>
      <c r="DL126" s="449"/>
      <c r="DM126" s="449"/>
      <c r="DN126" s="449"/>
      <c r="DO126" s="449"/>
      <c r="DP126" s="449"/>
      <c r="DQ126" s="449"/>
      <c r="DR126" s="449"/>
      <c r="DS126" s="449"/>
      <c r="DT126" s="449"/>
      <c r="DU126" s="449"/>
      <c r="DV126" s="449"/>
      <c r="DW126" s="449"/>
      <c r="DX126" s="449"/>
      <c r="DY126" s="449"/>
      <c r="DZ126" s="449"/>
      <c r="EA126" s="449"/>
      <c r="EB126" s="449"/>
      <c r="EC126" s="449"/>
      <c r="ED126" s="449"/>
      <c r="EE126" s="449"/>
      <c r="EF126" s="449"/>
      <c r="EG126" s="449"/>
      <c r="EH126" s="449"/>
      <c r="EI126" s="449"/>
      <c r="EJ126" s="449"/>
      <c r="EK126" s="449"/>
      <c r="EL126" s="449"/>
      <c r="EM126" s="449"/>
      <c r="EN126" s="449"/>
      <c r="EO126" s="449"/>
      <c r="EP126" s="449"/>
      <c r="EQ126" s="449"/>
      <c r="ER126" s="449"/>
      <c r="ES126" s="449"/>
      <c r="ET126" s="449"/>
      <c r="EU126" s="449"/>
      <c r="EV126" s="449"/>
      <c r="EW126" s="449"/>
      <c r="EX126" s="449"/>
      <c r="EY126" s="449"/>
      <c r="EZ126" s="449"/>
      <c r="FA126" s="449"/>
      <c r="FB126" s="449"/>
      <c r="FC126" s="449"/>
      <c r="FD126" s="449"/>
      <c r="FE126" s="449"/>
      <c r="FF126" s="449"/>
      <c r="FG126" s="449"/>
      <c r="FH126" s="449"/>
      <c r="FI126" s="449"/>
      <c r="FJ126" s="449"/>
      <c r="FK126" s="449"/>
      <c r="FL126" s="449"/>
      <c r="FM126" s="449"/>
      <c r="FN126" s="449"/>
      <c r="FO126" s="449"/>
      <c r="FP126" s="449"/>
      <c r="FQ126" s="449"/>
      <c r="FR126" s="449"/>
      <c r="FS126" s="449"/>
      <c r="FT126" s="449"/>
      <c r="FU126" s="449"/>
      <c r="FV126" s="449"/>
      <c r="FW126" s="449"/>
      <c r="FX126" s="449"/>
      <c r="FY126" s="449"/>
      <c r="FZ126" s="449"/>
      <c r="GA126" s="449"/>
      <c r="GB126" s="449"/>
      <c r="GC126" s="449"/>
      <c r="GD126" s="449"/>
      <c r="GE126" s="449"/>
      <c r="GF126" s="449"/>
      <c r="GG126" s="449"/>
      <c r="GH126" s="449"/>
      <c r="GI126" s="449"/>
      <c r="GJ126" s="449"/>
      <c r="GK126" s="449"/>
      <c r="GL126" s="449"/>
      <c r="GM126" s="449"/>
      <c r="GN126" s="449"/>
      <c r="GO126" s="449"/>
      <c r="GP126" s="449"/>
      <c r="GQ126" s="449"/>
      <c r="GR126" s="449"/>
      <c r="GS126" s="449"/>
      <c r="GT126" s="449"/>
      <c r="GU126" s="449"/>
      <c r="GV126" s="449"/>
      <c r="GW126" s="449"/>
      <c r="GX126" s="449"/>
      <c r="GY126" s="449"/>
      <c r="GZ126" s="449"/>
      <c r="HA126" s="449"/>
      <c r="HB126" s="449"/>
      <c r="HC126" s="449"/>
      <c r="HD126" s="449"/>
      <c r="HE126" s="449"/>
      <c r="HF126" s="449"/>
      <c r="HG126" s="449"/>
      <c r="HH126" s="449"/>
      <c r="HI126" s="449"/>
      <c r="HJ126" s="449"/>
      <c r="HK126" s="449"/>
      <c r="HL126" s="449"/>
      <c r="HM126" s="449"/>
      <c r="HN126" s="449"/>
      <c r="HO126" s="449"/>
      <c r="HP126" s="449"/>
      <c r="HQ126" s="449"/>
      <c r="HR126" s="449"/>
      <c r="HS126" s="449"/>
      <c r="HT126" s="449"/>
      <c r="HU126" s="449"/>
      <c r="HV126" s="449"/>
      <c r="HW126" s="449"/>
      <c r="HX126" s="449"/>
      <c r="HY126" s="449"/>
      <c r="HZ126" s="449"/>
      <c r="IA126" s="449"/>
      <c r="IB126" s="449"/>
      <c r="IC126" s="449"/>
      <c r="ID126" s="449"/>
      <c r="IE126" s="449"/>
      <c r="IF126" s="449"/>
      <c r="IG126" s="449"/>
      <c r="IH126" s="449"/>
      <c r="II126" s="449"/>
      <c r="IJ126" s="449"/>
      <c r="IK126" s="449"/>
      <c r="IL126" s="449"/>
      <c r="IM126" s="449"/>
      <c r="IN126" s="449"/>
      <c r="IO126" s="449"/>
      <c r="IP126" s="449"/>
      <c r="IQ126" s="449"/>
      <c r="IR126" s="449"/>
      <c r="IS126" s="449"/>
      <c r="IT126" s="449"/>
      <c r="IU126" s="449"/>
      <c r="IV126" s="449"/>
      <c r="IW126" s="449"/>
      <c r="IX126" s="449"/>
      <c r="IY126" s="449"/>
    </row>
    <row r="127" spans="3:259" s="379" customFormat="1" ht="12.75" x14ac:dyDescent="0.2">
      <c r="C127" s="388" t="s">
        <v>936</v>
      </c>
      <c r="D127" s="389"/>
      <c r="E127" s="389"/>
      <c r="F127" s="389"/>
      <c r="G127" s="389"/>
      <c r="H127" s="389"/>
      <c r="I127" s="389"/>
      <c r="J127" s="389"/>
      <c r="K127" s="390"/>
      <c r="L127" s="390"/>
      <c r="M127" s="391" t="str">
        <f>IFERROR(K127/#REF!-1,"")</f>
        <v/>
      </c>
      <c r="N127" s="449"/>
      <c r="O127" s="449"/>
      <c r="P127" s="449"/>
      <c r="Q127" s="449"/>
      <c r="R127" s="449"/>
      <c r="S127" s="449"/>
      <c r="T127" s="449"/>
      <c r="U127" s="449"/>
      <c r="V127" s="449"/>
      <c r="W127" s="449"/>
      <c r="X127" s="449"/>
      <c r="Y127" s="449"/>
      <c r="Z127" s="449"/>
      <c r="AA127" s="449"/>
      <c r="AB127" s="449"/>
      <c r="AC127" s="449"/>
      <c r="AD127" s="449"/>
      <c r="AE127" s="449"/>
      <c r="AF127" s="449"/>
      <c r="AG127" s="449"/>
      <c r="AH127" s="449"/>
      <c r="AI127" s="449"/>
      <c r="AJ127" s="449"/>
      <c r="AK127" s="449"/>
      <c r="AL127" s="449"/>
      <c r="AM127" s="449"/>
      <c r="AN127" s="449"/>
      <c r="AO127" s="449"/>
      <c r="AP127" s="449"/>
      <c r="AQ127" s="449"/>
      <c r="AR127" s="449"/>
      <c r="AS127" s="449"/>
      <c r="AT127" s="449"/>
      <c r="AU127" s="449"/>
      <c r="AV127" s="449"/>
      <c r="AW127" s="449"/>
      <c r="AX127" s="449"/>
      <c r="AY127" s="449"/>
      <c r="AZ127" s="449"/>
      <c r="BA127" s="449"/>
      <c r="BB127" s="449"/>
      <c r="BC127" s="449"/>
      <c r="BD127" s="449"/>
      <c r="BE127" s="449"/>
      <c r="BF127" s="449"/>
      <c r="BG127" s="449"/>
      <c r="BH127" s="449"/>
      <c r="BI127" s="449"/>
      <c r="BJ127" s="449"/>
      <c r="BK127" s="449"/>
      <c r="BL127" s="449"/>
      <c r="BM127" s="449"/>
      <c r="BN127" s="449"/>
      <c r="BO127" s="449"/>
      <c r="BP127" s="449"/>
      <c r="BQ127" s="449"/>
      <c r="BR127" s="449"/>
      <c r="BS127" s="449"/>
      <c r="BT127" s="449"/>
      <c r="BU127" s="449"/>
      <c r="BV127" s="449"/>
      <c r="BW127" s="449"/>
      <c r="BX127" s="449"/>
      <c r="BY127" s="449"/>
      <c r="BZ127" s="449"/>
      <c r="CA127" s="449"/>
      <c r="CB127" s="449"/>
      <c r="CC127" s="449"/>
      <c r="CD127" s="449"/>
      <c r="CE127" s="449"/>
      <c r="CF127" s="449"/>
      <c r="CG127" s="449"/>
      <c r="CH127" s="449"/>
      <c r="CI127" s="449"/>
      <c r="CJ127" s="449"/>
      <c r="CK127" s="449"/>
      <c r="CL127" s="449"/>
      <c r="CM127" s="449"/>
      <c r="CN127" s="449"/>
      <c r="CO127" s="449"/>
      <c r="CP127" s="449"/>
      <c r="CQ127" s="449"/>
      <c r="CR127" s="449"/>
      <c r="CS127" s="449"/>
      <c r="CT127" s="449"/>
      <c r="CU127" s="449"/>
      <c r="CV127" s="449"/>
      <c r="CW127" s="449"/>
      <c r="CX127" s="449"/>
      <c r="CY127" s="449"/>
      <c r="CZ127" s="449"/>
      <c r="DA127" s="449"/>
      <c r="DB127" s="449"/>
      <c r="DC127" s="449"/>
      <c r="DD127" s="449"/>
      <c r="DE127" s="449"/>
      <c r="DF127" s="449"/>
      <c r="DG127" s="449"/>
      <c r="DH127" s="449"/>
      <c r="DI127" s="449"/>
      <c r="DJ127" s="449"/>
      <c r="DK127" s="449"/>
      <c r="DL127" s="449"/>
      <c r="DM127" s="449"/>
      <c r="DN127" s="449"/>
      <c r="DO127" s="449"/>
      <c r="DP127" s="449"/>
      <c r="DQ127" s="449"/>
      <c r="DR127" s="449"/>
      <c r="DS127" s="449"/>
      <c r="DT127" s="449"/>
      <c r="DU127" s="449"/>
      <c r="DV127" s="449"/>
      <c r="DW127" s="449"/>
      <c r="DX127" s="449"/>
      <c r="DY127" s="449"/>
      <c r="DZ127" s="449"/>
      <c r="EA127" s="449"/>
      <c r="EB127" s="449"/>
      <c r="EC127" s="449"/>
      <c r="ED127" s="449"/>
      <c r="EE127" s="449"/>
      <c r="EF127" s="449"/>
      <c r="EG127" s="449"/>
      <c r="EH127" s="449"/>
      <c r="EI127" s="449"/>
      <c r="EJ127" s="449"/>
      <c r="EK127" s="449"/>
      <c r="EL127" s="449"/>
      <c r="EM127" s="449"/>
      <c r="EN127" s="449"/>
      <c r="EO127" s="449"/>
      <c r="EP127" s="449"/>
      <c r="EQ127" s="449"/>
      <c r="ER127" s="449"/>
      <c r="ES127" s="449"/>
      <c r="ET127" s="449"/>
      <c r="EU127" s="449"/>
      <c r="EV127" s="449"/>
      <c r="EW127" s="449"/>
      <c r="EX127" s="449"/>
      <c r="EY127" s="449"/>
      <c r="EZ127" s="449"/>
      <c r="FA127" s="449"/>
      <c r="FB127" s="449"/>
      <c r="FC127" s="449"/>
      <c r="FD127" s="449"/>
      <c r="FE127" s="449"/>
      <c r="FF127" s="449"/>
      <c r="FG127" s="449"/>
      <c r="FH127" s="449"/>
      <c r="FI127" s="449"/>
      <c r="FJ127" s="449"/>
      <c r="FK127" s="449"/>
      <c r="FL127" s="449"/>
      <c r="FM127" s="449"/>
      <c r="FN127" s="449"/>
      <c r="FO127" s="449"/>
      <c r="FP127" s="449"/>
      <c r="FQ127" s="449"/>
      <c r="FR127" s="449"/>
      <c r="FS127" s="449"/>
      <c r="FT127" s="449"/>
      <c r="FU127" s="449"/>
      <c r="FV127" s="449"/>
      <c r="FW127" s="449"/>
      <c r="FX127" s="449"/>
      <c r="FY127" s="449"/>
      <c r="FZ127" s="449"/>
      <c r="GA127" s="449"/>
      <c r="GB127" s="449"/>
      <c r="GC127" s="449"/>
      <c r="GD127" s="449"/>
      <c r="GE127" s="449"/>
      <c r="GF127" s="449"/>
      <c r="GG127" s="449"/>
      <c r="GH127" s="449"/>
      <c r="GI127" s="449"/>
      <c r="GJ127" s="449"/>
      <c r="GK127" s="449"/>
      <c r="GL127" s="449"/>
      <c r="GM127" s="449"/>
      <c r="GN127" s="449"/>
      <c r="GO127" s="449"/>
      <c r="GP127" s="449"/>
      <c r="GQ127" s="449"/>
      <c r="GR127" s="449"/>
      <c r="GS127" s="449"/>
      <c r="GT127" s="449"/>
      <c r="GU127" s="449"/>
      <c r="GV127" s="449"/>
      <c r="GW127" s="449"/>
      <c r="GX127" s="449"/>
      <c r="GY127" s="449"/>
      <c r="GZ127" s="449"/>
      <c r="HA127" s="449"/>
      <c r="HB127" s="449"/>
      <c r="HC127" s="449"/>
      <c r="HD127" s="449"/>
      <c r="HE127" s="449"/>
      <c r="HF127" s="449"/>
      <c r="HG127" s="449"/>
      <c r="HH127" s="449"/>
      <c r="HI127" s="449"/>
      <c r="HJ127" s="449"/>
      <c r="HK127" s="449"/>
      <c r="HL127" s="449"/>
      <c r="HM127" s="449"/>
      <c r="HN127" s="449"/>
      <c r="HO127" s="449"/>
      <c r="HP127" s="449"/>
      <c r="HQ127" s="449"/>
      <c r="HR127" s="449"/>
      <c r="HS127" s="449"/>
      <c r="HT127" s="449"/>
      <c r="HU127" s="449"/>
      <c r="HV127" s="449"/>
      <c r="HW127" s="449"/>
      <c r="HX127" s="449"/>
      <c r="HY127" s="449"/>
      <c r="HZ127" s="449"/>
      <c r="IA127" s="449"/>
      <c r="IB127" s="449"/>
      <c r="IC127" s="449"/>
      <c r="ID127" s="449"/>
      <c r="IE127" s="449"/>
      <c r="IF127" s="449"/>
      <c r="IG127" s="449"/>
      <c r="IH127" s="449"/>
      <c r="II127" s="449"/>
      <c r="IJ127" s="449"/>
      <c r="IK127" s="449"/>
      <c r="IL127" s="449"/>
      <c r="IM127" s="449"/>
      <c r="IN127" s="449"/>
      <c r="IO127" s="449"/>
      <c r="IP127" s="449"/>
      <c r="IQ127" s="449"/>
      <c r="IR127" s="449"/>
      <c r="IS127" s="449"/>
      <c r="IT127" s="449"/>
      <c r="IU127" s="449"/>
      <c r="IV127" s="449"/>
      <c r="IW127" s="449"/>
      <c r="IX127" s="449"/>
      <c r="IY127" s="449"/>
    </row>
    <row r="128" spans="3:259" s="379" customFormat="1" ht="12.75" x14ac:dyDescent="0.2">
      <c r="C128" s="416" t="s">
        <v>937</v>
      </c>
      <c r="D128" s="393" t="s">
        <v>877</v>
      </c>
      <c r="E128" s="417" t="s">
        <v>938</v>
      </c>
      <c r="F128" s="417"/>
      <c r="G128" s="393">
        <v>498</v>
      </c>
      <c r="H128" s="393">
        <v>198</v>
      </c>
      <c r="I128" s="393">
        <v>32</v>
      </c>
      <c r="J128" s="393">
        <v>5.8</v>
      </c>
      <c r="K128" s="397">
        <v>2035</v>
      </c>
      <c r="L128" s="397"/>
      <c r="M128" s="398">
        <f>K128*0.65</f>
        <v>1322.75</v>
      </c>
      <c r="N128" s="449"/>
      <c r="O128" s="449"/>
      <c r="P128" s="449"/>
      <c r="Q128" s="449"/>
      <c r="R128" s="449"/>
      <c r="S128" s="449"/>
      <c r="T128" s="449"/>
      <c r="U128" s="449"/>
      <c r="V128" s="449"/>
      <c r="W128" s="449"/>
      <c r="X128" s="449"/>
      <c r="Y128" s="449"/>
      <c r="Z128" s="449"/>
      <c r="AA128" s="449"/>
      <c r="AB128" s="449"/>
      <c r="AC128" s="449"/>
      <c r="AD128" s="449"/>
      <c r="AE128" s="449"/>
      <c r="AF128" s="449"/>
      <c r="AG128" s="449"/>
      <c r="AH128" s="449"/>
      <c r="AI128" s="449"/>
      <c r="AJ128" s="449"/>
      <c r="AK128" s="449"/>
      <c r="AL128" s="449"/>
      <c r="AM128" s="449"/>
      <c r="AN128" s="449"/>
      <c r="AO128" s="449"/>
      <c r="AP128" s="449"/>
      <c r="AQ128" s="449"/>
      <c r="AR128" s="449"/>
      <c r="AS128" s="449"/>
      <c r="AT128" s="449"/>
      <c r="AU128" s="449"/>
      <c r="AV128" s="449"/>
      <c r="AW128" s="449"/>
      <c r="AX128" s="449"/>
      <c r="AY128" s="449"/>
      <c r="AZ128" s="449"/>
      <c r="BA128" s="449"/>
      <c r="BB128" s="449"/>
      <c r="BC128" s="449"/>
      <c r="BD128" s="449"/>
      <c r="BE128" s="449"/>
      <c r="BF128" s="449"/>
      <c r="BG128" s="449"/>
      <c r="BH128" s="449"/>
      <c r="BI128" s="449"/>
      <c r="BJ128" s="449"/>
      <c r="BK128" s="449"/>
      <c r="BL128" s="449"/>
      <c r="BM128" s="449"/>
      <c r="BN128" s="449"/>
      <c r="BO128" s="449"/>
      <c r="BP128" s="449"/>
      <c r="BQ128" s="449"/>
      <c r="BR128" s="449"/>
      <c r="BS128" s="449"/>
      <c r="BT128" s="449"/>
      <c r="BU128" s="449"/>
      <c r="BV128" s="449"/>
      <c r="BW128" s="449"/>
      <c r="BX128" s="449"/>
      <c r="BY128" s="449"/>
      <c r="BZ128" s="449"/>
      <c r="CA128" s="449"/>
      <c r="CB128" s="449"/>
      <c r="CC128" s="449"/>
      <c r="CD128" s="449"/>
      <c r="CE128" s="449"/>
      <c r="CF128" s="449"/>
      <c r="CG128" s="449"/>
      <c r="CH128" s="449"/>
      <c r="CI128" s="449"/>
      <c r="CJ128" s="449"/>
      <c r="CK128" s="449"/>
      <c r="CL128" s="449"/>
      <c r="CM128" s="449"/>
      <c r="CN128" s="449"/>
      <c r="CO128" s="449"/>
      <c r="CP128" s="449"/>
      <c r="CQ128" s="449"/>
      <c r="CR128" s="449"/>
      <c r="CS128" s="449"/>
      <c r="CT128" s="449"/>
      <c r="CU128" s="449"/>
      <c r="CV128" s="449"/>
      <c r="CW128" s="449"/>
      <c r="CX128" s="449"/>
      <c r="CY128" s="449"/>
      <c r="CZ128" s="449"/>
      <c r="DA128" s="449"/>
      <c r="DB128" s="449"/>
      <c r="DC128" s="449"/>
      <c r="DD128" s="449"/>
      <c r="DE128" s="449"/>
      <c r="DF128" s="449"/>
      <c r="DG128" s="449"/>
      <c r="DH128" s="449"/>
      <c r="DI128" s="449"/>
      <c r="DJ128" s="449"/>
      <c r="DK128" s="449"/>
      <c r="DL128" s="449"/>
      <c r="DM128" s="449"/>
      <c r="DN128" s="449"/>
      <c r="DO128" s="449"/>
      <c r="DP128" s="449"/>
      <c r="DQ128" s="449"/>
      <c r="DR128" s="449"/>
      <c r="DS128" s="449"/>
      <c r="DT128" s="449"/>
      <c r="DU128" s="449"/>
      <c r="DV128" s="449"/>
      <c r="DW128" s="449"/>
      <c r="DX128" s="449"/>
      <c r="DY128" s="449"/>
      <c r="DZ128" s="449"/>
      <c r="EA128" s="449"/>
      <c r="EB128" s="449"/>
      <c r="EC128" s="449"/>
      <c r="ED128" s="449"/>
      <c r="EE128" s="449"/>
      <c r="EF128" s="449"/>
      <c r="EG128" s="449"/>
      <c r="EH128" s="449"/>
      <c r="EI128" s="449"/>
      <c r="EJ128" s="449"/>
      <c r="EK128" s="449"/>
      <c r="EL128" s="449"/>
      <c r="EM128" s="449"/>
      <c r="EN128" s="449"/>
      <c r="EO128" s="449"/>
      <c r="EP128" s="449"/>
      <c r="EQ128" s="449"/>
      <c r="ER128" s="449"/>
      <c r="ES128" s="449"/>
      <c r="ET128" s="449"/>
      <c r="EU128" s="449"/>
      <c r="EV128" s="449"/>
      <c r="EW128" s="449"/>
      <c r="EX128" s="449"/>
      <c r="EY128" s="449"/>
      <c r="EZ128" s="449"/>
      <c r="FA128" s="449"/>
      <c r="FB128" s="449"/>
      <c r="FC128" s="449"/>
      <c r="FD128" s="449"/>
      <c r="FE128" s="449"/>
      <c r="FF128" s="449"/>
      <c r="FG128" s="449"/>
      <c r="FH128" s="449"/>
      <c r="FI128" s="449"/>
      <c r="FJ128" s="449"/>
      <c r="FK128" s="449"/>
      <c r="FL128" s="449"/>
      <c r="FM128" s="449"/>
      <c r="FN128" s="449"/>
      <c r="FO128" s="449"/>
      <c r="FP128" s="449"/>
      <c r="FQ128" s="449"/>
      <c r="FR128" s="449"/>
      <c r="FS128" s="449"/>
      <c r="FT128" s="449"/>
      <c r="FU128" s="449"/>
      <c r="FV128" s="449"/>
      <c r="FW128" s="449"/>
      <c r="FX128" s="449"/>
      <c r="FY128" s="449"/>
      <c r="FZ128" s="449"/>
      <c r="GA128" s="449"/>
      <c r="GB128" s="449"/>
      <c r="GC128" s="449"/>
      <c r="GD128" s="449"/>
      <c r="GE128" s="449"/>
      <c r="GF128" s="449"/>
      <c r="GG128" s="449"/>
      <c r="GH128" s="449"/>
      <c r="GI128" s="449"/>
      <c r="GJ128" s="449"/>
      <c r="GK128" s="449"/>
      <c r="GL128" s="449"/>
      <c r="GM128" s="449"/>
      <c r="GN128" s="449"/>
      <c r="GO128" s="449"/>
      <c r="GP128" s="449"/>
      <c r="GQ128" s="449"/>
      <c r="GR128" s="449"/>
      <c r="GS128" s="449"/>
      <c r="GT128" s="449"/>
      <c r="GU128" s="449"/>
      <c r="GV128" s="449"/>
      <c r="GW128" s="449"/>
      <c r="GX128" s="449"/>
      <c r="GY128" s="449"/>
      <c r="GZ128" s="449"/>
      <c r="HA128" s="449"/>
      <c r="HB128" s="449"/>
      <c r="HC128" s="449"/>
      <c r="HD128" s="449"/>
      <c r="HE128" s="449"/>
      <c r="HF128" s="449"/>
      <c r="HG128" s="449"/>
      <c r="HH128" s="449"/>
      <c r="HI128" s="449"/>
      <c r="HJ128" s="449"/>
      <c r="HK128" s="449"/>
      <c r="HL128" s="449"/>
      <c r="HM128" s="449"/>
      <c r="HN128" s="449"/>
      <c r="HO128" s="449"/>
      <c r="HP128" s="449"/>
      <c r="HQ128" s="449"/>
      <c r="HR128" s="449"/>
      <c r="HS128" s="449"/>
      <c r="HT128" s="449"/>
      <c r="HU128" s="449"/>
      <c r="HV128" s="449"/>
      <c r="HW128" s="449"/>
      <c r="HX128" s="449"/>
      <c r="HY128" s="449"/>
      <c r="HZ128" s="449"/>
      <c r="IA128" s="449"/>
      <c r="IB128" s="449"/>
      <c r="IC128" s="449"/>
      <c r="ID128" s="449"/>
      <c r="IE128" s="449"/>
      <c r="IF128" s="449"/>
      <c r="IG128" s="449"/>
      <c r="IH128" s="449"/>
      <c r="II128" s="449"/>
      <c r="IJ128" s="449"/>
      <c r="IK128" s="449"/>
      <c r="IL128" s="449"/>
      <c r="IM128" s="449"/>
      <c r="IN128" s="449"/>
      <c r="IO128" s="449"/>
      <c r="IP128" s="449"/>
      <c r="IQ128" s="449"/>
      <c r="IR128" s="449"/>
      <c r="IS128" s="449"/>
      <c r="IT128" s="449"/>
      <c r="IU128" s="449"/>
      <c r="IV128" s="449"/>
      <c r="IW128" s="449"/>
      <c r="IX128" s="449"/>
      <c r="IY128" s="449"/>
    </row>
    <row r="129" spans="3:259" s="379" customFormat="1" ht="12.75" x14ac:dyDescent="0.2">
      <c r="C129" s="418" t="s">
        <v>939</v>
      </c>
      <c r="D129" s="393" t="s">
        <v>880</v>
      </c>
      <c r="E129" s="417" t="s">
        <v>940</v>
      </c>
      <c r="F129" s="417"/>
      <c r="G129" s="393">
        <v>498</v>
      </c>
      <c r="H129" s="393">
        <v>198</v>
      </c>
      <c r="I129" s="393">
        <v>46</v>
      </c>
      <c r="J129" s="393">
        <v>7</v>
      </c>
      <c r="K129" s="397">
        <v>2300</v>
      </c>
      <c r="L129" s="397"/>
      <c r="M129" s="398">
        <f>K129*0.65</f>
        <v>1495</v>
      </c>
      <c r="N129" s="449"/>
      <c r="O129" s="449"/>
      <c r="P129" s="449"/>
      <c r="Q129" s="449"/>
      <c r="R129" s="449"/>
      <c r="S129" s="449"/>
      <c r="T129" s="449"/>
      <c r="U129" s="449"/>
      <c r="V129" s="449"/>
      <c r="W129" s="449"/>
      <c r="X129" s="449"/>
      <c r="Y129" s="449"/>
      <c r="Z129" s="449"/>
      <c r="AA129" s="449"/>
      <c r="AB129" s="449"/>
      <c r="AC129" s="449"/>
      <c r="AD129" s="449"/>
      <c r="AE129" s="449"/>
      <c r="AF129" s="449"/>
      <c r="AG129" s="449"/>
      <c r="AH129" s="449"/>
      <c r="AI129" s="449"/>
      <c r="AJ129" s="449"/>
      <c r="AK129" s="449"/>
      <c r="AL129" s="449"/>
      <c r="AM129" s="449"/>
      <c r="AN129" s="449"/>
      <c r="AO129" s="449"/>
      <c r="AP129" s="449"/>
      <c r="AQ129" s="449"/>
      <c r="AR129" s="449"/>
      <c r="AS129" s="449"/>
      <c r="AT129" s="449"/>
      <c r="AU129" s="449"/>
      <c r="AV129" s="449"/>
      <c r="AW129" s="449"/>
      <c r="AX129" s="449"/>
      <c r="AY129" s="449"/>
      <c r="AZ129" s="449"/>
      <c r="BA129" s="449"/>
      <c r="BB129" s="449"/>
      <c r="BC129" s="449"/>
      <c r="BD129" s="449"/>
      <c r="BE129" s="449"/>
      <c r="BF129" s="449"/>
      <c r="BG129" s="449"/>
      <c r="BH129" s="449"/>
      <c r="BI129" s="449"/>
      <c r="BJ129" s="449"/>
      <c r="BK129" s="449"/>
      <c r="BL129" s="449"/>
      <c r="BM129" s="449"/>
      <c r="BN129" s="449"/>
      <c r="BO129" s="449"/>
      <c r="BP129" s="449"/>
      <c r="BQ129" s="449"/>
      <c r="BR129" s="449"/>
      <c r="BS129" s="449"/>
      <c r="BT129" s="449"/>
      <c r="BU129" s="449"/>
      <c r="BV129" s="449"/>
      <c r="BW129" s="449"/>
      <c r="BX129" s="449"/>
      <c r="BY129" s="449"/>
      <c r="BZ129" s="449"/>
      <c r="CA129" s="449"/>
      <c r="CB129" s="449"/>
      <c r="CC129" s="449"/>
      <c r="CD129" s="449"/>
      <c r="CE129" s="449"/>
      <c r="CF129" s="449"/>
      <c r="CG129" s="449"/>
      <c r="CH129" s="449"/>
      <c r="CI129" s="449"/>
      <c r="CJ129" s="449"/>
      <c r="CK129" s="449"/>
      <c r="CL129" s="449"/>
      <c r="CM129" s="449"/>
      <c r="CN129" s="449"/>
      <c r="CO129" s="449"/>
      <c r="CP129" s="449"/>
      <c r="CQ129" s="449"/>
      <c r="CR129" s="449"/>
      <c r="CS129" s="449"/>
      <c r="CT129" s="449"/>
      <c r="CU129" s="449"/>
      <c r="CV129" s="449"/>
      <c r="CW129" s="449"/>
      <c r="CX129" s="449"/>
      <c r="CY129" s="449"/>
      <c r="CZ129" s="449"/>
      <c r="DA129" s="449"/>
      <c r="DB129" s="449"/>
      <c r="DC129" s="449"/>
      <c r="DD129" s="449"/>
      <c r="DE129" s="449"/>
      <c r="DF129" s="449"/>
      <c r="DG129" s="449"/>
      <c r="DH129" s="449"/>
      <c r="DI129" s="449"/>
      <c r="DJ129" s="449"/>
      <c r="DK129" s="449"/>
      <c r="DL129" s="449"/>
      <c r="DM129" s="449"/>
      <c r="DN129" s="449"/>
      <c r="DO129" s="449"/>
      <c r="DP129" s="449"/>
      <c r="DQ129" s="449"/>
      <c r="DR129" s="449"/>
      <c r="DS129" s="449"/>
      <c r="DT129" s="449"/>
      <c r="DU129" s="449"/>
      <c r="DV129" s="449"/>
      <c r="DW129" s="449"/>
      <c r="DX129" s="449"/>
      <c r="DY129" s="449"/>
      <c r="DZ129" s="449"/>
      <c r="EA129" s="449"/>
      <c r="EB129" s="449"/>
      <c r="EC129" s="449"/>
      <c r="ED129" s="449"/>
      <c r="EE129" s="449"/>
      <c r="EF129" s="449"/>
      <c r="EG129" s="449"/>
      <c r="EH129" s="449"/>
      <c r="EI129" s="449"/>
      <c r="EJ129" s="449"/>
      <c r="EK129" s="449"/>
      <c r="EL129" s="449"/>
      <c r="EM129" s="449"/>
      <c r="EN129" s="449"/>
      <c r="EO129" s="449"/>
      <c r="EP129" s="449"/>
      <c r="EQ129" s="449"/>
      <c r="ER129" s="449"/>
      <c r="ES129" s="449"/>
      <c r="ET129" s="449"/>
      <c r="EU129" s="449"/>
      <c r="EV129" s="449"/>
      <c r="EW129" s="449"/>
      <c r="EX129" s="449"/>
      <c r="EY129" s="449"/>
      <c r="EZ129" s="449"/>
      <c r="FA129" s="449"/>
      <c r="FB129" s="449"/>
      <c r="FC129" s="449"/>
      <c r="FD129" s="449"/>
      <c r="FE129" s="449"/>
      <c r="FF129" s="449"/>
      <c r="FG129" s="449"/>
      <c r="FH129" s="449"/>
      <c r="FI129" s="449"/>
      <c r="FJ129" s="449"/>
      <c r="FK129" s="449"/>
      <c r="FL129" s="449"/>
      <c r="FM129" s="449"/>
      <c r="FN129" s="449"/>
      <c r="FO129" s="449"/>
      <c r="FP129" s="449"/>
      <c r="FQ129" s="449"/>
      <c r="FR129" s="449"/>
      <c r="FS129" s="449"/>
      <c r="FT129" s="449"/>
      <c r="FU129" s="449"/>
      <c r="FV129" s="449"/>
      <c r="FW129" s="449"/>
      <c r="FX129" s="449"/>
      <c r="FY129" s="449"/>
      <c r="FZ129" s="449"/>
      <c r="GA129" s="449"/>
      <c r="GB129" s="449"/>
      <c r="GC129" s="449"/>
      <c r="GD129" s="449"/>
      <c r="GE129" s="449"/>
      <c r="GF129" s="449"/>
      <c r="GG129" s="449"/>
      <c r="GH129" s="449"/>
      <c r="GI129" s="449"/>
      <c r="GJ129" s="449"/>
      <c r="GK129" s="449"/>
      <c r="GL129" s="449"/>
      <c r="GM129" s="449"/>
      <c r="GN129" s="449"/>
      <c r="GO129" s="449"/>
      <c r="GP129" s="449"/>
      <c r="GQ129" s="449"/>
      <c r="GR129" s="449"/>
      <c r="GS129" s="449"/>
      <c r="GT129" s="449"/>
      <c r="GU129" s="449"/>
      <c r="GV129" s="449"/>
      <c r="GW129" s="449"/>
      <c r="GX129" s="449"/>
      <c r="GY129" s="449"/>
      <c r="GZ129" s="449"/>
      <c r="HA129" s="449"/>
      <c r="HB129" s="449"/>
      <c r="HC129" s="449"/>
      <c r="HD129" s="449"/>
      <c r="HE129" s="449"/>
      <c r="HF129" s="449"/>
      <c r="HG129" s="449"/>
      <c r="HH129" s="449"/>
      <c r="HI129" s="449"/>
      <c r="HJ129" s="449"/>
      <c r="HK129" s="449"/>
      <c r="HL129" s="449"/>
      <c r="HM129" s="449"/>
      <c r="HN129" s="449"/>
      <c r="HO129" s="449"/>
      <c r="HP129" s="449"/>
      <c r="HQ129" s="449"/>
      <c r="HR129" s="449"/>
      <c r="HS129" s="449"/>
      <c r="HT129" s="449"/>
      <c r="HU129" s="449"/>
      <c r="HV129" s="449"/>
      <c r="HW129" s="449"/>
      <c r="HX129" s="449"/>
      <c r="HY129" s="449"/>
      <c r="HZ129" s="449"/>
      <c r="IA129" s="449"/>
      <c r="IB129" s="449"/>
      <c r="IC129" s="449"/>
      <c r="ID129" s="449"/>
      <c r="IE129" s="449"/>
      <c r="IF129" s="449"/>
      <c r="IG129" s="449"/>
      <c r="IH129" s="449"/>
      <c r="II129" s="449"/>
      <c r="IJ129" s="449"/>
      <c r="IK129" s="449"/>
      <c r="IL129" s="449"/>
      <c r="IM129" s="449"/>
      <c r="IN129" s="449"/>
      <c r="IO129" s="449"/>
      <c r="IP129" s="449"/>
      <c r="IQ129" s="449"/>
      <c r="IR129" s="449"/>
      <c r="IS129" s="449"/>
      <c r="IT129" s="449"/>
      <c r="IU129" s="449"/>
      <c r="IV129" s="449"/>
      <c r="IW129" s="449"/>
      <c r="IX129" s="449"/>
      <c r="IY129" s="449"/>
    </row>
    <row r="130" spans="3:259" s="379" customFormat="1" ht="12.75" x14ac:dyDescent="0.2">
      <c r="C130" s="388" t="s">
        <v>941</v>
      </c>
      <c r="D130" s="389"/>
      <c r="E130" s="389"/>
      <c r="F130" s="389"/>
      <c r="G130" s="389"/>
      <c r="H130" s="389"/>
      <c r="I130" s="389"/>
      <c r="J130" s="389"/>
      <c r="K130" s="390"/>
      <c r="L130" s="390"/>
      <c r="M130" s="391" t="str">
        <f>IFERROR(K130/#REF!-1,"")</f>
        <v/>
      </c>
      <c r="N130" s="449"/>
      <c r="O130" s="449"/>
      <c r="P130" s="449"/>
      <c r="Q130" s="449"/>
      <c r="R130" s="449"/>
      <c r="S130" s="449"/>
      <c r="T130" s="449"/>
      <c r="U130" s="449"/>
      <c r="V130" s="449"/>
      <c r="W130" s="449"/>
      <c r="X130" s="449"/>
      <c r="Y130" s="449"/>
      <c r="Z130" s="449"/>
      <c r="AA130" s="449"/>
      <c r="AB130" s="449"/>
      <c r="AC130" s="449"/>
      <c r="AD130" s="449"/>
      <c r="AE130" s="449"/>
      <c r="AF130" s="449"/>
      <c r="AG130" s="449"/>
      <c r="AH130" s="449"/>
      <c r="AI130" s="449"/>
      <c r="AJ130" s="449"/>
      <c r="AK130" s="449"/>
      <c r="AL130" s="449"/>
      <c r="AM130" s="449"/>
      <c r="AN130" s="449"/>
      <c r="AO130" s="449"/>
      <c r="AP130" s="449"/>
      <c r="AQ130" s="449"/>
      <c r="AR130" s="449"/>
      <c r="AS130" s="449"/>
      <c r="AT130" s="449"/>
      <c r="AU130" s="449"/>
      <c r="AV130" s="449"/>
      <c r="AW130" s="449"/>
      <c r="AX130" s="449"/>
      <c r="AY130" s="449"/>
      <c r="AZ130" s="449"/>
      <c r="BA130" s="449"/>
      <c r="BB130" s="449"/>
      <c r="BC130" s="449"/>
      <c r="BD130" s="449"/>
      <c r="BE130" s="449"/>
      <c r="BF130" s="449"/>
      <c r="BG130" s="449"/>
      <c r="BH130" s="449"/>
      <c r="BI130" s="449"/>
      <c r="BJ130" s="449"/>
      <c r="BK130" s="449"/>
      <c r="BL130" s="449"/>
      <c r="BM130" s="449"/>
      <c r="BN130" s="449"/>
      <c r="BO130" s="449"/>
      <c r="BP130" s="449"/>
      <c r="BQ130" s="449"/>
      <c r="BR130" s="449"/>
      <c r="BS130" s="449"/>
      <c r="BT130" s="449"/>
      <c r="BU130" s="449"/>
      <c r="BV130" s="449"/>
      <c r="BW130" s="449"/>
      <c r="BX130" s="449"/>
      <c r="BY130" s="449"/>
      <c r="BZ130" s="449"/>
      <c r="CA130" s="449"/>
      <c r="CB130" s="449"/>
      <c r="CC130" s="449"/>
      <c r="CD130" s="449"/>
      <c r="CE130" s="449"/>
      <c r="CF130" s="449"/>
      <c r="CG130" s="449"/>
      <c r="CH130" s="449"/>
      <c r="CI130" s="449"/>
      <c r="CJ130" s="449"/>
      <c r="CK130" s="449"/>
      <c r="CL130" s="449"/>
      <c r="CM130" s="449"/>
      <c r="CN130" s="449"/>
      <c r="CO130" s="449"/>
      <c r="CP130" s="449"/>
      <c r="CQ130" s="449"/>
      <c r="CR130" s="449"/>
      <c r="CS130" s="449"/>
      <c r="CT130" s="449"/>
      <c r="CU130" s="449"/>
      <c r="CV130" s="449"/>
      <c r="CW130" s="449"/>
      <c r="CX130" s="449"/>
      <c r="CY130" s="449"/>
      <c r="CZ130" s="449"/>
      <c r="DA130" s="449"/>
      <c r="DB130" s="449"/>
      <c r="DC130" s="449"/>
      <c r="DD130" s="449"/>
      <c r="DE130" s="449"/>
      <c r="DF130" s="449"/>
      <c r="DG130" s="449"/>
      <c r="DH130" s="449"/>
      <c r="DI130" s="449"/>
      <c r="DJ130" s="449"/>
      <c r="DK130" s="449"/>
      <c r="DL130" s="449"/>
      <c r="DM130" s="449"/>
      <c r="DN130" s="449"/>
      <c r="DO130" s="449"/>
      <c r="DP130" s="449"/>
      <c r="DQ130" s="449"/>
      <c r="DR130" s="449"/>
      <c r="DS130" s="449"/>
      <c r="DT130" s="449"/>
      <c r="DU130" s="449"/>
      <c r="DV130" s="449"/>
      <c r="DW130" s="449"/>
      <c r="DX130" s="449"/>
      <c r="DY130" s="449"/>
      <c r="DZ130" s="449"/>
      <c r="EA130" s="449"/>
      <c r="EB130" s="449"/>
      <c r="EC130" s="449"/>
      <c r="ED130" s="449"/>
      <c r="EE130" s="449"/>
      <c r="EF130" s="449"/>
      <c r="EG130" s="449"/>
      <c r="EH130" s="449"/>
      <c r="EI130" s="449"/>
      <c r="EJ130" s="449"/>
      <c r="EK130" s="449"/>
      <c r="EL130" s="449"/>
      <c r="EM130" s="449"/>
      <c r="EN130" s="449"/>
      <c r="EO130" s="449"/>
      <c r="EP130" s="449"/>
      <c r="EQ130" s="449"/>
      <c r="ER130" s="449"/>
      <c r="ES130" s="449"/>
      <c r="ET130" s="449"/>
      <c r="EU130" s="449"/>
      <c r="EV130" s="449"/>
      <c r="EW130" s="449"/>
      <c r="EX130" s="449"/>
      <c r="EY130" s="449"/>
      <c r="EZ130" s="449"/>
      <c r="FA130" s="449"/>
      <c r="FB130" s="449"/>
      <c r="FC130" s="449"/>
      <c r="FD130" s="449"/>
      <c r="FE130" s="449"/>
      <c r="FF130" s="449"/>
      <c r="FG130" s="449"/>
      <c r="FH130" s="449"/>
      <c r="FI130" s="449"/>
      <c r="FJ130" s="449"/>
      <c r="FK130" s="449"/>
      <c r="FL130" s="449"/>
      <c r="FM130" s="449"/>
      <c r="FN130" s="449"/>
      <c r="FO130" s="449"/>
      <c r="FP130" s="449"/>
      <c r="FQ130" s="449"/>
      <c r="FR130" s="449"/>
      <c r="FS130" s="449"/>
      <c r="FT130" s="449"/>
      <c r="FU130" s="449"/>
      <c r="FV130" s="449"/>
      <c r="FW130" s="449"/>
      <c r="FX130" s="449"/>
      <c r="FY130" s="449"/>
      <c r="FZ130" s="449"/>
      <c r="GA130" s="449"/>
      <c r="GB130" s="449"/>
      <c r="GC130" s="449"/>
      <c r="GD130" s="449"/>
      <c r="GE130" s="449"/>
      <c r="GF130" s="449"/>
      <c r="GG130" s="449"/>
      <c r="GH130" s="449"/>
      <c r="GI130" s="449"/>
      <c r="GJ130" s="449"/>
      <c r="GK130" s="449"/>
      <c r="GL130" s="449"/>
      <c r="GM130" s="449"/>
      <c r="GN130" s="449"/>
      <c r="GO130" s="449"/>
      <c r="GP130" s="449"/>
      <c r="GQ130" s="449"/>
      <c r="GR130" s="449"/>
      <c r="GS130" s="449"/>
      <c r="GT130" s="449"/>
      <c r="GU130" s="449"/>
      <c r="GV130" s="449"/>
      <c r="GW130" s="449"/>
      <c r="GX130" s="449"/>
      <c r="GY130" s="449"/>
      <c r="GZ130" s="449"/>
      <c r="HA130" s="449"/>
      <c r="HB130" s="449"/>
      <c r="HC130" s="449"/>
      <c r="HD130" s="449"/>
      <c r="HE130" s="449"/>
      <c r="HF130" s="449"/>
      <c r="HG130" s="449"/>
      <c r="HH130" s="449"/>
      <c r="HI130" s="449"/>
      <c r="HJ130" s="449"/>
      <c r="HK130" s="449"/>
      <c r="HL130" s="449"/>
      <c r="HM130" s="449"/>
      <c r="HN130" s="449"/>
      <c r="HO130" s="449"/>
      <c r="HP130" s="449"/>
      <c r="HQ130" s="449"/>
      <c r="HR130" s="449"/>
      <c r="HS130" s="449"/>
      <c r="HT130" s="449"/>
      <c r="HU130" s="449"/>
      <c r="HV130" s="449"/>
      <c r="HW130" s="449"/>
      <c r="HX130" s="449"/>
      <c r="HY130" s="449"/>
      <c r="HZ130" s="449"/>
      <c r="IA130" s="449"/>
      <c r="IB130" s="449"/>
      <c r="IC130" s="449"/>
      <c r="ID130" s="449"/>
      <c r="IE130" s="449"/>
      <c r="IF130" s="449"/>
      <c r="IG130" s="449"/>
      <c r="IH130" s="449"/>
      <c r="II130" s="449"/>
      <c r="IJ130" s="449"/>
      <c r="IK130" s="449"/>
      <c r="IL130" s="449"/>
      <c r="IM130" s="449"/>
      <c r="IN130" s="449"/>
      <c r="IO130" s="449"/>
      <c r="IP130" s="449"/>
      <c r="IQ130" s="449"/>
      <c r="IR130" s="449"/>
      <c r="IS130" s="449"/>
      <c r="IT130" s="449"/>
      <c r="IU130" s="449"/>
      <c r="IV130" s="449"/>
      <c r="IW130" s="449"/>
      <c r="IX130" s="449"/>
      <c r="IY130" s="449"/>
    </row>
    <row r="131" spans="3:259" s="379" customFormat="1" ht="12.75" x14ac:dyDescent="0.2">
      <c r="C131" s="418" t="s">
        <v>882</v>
      </c>
      <c r="D131" s="393"/>
      <c r="E131" s="420" t="s">
        <v>883</v>
      </c>
      <c r="F131" s="420"/>
      <c r="G131" s="393"/>
      <c r="H131" s="393"/>
      <c r="I131" s="393"/>
      <c r="J131" s="393"/>
      <c r="K131" s="454">
        <v>15</v>
      </c>
      <c r="L131" s="454"/>
      <c r="M131" s="455">
        <f>K131*0.75</f>
        <v>11.25</v>
      </c>
      <c r="N131" s="449"/>
      <c r="O131" s="449"/>
      <c r="P131" s="449"/>
      <c r="Q131" s="449"/>
      <c r="R131" s="449"/>
      <c r="S131" s="449"/>
      <c r="T131" s="449"/>
      <c r="U131" s="449"/>
      <c r="V131" s="449"/>
      <c r="W131" s="449"/>
      <c r="X131" s="449"/>
      <c r="Y131" s="449"/>
      <c r="Z131" s="449"/>
      <c r="AA131" s="449"/>
      <c r="AB131" s="449"/>
      <c r="AC131" s="449"/>
      <c r="AD131" s="449"/>
      <c r="AE131" s="449"/>
      <c r="AF131" s="449"/>
      <c r="AG131" s="449"/>
      <c r="AH131" s="449"/>
      <c r="AI131" s="449"/>
      <c r="AJ131" s="449"/>
      <c r="AK131" s="449"/>
      <c r="AL131" s="449"/>
      <c r="AM131" s="449"/>
      <c r="AN131" s="449"/>
      <c r="AO131" s="449"/>
      <c r="AP131" s="449"/>
      <c r="AQ131" s="449"/>
      <c r="AR131" s="449"/>
      <c r="AS131" s="449"/>
      <c r="AT131" s="449"/>
      <c r="AU131" s="449"/>
      <c r="AV131" s="449"/>
      <c r="AW131" s="449"/>
      <c r="AX131" s="449"/>
      <c r="AY131" s="449"/>
      <c r="AZ131" s="449"/>
      <c r="BA131" s="449"/>
      <c r="BB131" s="449"/>
      <c r="BC131" s="449"/>
      <c r="BD131" s="449"/>
      <c r="BE131" s="449"/>
      <c r="BF131" s="449"/>
      <c r="BG131" s="449"/>
      <c r="BH131" s="449"/>
      <c r="BI131" s="449"/>
      <c r="BJ131" s="449"/>
      <c r="BK131" s="449"/>
      <c r="BL131" s="449"/>
      <c r="BM131" s="449"/>
      <c r="BN131" s="449"/>
      <c r="BO131" s="449"/>
      <c r="BP131" s="449"/>
      <c r="BQ131" s="449"/>
      <c r="BR131" s="449"/>
      <c r="BS131" s="449"/>
      <c r="BT131" s="449"/>
      <c r="BU131" s="449"/>
      <c r="BV131" s="449"/>
      <c r="BW131" s="449"/>
      <c r="BX131" s="449"/>
      <c r="BY131" s="449"/>
      <c r="BZ131" s="449"/>
      <c r="CA131" s="449"/>
      <c r="CB131" s="449"/>
      <c r="CC131" s="449"/>
      <c r="CD131" s="449"/>
      <c r="CE131" s="449"/>
      <c r="CF131" s="449"/>
      <c r="CG131" s="449"/>
      <c r="CH131" s="449"/>
      <c r="CI131" s="449"/>
      <c r="CJ131" s="449"/>
      <c r="CK131" s="449"/>
      <c r="CL131" s="449"/>
      <c r="CM131" s="449"/>
      <c r="CN131" s="449"/>
      <c r="CO131" s="449"/>
      <c r="CP131" s="449"/>
      <c r="CQ131" s="449"/>
      <c r="CR131" s="449"/>
      <c r="CS131" s="449"/>
      <c r="CT131" s="449"/>
      <c r="CU131" s="449"/>
      <c r="CV131" s="449"/>
      <c r="CW131" s="449"/>
      <c r="CX131" s="449"/>
      <c r="CY131" s="449"/>
      <c r="CZ131" s="449"/>
      <c r="DA131" s="449"/>
      <c r="DB131" s="449"/>
      <c r="DC131" s="449"/>
      <c r="DD131" s="449"/>
      <c r="DE131" s="449"/>
      <c r="DF131" s="449"/>
      <c r="DG131" s="449"/>
      <c r="DH131" s="449"/>
      <c r="DI131" s="449"/>
      <c r="DJ131" s="449"/>
      <c r="DK131" s="449"/>
      <c r="DL131" s="449"/>
      <c r="DM131" s="449"/>
      <c r="DN131" s="449"/>
      <c r="DO131" s="449"/>
      <c r="DP131" s="449"/>
      <c r="DQ131" s="449"/>
      <c r="DR131" s="449"/>
      <c r="DS131" s="449"/>
      <c r="DT131" s="449"/>
      <c r="DU131" s="449"/>
      <c r="DV131" s="449"/>
      <c r="DW131" s="449"/>
      <c r="DX131" s="449"/>
      <c r="DY131" s="449"/>
      <c r="DZ131" s="449"/>
      <c r="EA131" s="449"/>
      <c r="EB131" s="449"/>
      <c r="EC131" s="449"/>
      <c r="ED131" s="449"/>
      <c r="EE131" s="449"/>
      <c r="EF131" s="449"/>
      <c r="EG131" s="449"/>
      <c r="EH131" s="449"/>
      <c r="EI131" s="449"/>
      <c r="EJ131" s="449"/>
      <c r="EK131" s="449"/>
      <c r="EL131" s="449"/>
      <c r="EM131" s="449"/>
      <c r="EN131" s="449"/>
      <c r="EO131" s="449"/>
      <c r="EP131" s="449"/>
      <c r="EQ131" s="449"/>
      <c r="ER131" s="449"/>
      <c r="ES131" s="449"/>
      <c r="ET131" s="449"/>
      <c r="EU131" s="449"/>
      <c r="EV131" s="449"/>
      <c r="EW131" s="449"/>
      <c r="EX131" s="449"/>
      <c r="EY131" s="449"/>
      <c r="EZ131" s="449"/>
      <c r="FA131" s="449"/>
      <c r="FB131" s="449"/>
      <c r="FC131" s="449"/>
      <c r="FD131" s="449"/>
      <c r="FE131" s="449"/>
      <c r="FF131" s="449"/>
      <c r="FG131" s="449"/>
      <c r="FH131" s="449"/>
      <c r="FI131" s="449"/>
      <c r="FJ131" s="449"/>
      <c r="FK131" s="449"/>
      <c r="FL131" s="449"/>
      <c r="FM131" s="449"/>
      <c r="FN131" s="449"/>
      <c r="FO131" s="449"/>
      <c r="FP131" s="449"/>
      <c r="FQ131" s="449"/>
      <c r="FR131" s="449"/>
      <c r="FS131" s="449"/>
      <c r="FT131" s="449"/>
      <c r="FU131" s="449"/>
      <c r="FV131" s="449"/>
      <c r="FW131" s="449"/>
      <c r="FX131" s="449"/>
      <c r="FY131" s="449"/>
      <c r="FZ131" s="449"/>
      <c r="GA131" s="449"/>
      <c r="GB131" s="449"/>
      <c r="GC131" s="449"/>
      <c r="GD131" s="449"/>
      <c r="GE131" s="449"/>
      <c r="GF131" s="449"/>
      <c r="GG131" s="449"/>
      <c r="GH131" s="449"/>
      <c r="GI131" s="449"/>
      <c r="GJ131" s="449"/>
      <c r="GK131" s="449"/>
      <c r="GL131" s="449"/>
      <c r="GM131" s="449"/>
      <c r="GN131" s="449"/>
      <c r="GO131" s="449"/>
      <c r="GP131" s="449"/>
      <c r="GQ131" s="449"/>
      <c r="GR131" s="449"/>
      <c r="GS131" s="449"/>
      <c r="GT131" s="449"/>
      <c r="GU131" s="449"/>
      <c r="GV131" s="449"/>
      <c r="GW131" s="449"/>
      <c r="GX131" s="449"/>
      <c r="GY131" s="449"/>
      <c r="GZ131" s="449"/>
      <c r="HA131" s="449"/>
      <c r="HB131" s="449"/>
      <c r="HC131" s="449"/>
      <c r="HD131" s="449"/>
      <c r="HE131" s="449"/>
      <c r="HF131" s="449"/>
      <c r="HG131" s="449"/>
      <c r="HH131" s="449"/>
      <c r="HI131" s="449"/>
      <c r="HJ131" s="449"/>
      <c r="HK131" s="449"/>
      <c r="HL131" s="449"/>
      <c r="HM131" s="449"/>
      <c r="HN131" s="449"/>
      <c r="HO131" s="449"/>
      <c r="HP131" s="449"/>
      <c r="HQ131" s="449"/>
      <c r="HR131" s="449"/>
      <c r="HS131" s="449"/>
      <c r="HT131" s="449"/>
      <c r="HU131" s="449"/>
      <c r="HV131" s="449"/>
      <c r="HW131" s="449"/>
      <c r="HX131" s="449"/>
      <c r="HY131" s="449"/>
      <c r="HZ131" s="449"/>
      <c r="IA131" s="449"/>
      <c r="IB131" s="449"/>
      <c r="IC131" s="449"/>
      <c r="ID131" s="449"/>
      <c r="IE131" s="449"/>
      <c r="IF131" s="449"/>
      <c r="IG131" s="449"/>
      <c r="IH131" s="449"/>
      <c r="II131" s="449"/>
      <c r="IJ131" s="449"/>
      <c r="IK131" s="449"/>
      <c r="IL131" s="449"/>
      <c r="IM131" s="449"/>
      <c r="IN131" s="449"/>
      <c r="IO131" s="449"/>
      <c r="IP131" s="449"/>
      <c r="IQ131" s="449"/>
      <c r="IR131" s="449"/>
      <c r="IS131" s="449"/>
      <c r="IT131" s="449"/>
      <c r="IU131" s="449"/>
      <c r="IV131" s="449"/>
      <c r="IW131" s="449"/>
      <c r="IX131" s="449"/>
      <c r="IY131" s="449"/>
    </row>
    <row r="132" spans="3:259" s="379" customFormat="1" ht="12.75" x14ac:dyDescent="0.2">
      <c r="C132" s="418" t="s">
        <v>884</v>
      </c>
      <c r="D132" s="393"/>
      <c r="E132" s="420" t="s">
        <v>885</v>
      </c>
      <c r="F132" s="420"/>
      <c r="G132" s="393"/>
      <c r="H132" s="393"/>
      <c r="I132" s="393"/>
      <c r="J132" s="393"/>
      <c r="K132" s="454">
        <v>15</v>
      </c>
      <c r="L132" s="454"/>
      <c r="M132" s="455">
        <f>K132*0.75</f>
        <v>11.25</v>
      </c>
      <c r="N132" s="449"/>
      <c r="O132" s="449"/>
      <c r="P132" s="449"/>
      <c r="Q132" s="449"/>
      <c r="R132" s="449"/>
      <c r="S132" s="449"/>
      <c r="T132" s="449"/>
      <c r="U132" s="449"/>
      <c r="V132" s="449"/>
      <c r="W132" s="449"/>
      <c r="X132" s="449"/>
      <c r="Y132" s="449"/>
      <c r="Z132" s="449"/>
      <c r="AA132" s="449"/>
      <c r="AB132" s="449"/>
      <c r="AC132" s="449"/>
      <c r="AD132" s="449"/>
      <c r="AE132" s="449"/>
      <c r="AF132" s="449"/>
      <c r="AG132" s="449"/>
      <c r="AH132" s="449"/>
      <c r="AI132" s="449"/>
      <c r="AJ132" s="449"/>
      <c r="AK132" s="449"/>
      <c r="AL132" s="449"/>
      <c r="AM132" s="449"/>
      <c r="AN132" s="449"/>
      <c r="AO132" s="449"/>
      <c r="AP132" s="449"/>
      <c r="AQ132" s="449"/>
      <c r="AR132" s="449"/>
      <c r="AS132" s="449"/>
      <c r="AT132" s="449"/>
      <c r="AU132" s="449"/>
      <c r="AV132" s="449"/>
      <c r="AW132" s="449"/>
      <c r="AX132" s="449"/>
      <c r="AY132" s="449"/>
      <c r="AZ132" s="449"/>
      <c r="BA132" s="449"/>
      <c r="BB132" s="449"/>
      <c r="BC132" s="449"/>
      <c r="BD132" s="449"/>
      <c r="BE132" s="449"/>
      <c r="BF132" s="449"/>
      <c r="BG132" s="449"/>
      <c r="BH132" s="449"/>
      <c r="BI132" s="449"/>
      <c r="BJ132" s="449"/>
      <c r="BK132" s="449"/>
      <c r="BL132" s="449"/>
      <c r="BM132" s="449"/>
      <c r="BN132" s="449"/>
      <c r="BO132" s="449"/>
      <c r="BP132" s="449"/>
      <c r="BQ132" s="449"/>
      <c r="BR132" s="449"/>
      <c r="BS132" s="449"/>
      <c r="BT132" s="449"/>
      <c r="BU132" s="449"/>
      <c r="BV132" s="449"/>
      <c r="BW132" s="449"/>
      <c r="BX132" s="449"/>
      <c r="BY132" s="449"/>
      <c r="BZ132" s="449"/>
      <c r="CA132" s="449"/>
      <c r="CB132" s="449"/>
      <c r="CC132" s="449"/>
      <c r="CD132" s="449"/>
      <c r="CE132" s="449"/>
      <c r="CF132" s="449"/>
      <c r="CG132" s="449"/>
      <c r="CH132" s="449"/>
      <c r="CI132" s="449"/>
      <c r="CJ132" s="449"/>
      <c r="CK132" s="449"/>
      <c r="CL132" s="449"/>
      <c r="CM132" s="449"/>
      <c r="CN132" s="449"/>
      <c r="CO132" s="449"/>
      <c r="CP132" s="449"/>
      <c r="CQ132" s="449"/>
      <c r="CR132" s="449"/>
      <c r="CS132" s="449"/>
      <c r="CT132" s="449"/>
      <c r="CU132" s="449"/>
      <c r="CV132" s="449"/>
      <c r="CW132" s="449"/>
      <c r="CX132" s="449"/>
      <c r="CY132" s="449"/>
      <c r="CZ132" s="449"/>
      <c r="DA132" s="449"/>
      <c r="DB132" s="449"/>
      <c r="DC132" s="449"/>
      <c r="DD132" s="449"/>
      <c r="DE132" s="449"/>
      <c r="DF132" s="449"/>
      <c r="DG132" s="449"/>
      <c r="DH132" s="449"/>
      <c r="DI132" s="449"/>
      <c r="DJ132" s="449"/>
      <c r="DK132" s="449"/>
      <c r="DL132" s="449"/>
      <c r="DM132" s="449"/>
      <c r="DN132" s="449"/>
      <c r="DO132" s="449"/>
      <c r="DP132" s="449"/>
      <c r="DQ132" s="449"/>
      <c r="DR132" s="449"/>
      <c r="DS132" s="449"/>
      <c r="DT132" s="449"/>
      <c r="DU132" s="449"/>
      <c r="DV132" s="449"/>
      <c r="DW132" s="449"/>
      <c r="DX132" s="449"/>
      <c r="DY132" s="449"/>
      <c r="DZ132" s="449"/>
      <c r="EA132" s="449"/>
      <c r="EB132" s="449"/>
      <c r="EC132" s="449"/>
      <c r="ED132" s="449"/>
      <c r="EE132" s="449"/>
      <c r="EF132" s="449"/>
      <c r="EG132" s="449"/>
      <c r="EH132" s="449"/>
      <c r="EI132" s="449"/>
      <c r="EJ132" s="449"/>
      <c r="EK132" s="449"/>
      <c r="EL132" s="449"/>
      <c r="EM132" s="449"/>
      <c r="EN132" s="449"/>
      <c r="EO132" s="449"/>
      <c r="EP132" s="449"/>
      <c r="EQ132" s="449"/>
      <c r="ER132" s="449"/>
      <c r="ES132" s="449"/>
      <c r="ET132" s="449"/>
      <c r="EU132" s="449"/>
      <c r="EV132" s="449"/>
      <c r="EW132" s="449"/>
      <c r="EX132" s="449"/>
      <c r="EY132" s="449"/>
      <c r="EZ132" s="449"/>
      <c r="FA132" s="449"/>
      <c r="FB132" s="449"/>
      <c r="FC132" s="449"/>
      <c r="FD132" s="449"/>
      <c r="FE132" s="449"/>
      <c r="FF132" s="449"/>
      <c r="FG132" s="449"/>
      <c r="FH132" s="449"/>
      <c r="FI132" s="449"/>
      <c r="FJ132" s="449"/>
      <c r="FK132" s="449"/>
      <c r="FL132" s="449"/>
      <c r="FM132" s="449"/>
      <c r="FN132" s="449"/>
      <c r="FO132" s="449"/>
      <c r="FP132" s="449"/>
      <c r="FQ132" s="449"/>
      <c r="FR132" s="449"/>
      <c r="FS132" s="449"/>
      <c r="FT132" s="449"/>
      <c r="FU132" s="449"/>
      <c r="FV132" s="449"/>
      <c r="FW132" s="449"/>
      <c r="FX132" s="449"/>
      <c r="FY132" s="449"/>
      <c r="FZ132" s="449"/>
      <c r="GA132" s="449"/>
      <c r="GB132" s="449"/>
      <c r="GC132" s="449"/>
      <c r="GD132" s="449"/>
      <c r="GE132" s="449"/>
      <c r="GF132" s="449"/>
      <c r="GG132" s="449"/>
      <c r="GH132" s="449"/>
      <c r="GI132" s="449"/>
      <c r="GJ132" s="449"/>
      <c r="GK132" s="449"/>
      <c r="GL132" s="449"/>
      <c r="GM132" s="449"/>
      <c r="GN132" s="449"/>
      <c r="GO132" s="449"/>
      <c r="GP132" s="449"/>
      <c r="GQ132" s="449"/>
      <c r="GR132" s="449"/>
      <c r="GS132" s="449"/>
      <c r="GT132" s="449"/>
      <c r="GU132" s="449"/>
      <c r="GV132" s="449"/>
      <c r="GW132" s="449"/>
      <c r="GX132" s="449"/>
      <c r="GY132" s="449"/>
      <c r="GZ132" s="449"/>
      <c r="HA132" s="449"/>
      <c r="HB132" s="449"/>
      <c r="HC132" s="449"/>
      <c r="HD132" s="449"/>
      <c r="HE132" s="449"/>
      <c r="HF132" s="449"/>
      <c r="HG132" s="449"/>
      <c r="HH132" s="449"/>
      <c r="HI132" s="449"/>
      <c r="HJ132" s="449"/>
      <c r="HK132" s="449"/>
      <c r="HL132" s="449"/>
      <c r="HM132" s="449"/>
      <c r="HN132" s="449"/>
      <c r="HO132" s="449"/>
      <c r="HP132" s="449"/>
      <c r="HQ132" s="449"/>
      <c r="HR132" s="449"/>
      <c r="HS132" s="449"/>
      <c r="HT132" s="449"/>
      <c r="HU132" s="449"/>
      <c r="HV132" s="449"/>
      <c r="HW132" s="449"/>
      <c r="HX132" s="449"/>
      <c r="HY132" s="449"/>
      <c r="HZ132" s="449"/>
      <c r="IA132" s="449"/>
      <c r="IB132" s="449"/>
      <c r="IC132" s="449"/>
      <c r="ID132" s="449"/>
      <c r="IE132" s="449"/>
      <c r="IF132" s="449"/>
      <c r="IG132" s="449"/>
      <c r="IH132" s="449"/>
      <c r="II132" s="449"/>
      <c r="IJ132" s="449"/>
      <c r="IK132" s="449"/>
      <c r="IL132" s="449"/>
      <c r="IM132" s="449"/>
      <c r="IN132" s="449"/>
      <c r="IO132" s="449"/>
      <c r="IP132" s="449"/>
      <c r="IQ132" s="449"/>
      <c r="IR132" s="449"/>
      <c r="IS132" s="449"/>
      <c r="IT132" s="449"/>
      <c r="IU132" s="449"/>
      <c r="IV132" s="449"/>
      <c r="IW132" s="449"/>
      <c r="IX132" s="449"/>
      <c r="IY132" s="449"/>
    </row>
    <row r="133" spans="3:259" s="379" customFormat="1" ht="12.75" x14ac:dyDescent="0.2">
      <c r="C133" s="388" t="s">
        <v>942</v>
      </c>
      <c r="D133" s="389"/>
      <c r="E133" s="389"/>
      <c r="F133" s="389"/>
      <c r="G133" s="389"/>
      <c r="H133" s="389"/>
      <c r="I133" s="389"/>
      <c r="J133" s="389"/>
      <c r="K133" s="390"/>
      <c r="L133" s="390"/>
      <c r="M133" s="391" t="str">
        <f>IFERROR(K133/#REF!-1,"")</f>
        <v/>
      </c>
      <c r="N133" s="449"/>
      <c r="O133" s="449"/>
      <c r="P133" s="449"/>
      <c r="Q133" s="449"/>
      <c r="R133" s="449"/>
      <c r="S133" s="449"/>
      <c r="T133" s="449"/>
      <c r="U133" s="449"/>
      <c r="V133" s="449"/>
      <c r="W133" s="449"/>
      <c r="X133" s="449"/>
      <c r="Y133" s="449"/>
      <c r="Z133" s="449"/>
      <c r="AA133" s="449"/>
      <c r="AB133" s="449"/>
      <c r="AC133" s="449"/>
      <c r="AD133" s="449"/>
      <c r="AE133" s="449"/>
      <c r="AF133" s="449"/>
      <c r="AG133" s="449"/>
      <c r="AH133" s="449"/>
      <c r="AI133" s="449"/>
      <c r="AJ133" s="449"/>
      <c r="AK133" s="449"/>
      <c r="AL133" s="449"/>
      <c r="AM133" s="449"/>
      <c r="AN133" s="449"/>
      <c r="AO133" s="449"/>
      <c r="AP133" s="449"/>
      <c r="AQ133" s="449"/>
      <c r="AR133" s="449"/>
      <c r="AS133" s="449"/>
      <c r="AT133" s="449"/>
      <c r="AU133" s="449"/>
      <c r="AV133" s="449"/>
      <c r="AW133" s="449"/>
      <c r="AX133" s="449"/>
      <c r="AY133" s="449"/>
      <c r="AZ133" s="449"/>
      <c r="BA133" s="449"/>
      <c r="BB133" s="449"/>
      <c r="BC133" s="449"/>
      <c r="BD133" s="449"/>
      <c r="BE133" s="449"/>
      <c r="BF133" s="449"/>
      <c r="BG133" s="449"/>
      <c r="BH133" s="449"/>
      <c r="BI133" s="449"/>
      <c r="BJ133" s="449"/>
      <c r="BK133" s="449"/>
      <c r="BL133" s="449"/>
      <c r="BM133" s="449"/>
      <c r="BN133" s="449"/>
      <c r="BO133" s="449"/>
      <c r="BP133" s="449"/>
      <c r="BQ133" s="449"/>
      <c r="BR133" s="449"/>
      <c r="BS133" s="449"/>
      <c r="BT133" s="449"/>
      <c r="BU133" s="449"/>
      <c r="BV133" s="449"/>
      <c r="BW133" s="449"/>
      <c r="BX133" s="449"/>
      <c r="BY133" s="449"/>
      <c r="BZ133" s="449"/>
      <c r="CA133" s="449"/>
      <c r="CB133" s="449"/>
      <c r="CC133" s="449"/>
      <c r="CD133" s="449"/>
      <c r="CE133" s="449"/>
      <c r="CF133" s="449"/>
      <c r="CG133" s="449"/>
      <c r="CH133" s="449"/>
      <c r="CI133" s="449"/>
      <c r="CJ133" s="449"/>
      <c r="CK133" s="449"/>
      <c r="CL133" s="449"/>
      <c r="CM133" s="449"/>
      <c r="CN133" s="449"/>
      <c r="CO133" s="449"/>
      <c r="CP133" s="449"/>
      <c r="CQ133" s="449"/>
      <c r="CR133" s="449"/>
      <c r="CS133" s="449"/>
      <c r="CT133" s="449"/>
      <c r="CU133" s="449"/>
      <c r="CV133" s="449"/>
      <c r="CW133" s="449"/>
      <c r="CX133" s="449"/>
      <c r="CY133" s="449"/>
      <c r="CZ133" s="449"/>
      <c r="DA133" s="449"/>
      <c r="DB133" s="449"/>
      <c r="DC133" s="449"/>
      <c r="DD133" s="449"/>
      <c r="DE133" s="449"/>
      <c r="DF133" s="449"/>
      <c r="DG133" s="449"/>
      <c r="DH133" s="449"/>
      <c r="DI133" s="449"/>
      <c r="DJ133" s="449"/>
      <c r="DK133" s="449"/>
      <c r="DL133" s="449"/>
      <c r="DM133" s="449"/>
      <c r="DN133" s="449"/>
      <c r="DO133" s="449"/>
      <c r="DP133" s="449"/>
      <c r="DQ133" s="449"/>
      <c r="DR133" s="449"/>
      <c r="DS133" s="449"/>
      <c r="DT133" s="449"/>
      <c r="DU133" s="449"/>
      <c r="DV133" s="449"/>
      <c r="DW133" s="449"/>
      <c r="DX133" s="449"/>
      <c r="DY133" s="449"/>
      <c r="DZ133" s="449"/>
      <c r="EA133" s="449"/>
      <c r="EB133" s="449"/>
      <c r="EC133" s="449"/>
      <c r="ED133" s="449"/>
      <c r="EE133" s="449"/>
      <c r="EF133" s="449"/>
      <c r="EG133" s="449"/>
      <c r="EH133" s="449"/>
      <c r="EI133" s="449"/>
      <c r="EJ133" s="449"/>
      <c r="EK133" s="449"/>
      <c r="EL133" s="449"/>
      <c r="EM133" s="449"/>
      <c r="EN133" s="449"/>
      <c r="EO133" s="449"/>
      <c r="EP133" s="449"/>
      <c r="EQ133" s="449"/>
      <c r="ER133" s="449"/>
      <c r="ES133" s="449"/>
      <c r="ET133" s="449"/>
      <c r="EU133" s="449"/>
      <c r="EV133" s="449"/>
      <c r="EW133" s="449"/>
      <c r="EX133" s="449"/>
      <c r="EY133" s="449"/>
      <c r="EZ133" s="449"/>
      <c r="FA133" s="449"/>
      <c r="FB133" s="449"/>
      <c r="FC133" s="449"/>
      <c r="FD133" s="449"/>
      <c r="FE133" s="449"/>
      <c r="FF133" s="449"/>
      <c r="FG133" s="449"/>
      <c r="FH133" s="449"/>
      <c r="FI133" s="449"/>
      <c r="FJ133" s="449"/>
      <c r="FK133" s="449"/>
      <c r="FL133" s="449"/>
      <c r="FM133" s="449"/>
      <c r="FN133" s="449"/>
      <c r="FO133" s="449"/>
      <c r="FP133" s="449"/>
      <c r="FQ133" s="449"/>
      <c r="FR133" s="449"/>
      <c r="FS133" s="449"/>
      <c r="FT133" s="449"/>
      <c r="FU133" s="449"/>
      <c r="FV133" s="449"/>
      <c r="FW133" s="449"/>
      <c r="FX133" s="449"/>
      <c r="FY133" s="449"/>
      <c r="FZ133" s="449"/>
      <c r="GA133" s="449"/>
      <c r="GB133" s="449"/>
      <c r="GC133" s="449"/>
      <c r="GD133" s="449"/>
      <c r="GE133" s="449"/>
      <c r="GF133" s="449"/>
      <c r="GG133" s="449"/>
      <c r="GH133" s="449"/>
      <c r="GI133" s="449"/>
      <c r="GJ133" s="449"/>
      <c r="GK133" s="449"/>
      <c r="GL133" s="449"/>
      <c r="GM133" s="449"/>
      <c r="GN133" s="449"/>
      <c r="GO133" s="449"/>
      <c r="GP133" s="449"/>
      <c r="GQ133" s="449"/>
      <c r="GR133" s="449"/>
      <c r="GS133" s="449"/>
      <c r="GT133" s="449"/>
      <c r="GU133" s="449"/>
      <c r="GV133" s="449"/>
      <c r="GW133" s="449"/>
      <c r="GX133" s="449"/>
      <c r="GY133" s="449"/>
      <c r="GZ133" s="449"/>
      <c r="HA133" s="449"/>
      <c r="HB133" s="449"/>
      <c r="HC133" s="449"/>
      <c r="HD133" s="449"/>
      <c r="HE133" s="449"/>
      <c r="HF133" s="449"/>
      <c r="HG133" s="449"/>
      <c r="HH133" s="449"/>
      <c r="HI133" s="449"/>
      <c r="HJ133" s="449"/>
      <c r="HK133" s="449"/>
      <c r="HL133" s="449"/>
      <c r="HM133" s="449"/>
      <c r="HN133" s="449"/>
      <c r="HO133" s="449"/>
      <c r="HP133" s="449"/>
      <c r="HQ133" s="449"/>
      <c r="HR133" s="449"/>
      <c r="HS133" s="449"/>
      <c r="HT133" s="449"/>
      <c r="HU133" s="449"/>
      <c r="HV133" s="449"/>
      <c r="HW133" s="449"/>
      <c r="HX133" s="449"/>
      <c r="HY133" s="449"/>
      <c r="HZ133" s="449"/>
      <c r="IA133" s="449"/>
      <c r="IB133" s="449"/>
      <c r="IC133" s="449"/>
      <c r="ID133" s="449"/>
      <c r="IE133" s="449"/>
      <c r="IF133" s="449"/>
      <c r="IG133" s="449"/>
      <c r="IH133" s="449"/>
      <c r="II133" s="449"/>
      <c r="IJ133" s="449"/>
      <c r="IK133" s="449"/>
      <c r="IL133" s="449"/>
      <c r="IM133" s="449"/>
      <c r="IN133" s="449"/>
      <c r="IO133" s="449"/>
      <c r="IP133" s="449"/>
      <c r="IQ133" s="449"/>
      <c r="IR133" s="449"/>
      <c r="IS133" s="449"/>
      <c r="IT133" s="449"/>
      <c r="IU133" s="449"/>
      <c r="IV133" s="449"/>
      <c r="IW133" s="449"/>
      <c r="IX133" s="449"/>
      <c r="IY133" s="449"/>
    </row>
    <row r="134" spans="3:259" s="379" customFormat="1" ht="12.75" x14ac:dyDescent="0.2">
      <c r="C134" s="384" t="s">
        <v>953</v>
      </c>
      <c r="D134" s="385"/>
      <c r="E134" s="385"/>
      <c r="F134" s="385"/>
      <c r="G134" s="385"/>
      <c r="H134" s="385"/>
      <c r="I134" s="385"/>
      <c r="J134" s="385"/>
      <c r="K134" s="386"/>
      <c r="L134" s="386"/>
      <c r="M134" s="387" t="str">
        <f>IFERROR(K134/#REF!-1,"")</f>
        <v/>
      </c>
      <c r="N134" s="449"/>
      <c r="O134" s="449"/>
      <c r="P134" s="449"/>
      <c r="Q134" s="449"/>
      <c r="R134" s="449"/>
      <c r="S134" s="449"/>
      <c r="T134" s="449"/>
      <c r="U134" s="449"/>
      <c r="V134" s="449"/>
      <c r="W134" s="449"/>
      <c r="X134" s="449"/>
      <c r="Y134" s="449"/>
      <c r="Z134" s="449"/>
      <c r="AA134" s="449"/>
      <c r="AB134" s="449"/>
      <c r="AC134" s="449"/>
      <c r="AD134" s="449"/>
      <c r="AE134" s="449"/>
      <c r="AF134" s="449"/>
      <c r="AG134" s="449"/>
      <c r="AH134" s="449"/>
      <c r="AI134" s="449"/>
      <c r="AJ134" s="449"/>
      <c r="AK134" s="449"/>
      <c r="AL134" s="449"/>
      <c r="AM134" s="449"/>
      <c r="AN134" s="449"/>
      <c r="AO134" s="449"/>
      <c r="AP134" s="449"/>
      <c r="AQ134" s="449"/>
      <c r="AR134" s="449"/>
      <c r="AS134" s="449"/>
      <c r="AT134" s="449"/>
      <c r="AU134" s="449"/>
      <c r="AV134" s="449"/>
      <c r="AW134" s="449"/>
      <c r="AX134" s="449"/>
      <c r="AY134" s="449"/>
      <c r="AZ134" s="449"/>
      <c r="BA134" s="449"/>
      <c r="BB134" s="449"/>
      <c r="BC134" s="449"/>
      <c r="BD134" s="449"/>
      <c r="BE134" s="449"/>
      <c r="BF134" s="449"/>
      <c r="BG134" s="449"/>
      <c r="BH134" s="449"/>
      <c r="BI134" s="449"/>
      <c r="BJ134" s="449"/>
      <c r="BK134" s="449"/>
      <c r="BL134" s="449"/>
      <c r="BM134" s="449"/>
      <c r="BN134" s="449"/>
      <c r="BO134" s="449"/>
      <c r="BP134" s="449"/>
      <c r="BQ134" s="449"/>
      <c r="BR134" s="449"/>
      <c r="BS134" s="449"/>
      <c r="BT134" s="449"/>
      <c r="BU134" s="449"/>
      <c r="BV134" s="449"/>
      <c r="BW134" s="449"/>
      <c r="BX134" s="449"/>
      <c r="BY134" s="449"/>
      <c r="BZ134" s="449"/>
      <c r="CA134" s="449"/>
      <c r="CB134" s="449"/>
      <c r="CC134" s="449"/>
      <c r="CD134" s="449"/>
      <c r="CE134" s="449"/>
      <c r="CF134" s="449"/>
      <c r="CG134" s="449"/>
      <c r="CH134" s="449"/>
      <c r="CI134" s="449"/>
      <c r="CJ134" s="449"/>
      <c r="CK134" s="449"/>
      <c r="CL134" s="449"/>
      <c r="CM134" s="449"/>
      <c r="CN134" s="449"/>
      <c r="CO134" s="449"/>
      <c r="CP134" s="449"/>
      <c r="CQ134" s="449"/>
      <c r="CR134" s="449"/>
      <c r="CS134" s="449"/>
      <c r="CT134" s="449"/>
      <c r="CU134" s="449"/>
      <c r="CV134" s="449"/>
      <c r="CW134" s="449"/>
      <c r="CX134" s="449"/>
      <c r="CY134" s="449"/>
      <c r="CZ134" s="449"/>
      <c r="DA134" s="449"/>
      <c r="DB134" s="449"/>
      <c r="DC134" s="449"/>
      <c r="DD134" s="449"/>
      <c r="DE134" s="449"/>
      <c r="DF134" s="449"/>
      <c r="DG134" s="449"/>
      <c r="DH134" s="449"/>
      <c r="DI134" s="449"/>
      <c r="DJ134" s="449"/>
      <c r="DK134" s="449"/>
      <c r="DL134" s="449"/>
      <c r="DM134" s="449"/>
      <c r="DN134" s="449"/>
      <c r="DO134" s="449"/>
      <c r="DP134" s="449"/>
      <c r="DQ134" s="449"/>
      <c r="DR134" s="449"/>
      <c r="DS134" s="449"/>
      <c r="DT134" s="449"/>
      <c r="DU134" s="449"/>
      <c r="DV134" s="449"/>
      <c r="DW134" s="449"/>
      <c r="DX134" s="449"/>
      <c r="DY134" s="449"/>
      <c r="DZ134" s="449"/>
      <c r="EA134" s="449"/>
      <c r="EB134" s="449"/>
      <c r="EC134" s="449"/>
      <c r="ED134" s="449"/>
      <c r="EE134" s="449"/>
      <c r="EF134" s="449"/>
      <c r="EG134" s="449"/>
      <c r="EH134" s="449"/>
      <c r="EI134" s="449"/>
      <c r="EJ134" s="449"/>
      <c r="EK134" s="449"/>
      <c r="EL134" s="449"/>
      <c r="EM134" s="449"/>
      <c r="EN134" s="449"/>
      <c r="EO134" s="449"/>
      <c r="EP134" s="449"/>
      <c r="EQ134" s="449"/>
      <c r="ER134" s="449"/>
      <c r="ES134" s="449"/>
      <c r="ET134" s="449"/>
      <c r="EU134" s="449"/>
      <c r="EV134" s="449"/>
      <c r="EW134" s="449"/>
      <c r="EX134" s="449"/>
      <c r="EY134" s="449"/>
      <c r="EZ134" s="449"/>
      <c r="FA134" s="449"/>
      <c r="FB134" s="449"/>
      <c r="FC134" s="449"/>
      <c r="FD134" s="449"/>
      <c r="FE134" s="449"/>
      <c r="FF134" s="449"/>
      <c r="FG134" s="449"/>
      <c r="FH134" s="449"/>
      <c r="FI134" s="449"/>
      <c r="FJ134" s="449"/>
      <c r="FK134" s="449"/>
      <c r="FL134" s="449"/>
      <c r="FM134" s="449"/>
      <c r="FN134" s="449"/>
      <c r="FO134" s="449"/>
      <c r="FP134" s="449"/>
      <c r="FQ134" s="449"/>
      <c r="FR134" s="449"/>
      <c r="FS134" s="449"/>
      <c r="FT134" s="449"/>
      <c r="FU134" s="449"/>
      <c r="FV134" s="449"/>
      <c r="FW134" s="449"/>
      <c r="FX134" s="449"/>
      <c r="FY134" s="449"/>
      <c r="FZ134" s="449"/>
      <c r="GA134" s="449"/>
      <c r="GB134" s="449"/>
      <c r="GC134" s="449"/>
      <c r="GD134" s="449"/>
      <c r="GE134" s="449"/>
      <c r="GF134" s="449"/>
      <c r="GG134" s="449"/>
      <c r="GH134" s="449"/>
      <c r="GI134" s="449"/>
      <c r="GJ134" s="449"/>
      <c r="GK134" s="449"/>
      <c r="GL134" s="449"/>
      <c r="GM134" s="449"/>
      <c r="GN134" s="449"/>
      <c r="GO134" s="449"/>
      <c r="GP134" s="449"/>
      <c r="GQ134" s="449"/>
      <c r="GR134" s="449"/>
      <c r="GS134" s="449"/>
      <c r="GT134" s="449"/>
      <c r="GU134" s="449"/>
      <c r="GV134" s="449"/>
      <c r="GW134" s="449"/>
      <c r="GX134" s="449"/>
      <c r="GY134" s="449"/>
      <c r="GZ134" s="449"/>
      <c r="HA134" s="449"/>
      <c r="HB134" s="449"/>
      <c r="HC134" s="449"/>
      <c r="HD134" s="449"/>
      <c r="HE134" s="449"/>
      <c r="HF134" s="449"/>
      <c r="HG134" s="449"/>
      <c r="HH134" s="449"/>
      <c r="HI134" s="449"/>
      <c r="HJ134" s="449"/>
      <c r="HK134" s="449"/>
      <c r="HL134" s="449"/>
      <c r="HM134" s="449"/>
      <c r="HN134" s="449"/>
      <c r="HO134" s="449"/>
      <c r="HP134" s="449"/>
      <c r="HQ134" s="449"/>
      <c r="HR134" s="449"/>
      <c r="HS134" s="449"/>
      <c r="HT134" s="449"/>
      <c r="HU134" s="449"/>
      <c r="HV134" s="449"/>
      <c r="HW134" s="449"/>
      <c r="HX134" s="449"/>
      <c r="HY134" s="449"/>
      <c r="HZ134" s="449"/>
      <c r="IA134" s="449"/>
      <c r="IB134" s="449"/>
      <c r="IC134" s="449"/>
      <c r="ID134" s="449"/>
      <c r="IE134" s="449"/>
      <c r="IF134" s="449"/>
      <c r="IG134" s="449"/>
      <c r="IH134" s="449"/>
      <c r="II134" s="449"/>
      <c r="IJ134" s="449"/>
      <c r="IK134" s="449"/>
      <c r="IL134" s="449"/>
      <c r="IM134" s="449"/>
      <c r="IN134" s="449"/>
      <c r="IO134" s="449"/>
      <c r="IP134" s="449"/>
      <c r="IQ134" s="449"/>
      <c r="IR134" s="449"/>
      <c r="IS134" s="449"/>
      <c r="IT134" s="449"/>
      <c r="IU134" s="449"/>
      <c r="IV134" s="449"/>
      <c r="IW134" s="449"/>
      <c r="IX134" s="449"/>
      <c r="IY134" s="449"/>
    </row>
    <row r="135" spans="3:259" s="379" customFormat="1" ht="12.75" x14ac:dyDescent="0.2">
      <c r="C135" s="388" t="s">
        <v>1076</v>
      </c>
      <c r="D135" s="389"/>
      <c r="E135" s="389"/>
      <c r="F135" s="389"/>
      <c r="G135" s="389"/>
      <c r="H135" s="389"/>
      <c r="I135" s="389"/>
      <c r="J135" s="389"/>
      <c r="K135" s="390"/>
      <c r="L135" s="390"/>
      <c r="M135" s="391" t="str">
        <f>IFERROR(K135/#REF!-1,"")</f>
        <v/>
      </c>
      <c r="N135" s="449"/>
      <c r="O135" s="449"/>
      <c r="P135" s="449"/>
      <c r="Q135" s="449"/>
      <c r="R135" s="449"/>
      <c r="S135" s="449"/>
      <c r="T135" s="449"/>
      <c r="U135" s="449"/>
      <c r="V135" s="449"/>
      <c r="W135" s="449"/>
      <c r="X135" s="449"/>
      <c r="Y135" s="449"/>
      <c r="Z135" s="449"/>
      <c r="AA135" s="449"/>
      <c r="AB135" s="449"/>
      <c r="AC135" s="449"/>
      <c r="AD135" s="449"/>
      <c r="AE135" s="449"/>
      <c r="AF135" s="449"/>
      <c r="AG135" s="449"/>
      <c r="AH135" s="449"/>
      <c r="AI135" s="449"/>
      <c r="AJ135" s="449"/>
      <c r="AK135" s="449"/>
      <c r="AL135" s="449"/>
      <c r="AM135" s="449"/>
      <c r="AN135" s="449"/>
      <c r="AO135" s="449"/>
      <c r="AP135" s="449"/>
      <c r="AQ135" s="449"/>
      <c r="AR135" s="449"/>
      <c r="AS135" s="449"/>
      <c r="AT135" s="449"/>
      <c r="AU135" s="449"/>
      <c r="AV135" s="449"/>
      <c r="AW135" s="449"/>
      <c r="AX135" s="449"/>
      <c r="AY135" s="449"/>
      <c r="AZ135" s="449"/>
      <c r="BA135" s="449"/>
      <c r="BB135" s="449"/>
      <c r="BC135" s="449"/>
      <c r="BD135" s="449"/>
      <c r="BE135" s="449"/>
      <c r="BF135" s="449"/>
      <c r="BG135" s="449"/>
      <c r="BH135" s="449"/>
      <c r="BI135" s="449"/>
      <c r="BJ135" s="449"/>
      <c r="BK135" s="449"/>
      <c r="BL135" s="449"/>
      <c r="BM135" s="449"/>
      <c r="BN135" s="449"/>
      <c r="BO135" s="449"/>
      <c r="BP135" s="449"/>
      <c r="BQ135" s="449"/>
      <c r="BR135" s="449"/>
      <c r="BS135" s="449"/>
      <c r="BT135" s="449"/>
      <c r="BU135" s="449"/>
      <c r="BV135" s="449"/>
      <c r="BW135" s="449"/>
      <c r="BX135" s="449"/>
      <c r="BY135" s="449"/>
      <c r="BZ135" s="449"/>
      <c r="CA135" s="449"/>
      <c r="CB135" s="449"/>
      <c r="CC135" s="449"/>
      <c r="CD135" s="449"/>
      <c r="CE135" s="449"/>
      <c r="CF135" s="449"/>
      <c r="CG135" s="449"/>
      <c r="CH135" s="449"/>
      <c r="CI135" s="449"/>
      <c r="CJ135" s="449"/>
      <c r="CK135" s="449"/>
      <c r="CL135" s="449"/>
      <c r="CM135" s="449"/>
      <c r="CN135" s="449"/>
      <c r="CO135" s="449"/>
      <c r="CP135" s="449"/>
      <c r="CQ135" s="449"/>
      <c r="CR135" s="449"/>
      <c r="CS135" s="449"/>
      <c r="CT135" s="449"/>
      <c r="CU135" s="449"/>
      <c r="CV135" s="449"/>
      <c r="CW135" s="449"/>
      <c r="CX135" s="449"/>
      <c r="CY135" s="449"/>
      <c r="CZ135" s="449"/>
      <c r="DA135" s="449"/>
      <c r="DB135" s="449"/>
      <c r="DC135" s="449"/>
      <c r="DD135" s="449"/>
      <c r="DE135" s="449"/>
      <c r="DF135" s="449"/>
      <c r="DG135" s="449"/>
      <c r="DH135" s="449"/>
      <c r="DI135" s="449"/>
      <c r="DJ135" s="449"/>
      <c r="DK135" s="449"/>
      <c r="DL135" s="449"/>
      <c r="DM135" s="449"/>
      <c r="DN135" s="449"/>
      <c r="DO135" s="449"/>
      <c r="DP135" s="449"/>
      <c r="DQ135" s="449"/>
      <c r="DR135" s="449"/>
      <c r="DS135" s="449"/>
      <c r="DT135" s="449"/>
      <c r="DU135" s="449"/>
      <c r="DV135" s="449"/>
      <c r="DW135" s="449"/>
      <c r="DX135" s="449"/>
      <c r="DY135" s="449"/>
      <c r="DZ135" s="449"/>
      <c r="EA135" s="449"/>
      <c r="EB135" s="449"/>
      <c r="EC135" s="449"/>
      <c r="ED135" s="449"/>
      <c r="EE135" s="449"/>
      <c r="EF135" s="449"/>
      <c r="EG135" s="449"/>
      <c r="EH135" s="449"/>
      <c r="EI135" s="449"/>
      <c r="EJ135" s="449"/>
      <c r="EK135" s="449"/>
      <c r="EL135" s="449"/>
      <c r="EM135" s="449"/>
      <c r="EN135" s="449"/>
      <c r="EO135" s="449"/>
      <c r="EP135" s="449"/>
      <c r="EQ135" s="449"/>
      <c r="ER135" s="449"/>
      <c r="ES135" s="449"/>
      <c r="ET135" s="449"/>
      <c r="EU135" s="449"/>
      <c r="EV135" s="449"/>
      <c r="EW135" s="449"/>
      <c r="EX135" s="449"/>
      <c r="EY135" s="449"/>
      <c r="EZ135" s="449"/>
      <c r="FA135" s="449"/>
      <c r="FB135" s="449"/>
      <c r="FC135" s="449"/>
      <c r="FD135" s="449"/>
      <c r="FE135" s="449"/>
      <c r="FF135" s="449"/>
      <c r="FG135" s="449"/>
      <c r="FH135" s="449"/>
      <c r="FI135" s="449"/>
      <c r="FJ135" s="449"/>
      <c r="FK135" s="449"/>
      <c r="FL135" s="449"/>
      <c r="FM135" s="449"/>
      <c r="FN135" s="449"/>
      <c r="FO135" s="449"/>
      <c r="FP135" s="449"/>
      <c r="FQ135" s="449"/>
      <c r="FR135" s="449"/>
      <c r="FS135" s="449"/>
      <c r="FT135" s="449"/>
      <c r="FU135" s="449"/>
      <c r="FV135" s="449"/>
      <c r="FW135" s="449"/>
      <c r="FX135" s="449"/>
      <c r="FY135" s="449"/>
      <c r="FZ135" s="449"/>
      <c r="GA135" s="449"/>
      <c r="GB135" s="449"/>
      <c r="GC135" s="449"/>
      <c r="GD135" s="449"/>
      <c r="GE135" s="449"/>
      <c r="GF135" s="449"/>
      <c r="GG135" s="449"/>
      <c r="GH135" s="449"/>
      <c r="GI135" s="449"/>
      <c r="GJ135" s="449"/>
      <c r="GK135" s="449"/>
      <c r="GL135" s="449"/>
      <c r="GM135" s="449"/>
      <c r="GN135" s="449"/>
      <c r="GO135" s="449"/>
      <c r="GP135" s="449"/>
      <c r="GQ135" s="449"/>
      <c r="GR135" s="449"/>
      <c r="GS135" s="449"/>
      <c r="GT135" s="449"/>
      <c r="GU135" s="449"/>
      <c r="GV135" s="449"/>
      <c r="GW135" s="449"/>
      <c r="GX135" s="449"/>
      <c r="GY135" s="449"/>
      <c r="GZ135" s="449"/>
      <c r="HA135" s="449"/>
      <c r="HB135" s="449"/>
      <c r="HC135" s="449"/>
      <c r="HD135" s="449"/>
      <c r="HE135" s="449"/>
      <c r="HF135" s="449"/>
      <c r="HG135" s="449"/>
      <c r="HH135" s="449"/>
      <c r="HI135" s="449"/>
      <c r="HJ135" s="449"/>
      <c r="HK135" s="449"/>
      <c r="HL135" s="449"/>
      <c r="HM135" s="449"/>
      <c r="HN135" s="449"/>
      <c r="HO135" s="449"/>
      <c r="HP135" s="449"/>
      <c r="HQ135" s="449"/>
      <c r="HR135" s="449"/>
      <c r="HS135" s="449"/>
      <c r="HT135" s="449"/>
      <c r="HU135" s="449"/>
      <c r="HV135" s="449"/>
      <c r="HW135" s="449"/>
      <c r="HX135" s="449"/>
      <c r="HY135" s="449"/>
      <c r="HZ135" s="449"/>
      <c r="IA135" s="449"/>
      <c r="IB135" s="449"/>
      <c r="IC135" s="449"/>
      <c r="ID135" s="449"/>
      <c r="IE135" s="449"/>
      <c r="IF135" s="449"/>
      <c r="IG135" s="449"/>
      <c r="IH135" s="449"/>
      <c r="II135" s="449"/>
      <c r="IJ135" s="449"/>
      <c r="IK135" s="449"/>
      <c r="IL135" s="449"/>
      <c r="IM135" s="449"/>
      <c r="IN135" s="449"/>
      <c r="IO135" s="449"/>
      <c r="IP135" s="449"/>
      <c r="IQ135" s="449"/>
      <c r="IR135" s="449"/>
      <c r="IS135" s="449"/>
      <c r="IT135" s="449"/>
      <c r="IU135" s="449"/>
      <c r="IV135" s="449"/>
      <c r="IW135" s="449"/>
      <c r="IX135" s="449"/>
      <c r="IY135" s="449"/>
    </row>
    <row r="136" spans="3:259" s="379" customFormat="1" ht="12.75" x14ac:dyDescent="0.2">
      <c r="C136" s="392" t="s">
        <v>1077</v>
      </c>
      <c r="D136" s="393" t="s">
        <v>877</v>
      </c>
      <c r="E136" s="410" t="s">
        <v>1078</v>
      </c>
      <c r="F136" s="410"/>
      <c r="G136" s="393">
        <v>1000</v>
      </c>
      <c r="H136" s="393">
        <v>210</v>
      </c>
      <c r="I136" s="393">
        <v>100</v>
      </c>
      <c r="J136" s="393">
        <v>27.56</v>
      </c>
      <c r="K136" s="397">
        <v>7898</v>
      </c>
      <c r="L136" s="397"/>
      <c r="M136" s="398">
        <f>K136*0.7</f>
        <v>5528.5999999999995</v>
      </c>
      <c r="N136" s="449"/>
      <c r="O136" s="449"/>
      <c r="P136" s="449"/>
      <c r="Q136" s="449"/>
      <c r="R136" s="449"/>
      <c r="S136" s="449"/>
      <c r="T136" s="449"/>
      <c r="U136" s="449"/>
      <c r="V136" s="449"/>
      <c r="W136" s="449"/>
      <c r="X136" s="449"/>
      <c r="Y136" s="449"/>
      <c r="Z136" s="449"/>
      <c r="AA136" s="449"/>
      <c r="AB136" s="449"/>
      <c r="AC136" s="449"/>
      <c r="AD136" s="449"/>
      <c r="AE136" s="449"/>
      <c r="AF136" s="449"/>
      <c r="AG136" s="449"/>
      <c r="AH136" s="449"/>
      <c r="AI136" s="449"/>
      <c r="AJ136" s="449"/>
      <c r="AK136" s="449"/>
      <c r="AL136" s="449"/>
      <c r="AM136" s="449"/>
      <c r="AN136" s="449"/>
      <c r="AO136" s="449"/>
      <c r="AP136" s="449"/>
      <c r="AQ136" s="449"/>
      <c r="AR136" s="449"/>
      <c r="AS136" s="449"/>
      <c r="AT136" s="449"/>
      <c r="AU136" s="449"/>
      <c r="AV136" s="449"/>
      <c r="AW136" s="449"/>
      <c r="AX136" s="449"/>
      <c r="AY136" s="449"/>
      <c r="AZ136" s="449"/>
      <c r="BA136" s="449"/>
      <c r="BB136" s="449"/>
      <c r="BC136" s="449"/>
      <c r="BD136" s="449"/>
      <c r="BE136" s="449"/>
      <c r="BF136" s="449"/>
      <c r="BG136" s="449"/>
      <c r="BH136" s="449"/>
      <c r="BI136" s="449"/>
      <c r="BJ136" s="449"/>
      <c r="BK136" s="449"/>
      <c r="BL136" s="449"/>
      <c r="BM136" s="449"/>
      <c r="BN136" s="449"/>
      <c r="BO136" s="449"/>
      <c r="BP136" s="449"/>
      <c r="BQ136" s="449"/>
      <c r="BR136" s="449"/>
      <c r="BS136" s="449"/>
      <c r="BT136" s="449"/>
      <c r="BU136" s="449"/>
      <c r="BV136" s="449"/>
      <c r="BW136" s="449"/>
      <c r="BX136" s="449"/>
      <c r="BY136" s="449"/>
      <c r="BZ136" s="449"/>
      <c r="CA136" s="449"/>
      <c r="CB136" s="449"/>
      <c r="CC136" s="449"/>
      <c r="CD136" s="449"/>
      <c r="CE136" s="449"/>
      <c r="CF136" s="449"/>
      <c r="CG136" s="449"/>
      <c r="CH136" s="449"/>
      <c r="CI136" s="449"/>
      <c r="CJ136" s="449"/>
      <c r="CK136" s="449"/>
      <c r="CL136" s="449"/>
      <c r="CM136" s="449"/>
      <c r="CN136" s="449"/>
      <c r="CO136" s="449"/>
      <c r="CP136" s="449"/>
      <c r="CQ136" s="449"/>
      <c r="CR136" s="449"/>
      <c r="CS136" s="449"/>
      <c r="CT136" s="449"/>
      <c r="CU136" s="449"/>
      <c r="CV136" s="449"/>
      <c r="CW136" s="449"/>
      <c r="CX136" s="449"/>
      <c r="CY136" s="449"/>
      <c r="CZ136" s="449"/>
      <c r="DA136" s="449"/>
      <c r="DB136" s="449"/>
      <c r="DC136" s="449"/>
      <c r="DD136" s="449"/>
      <c r="DE136" s="449"/>
      <c r="DF136" s="449"/>
      <c r="DG136" s="449"/>
      <c r="DH136" s="449"/>
      <c r="DI136" s="449"/>
      <c r="DJ136" s="449"/>
      <c r="DK136" s="449"/>
      <c r="DL136" s="449"/>
      <c r="DM136" s="449"/>
      <c r="DN136" s="449"/>
      <c r="DO136" s="449"/>
      <c r="DP136" s="449"/>
      <c r="DQ136" s="449"/>
      <c r="DR136" s="449"/>
      <c r="DS136" s="449"/>
      <c r="DT136" s="449"/>
      <c r="DU136" s="449"/>
      <c r="DV136" s="449"/>
      <c r="DW136" s="449"/>
      <c r="DX136" s="449"/>
      <c r="DY136" s="449"/>
      <c r="DZ136" s="449"/>
      <c r="EA136" s="449"/>
      <c r="EB136" s="449"/>
      <c r="EC136" s="449"/>
      <c r="ED136" s="449"/>
      <c r="EE136" s="449"/>
      <c r="EF136" s="449"/>
      <c r="EG136" s="449"/>
      <c r="EH136" s="449"/>
      <c r="EI136" s="449"/>
      <c r="EJ136" s="449"/>
      <c r="EK136" s="449"/>
      <c r="EL136" s="449"/>
      <c r="EM136" s="449"/>
      <c r="EN136" s="449"/>
      <c r="EO136" s="449"/>
      <c r="EP136" s="449"/>
      <c r="EQ136" s="449"/>
      <c r="ER136" s="449"/>
      <c r="ES136" s="449"/>
      <c r="ET136" s="449"/>
      <c r="EU136" s="449"/>
      <c r="EV136" s="449"/>
      <c r="EW136" s="449"/>
      <c r="EX136" s="449"/>
      <c r="EY136" s="449"/>
      <c r="EZ136" s="449"/>
      <c r="FA136" s="449"/>
      <c r="FB136" s="449"/>
      <c r="FC136" s="449"/>
      <c r="FD136" s="449"/>
      <c r="FE136" s="449"/>
      <c r="FF136" s="449"/>
      <c r="FG136" s="449"/>
      <c r="FH136" s="449"/>
      <c r="FI136" s="449"/>
      <c r="FJ136" s="449"/>
      <c r="FK136" s="449"/>
      <c r="FL136" s="449"/>
      <c r="FM136" s="449"/>
      <c r="FN136" s="449"/>
      <c r="FO136" s="449"/>
      <c r="FP136" s="449"/>
      <c r="FQ136" s="449"/>
      <c r="FR136" s="449"/>
      <c r="FS136" s="449"/>
      <c r="FT136" s="449"/>
      <c r="FU136" s="449"/>
      <c r="FV136" s="449"/>
      <c r="FW136" s="449"/>
      <c r="FX136" s="449"/>
      <c r="FY136" s="449"/>
      <c r="FZ136" s="449"/>
      <c r="GA136" s="449"/>
      <c r="GB136" s="449"/>
      <c r="GC136" s="449"/>
      <c r="GD136" s="449"/>
      <c r="GE136" s="449"/>
      <c r="GF136" s="449"/>
      <c r="GG136" s="449"/>
      <c r="GH136" s="449"/>
      <c r="GI136" s="449"/>
      <c r="GJ136" s="449"/>
      <c r="GK136" s="449"/>
      <c r="GL136" s="449"/>
      <c r="GM136" s="449"/>
      <c r="GN136" s="449"/>
      <c r="GO136" s="449"/>
      <c r="GP136" s="449"/>
      <c r="GQ136" s="449"/>
      <c r="GR136" s="449"/>
      <c r="GS136" s="449"/>
      <c r="GT136" s="449"/>
      <c r="GU136" s="449"/>
      <c r="GV136" s="449"/>
      <c r="GW136" s="449"/>
      <c r="GX136" s="449"/>
      <c r="GY136" s="449"/>
      <c r="GZ136" s="449"/>
      <c r="HA136" s="449"/>
      <c r="HB136" s="449"/>
      <c r="HC136" s="449"/>
      <c r="HD136" s="449"/>
      <c r="HE136" s="449"/>
      <c r="HF136" s="449"/>
      <c r="HG136" s="449"/>
      <c r="HH136" s="449"/>
      <c r="HI136" s="449"/>
      <c r="HJ136" s="449"/>
      <c r="HK136" s="449"/>
      <c r="HL136" s="449"/>
      <c r="HM136" s="449"/>
      <c r="HN136" s="449"/>
      <c r="HO136" s="449"/>
      <c r="HP136" s="449"/>
      <c r="HQ136" s="449"/>
      <c r="HR136" s="449"/>
      <c r="HS136" s="449"/>
      <c r="HT136" s="449"/>
      <c r="HU136" s="449"/>
      <c r="HV136" s="449"/>
      <c r="HW136" s="449"/>
      <c r="HX136" s="449"/>
      <c r="HY136" s="449"/>
      <c r="HZ136" s="449"/>
      <c r="IA136" s="449"/>
      <c r="IB136" s="449"/>
      <c r="IC136" s="449"/>
      <c r="ID136" s="449"/>
      <c r="IE136" s="449"/>
      <c r="IF136" s="449"/>
      <c r="IG136" s="449"/>
      <c r="IH136" s="449"/>
      <c r="II136" s="449"/>
      <c r="IJ136" s="449"/>
      <c r="IK136" s="449"/>
      <c r="IL136" s="449"/>
      <c r="IM136" s="449"/>
      <c r="IN136" s="449"/>
      <c r="IO136" s="449"/>
      <c r="IP136" s="449"/>
      <c r="IQ136" s="449"/>
      <c r="IR136" s="449"/>
      <c r="IS136" s="449"/>
      <c r="IT136" s="449"/>
      <c r="IU136" s="449"/>
      <c r="IV136" s="449"/>
      <c r="IW136" s="449"/>
      <c r="IX136" s="449"/>
      <c r="IY136" s="449"/>
    </row>
    <row r="137" spans="3:259" s="379" customFormat="1" ht="12.75" x14ac:dyDescent="0.2">
      <c r="C137" s="392" t="s">
        <v>1079</v>
      </c>
      <c r="D137" s="393" t="s">
        <v>877</v>
      </c>
      <c r="E137" s="410" t="s">
        <v>1080</v>
      </c>
      <c r="F137" s="410"/>
      <c r="G137" s="393">
        <v>1000</v>
      </c>
      <c r="H137" s="393">
        <v>210</v>
      </c>
      <c r="I137" s="393">
        <v>210</v>
      </c>
      <c r="J137" s="393">
        <v>34.119999999999997</v>
      </c>
      <c r="K137" s="397">
        <v>9154</v>
      </c>
      <c r="L137" s="397"/>
      <c r="M137" s="398">
        <f>K137*0.7</f>
        <v>6407.7999999999993</v>
      </c>
      <c r="N137" s="449"/>
      <c r="O137" s="449"/>
      <c r="P137" s="449"/>
      <c r="Q137" s="449"/>
      <c r="R137" s="449"/>
      <c r="S137" s="449"/>
      <c r="T137" s="449"/>
      <c r="U137" s="449"/>
      <c r="V137" s="449"/>
      <c r="W137" s="449"/>
      <c r="X137" s="449"/>
      <c r="Y137" s="449"/>
      <c r="Z137" s="449"/>
      <c r="AA137" s="449"/>
      <c r="AB137" s="449"/>
      <c r="AC137" s="449"/>
      <c r="AD137" s="449"/>
      <c r="AE137" s="449"/>
      <c r="AF137" s="449"/>
      <c r="AG137" s="449"/>
      <c r="AH137" s="449"/>
      <c r="AI137" s="449"/>
      <c r="AJ137" s="449"/>
      <c r="AK137" s="449"/>
      <c r="AL137" s="449"/>
      <c r="AM137" s="449"/>
      <c r="AN137" s="449"/>
      <c r="AO137" s="449"/>
      <c r="AP137" s="449"/>
      <c r="AQ137" s="449"/>
      <c r="AR137" s="449"/>
      <c r="AS137" s="449"/>
      <c r="AT137" s="449"/>
      <c r="AU137" s="449"/>
      <c r="AV137" s="449"/>
      <c r="AW137" s="449"/>
      <c r="AX137" s="449"/>
      <c r="AY137" s="449"/>
      <c r="AZ137" s="449"/>
      <c r="BA137" s="449"/>
      <c r="BB137" s="449"/>
      <c r="BC137" s="449"/>
      <c r="BD137" s="449"/>
      <c r="BE137" s="449"/>
      <c r="BF137" s="449"/>
      <c r="BG137" s="449"/>
      <c r="BH137" s="449"/>
      <c r="BI137" s="449"/>
      <c r="BJ137" s="449"/>
      <c r="BK137" s="449"/>
      <c r="BL137" s="449"/>
      <c r="BM137" s="449"/>
      <c r="BN137" s="449"/>
      <c r="BO137" s="449"/>
      <c r="BP137" s="449"/>
      <c r="BQ137" s="449"/>
      <c r="BR137" s="449"/>
      <c r="BS137" s="449"/>
      <c r="BT137" s="449"/>
      <c r="BU137" s="449"/>
      <c r="BV137" s="449"/>
      <c r="BW137" s="449"/>
      <c r="BX137" s="449"/>
      <c r="BY137" s="449"/>
      <c r="BZ137" s="449"/>
      <c r="CA137" s="449"/>
      <c r="CB137" s="449"/>
      <c r="CC137" s="449"/>
      <c r="CD137" s="449"/>
      <c r="CE137" s="449"/>
      <c r="CF137" s="449"/>
      <c r="CG137" s="449"/>
      <c r="CH137" s="449"/>
      <c r="CI137" s="449"/>
      <c r="CJ137" s="449"/>
      <c r="CK137" s="449"/>
      <c r="CL137" s="449"/>
      <c r="CM137" s="449"/>
      <c r="CN137" s="449"/>
      <c r="CO137" s="449"/>
      <c r="CP137" s="449"/>
      <c r="CQ137" s="449"/>
      <c r="CR137" s="449"/>
      <c r="CS137" s="449"/>
      <c r="CT137" s="449"/>
      <c r="CU137" s="449"/>
      <c r="CV137" s="449"/>
      <c r="CW137" s="449"/>
      <c r="CX137" s="449"/>
      <c r="CY137" s="449"/>
      <c r="CZ137" s="449"/>
      <c r="DA137" s="449"/>
      <c r="DB137" s="449"/>
      <c r="DC137" s="449"/>
      <c r="DD137" s="449"/>
      <c r="DE137" s="449"/>
      <c r="DF137" s="449"/>
      <c r="DG137" s="449"/>
      <c r="DH137" s="449"/>
      <c r="DI137" s="449"/>
      <c r="DJ137" s="449"/>
      <c r="DK137" s="449"/>
      <c r="DL137" s="449"/>
      <c r="DM137" s="449"/>
      <c r="DN137" s="449"/>
      <c r="DO137" s="449"/>
      <c r="DP137" s="449"/>
      <c r="DQ137" s="449"/>
      <c r="DR137" s="449"/>
      <c r="DS137" s="449"/>
      <c r="DT137" s="449"/>
      <c r="DU137" s="449"/>
      <c r="DV137" s="449"/>
      <c r="DW137" s="449"/>
      <c r="DX137" s="449"/>
      <c r="DY137" s="449"/>
      <c r="DZ137" s="449"/>
      <c r="EA137" s="449"/>
      <c r="EB137" s="449"/>
      <c r="EC137" s="449"/>
      <c r="ED137" s="449"/>
      <c r="EE137" s="449"/>
      <c r="EF137" s="449"/>
      <c r="EG137" s="449"/>
      <c r="EH137" s="449"/>
      <c r="EI137" s="449"/>
      <c r="EJ137" s="449"/>
      <c r="EK137" s="449"/>
      <c r="EL137" s="449"/>
      <c r="EM137" s="449"/>
      <c r="EN137" s="449"/>
      <c r="EO137" s="449"/>
      <c r="EP137" s="449"/>
      <c r="EQ137" s="449"/>
      <c r="ER137" s="449"/>
      <c r="ES137" s="449"/>
      <c r="ET137" s="449"/>
      <c r="EU137" s="449"/>
      <c r="EV137" s="449"/>
      <c r="EW137" s="449"/>
      <c r="EX137" s="449"/>
      <c r="EY137" s="449"/>
      <c r="EZ137" s="449"/>
      <c r="FA137" s="449"/>
      <c r="FB137" s="449"/>
      <c r="FC137" s="449"/>
      <c r="FD137" s="449"/>
      <c r="FE137" s="449"/>
      <c r="FF137" s="449"/>
      <c r="FG137" s="449"/>
      <c r="FH137" s="449"/>
      <c r="FI137" s="449"/>
      <c r="FJ137" s="449"/>
      <c r="FK137" s="449"/>
      <c r="FL137" s="449"/>
      <c r="FM137" s="449"/>
      <c r="FN137" s="449"/>
      <c r="FO137" s="449"/>
      <c r="FP137" s="449"/>
      <c r="FQ137" s="449"/>
      <c r="FR137" s="449"/>
      <c r="FS137" s="449"/>
      <c r="FT137" s="449"/>
      <c r="FU137" s="449"/>
      <c r="FV137" s="449"/>
      <c r="FW137" s="449"/>
      <c r="FX137" s="449"/>
      <c r="FY137" s="449"/>
      <c r="FZ137" s="449"/>
      <c r="GA137" s="449"/>
      <c r="GB137" s="449"/>
      <c r="GC137" s="449"/>
      <c r="GD137" s="449"/>
      <c r="GE137" s="449"/>
      <c r="GF137" s="449"/>
      <c r="GG137" s="449"/>
      <c r="GH137" s="449"/>
      <c r="GI137" s="449"/>
      <c r="GJ137" s="449"/>
      <c r="GK137" s="449"/>
      <c r="GL137" s="449"/>
      <c r="GM137" s="449"/>
      <c r="GN137" s="449"/>
      <c r="GO137" s="449"/>
      <c r="GP137" s="449"/>
      <c r="GQ137" s="449"/>
      <c r="GR137" s="449"/>
      <c r="GS137" s="449"/>
      <c r="GT137" s="449"/>
      <c r="GU137" s="449"/>
      <c r="GV137" s="449"/>
      <c r="GW137" s="449"/>
      <c r="GX137" s="449"/>
      <c r="GY137" s="449"/>
      <c r="GZ137" s="449"/>
      <c r="HA137" s="449"/>
      <c r="HB137" s="449"/>
      <c r="HC137" s="449"/>
      <c r="HD137" s="449"/>
      <c r="HE137" s="449"/>
      <c r="HF137" s="449"/>
      <c r="HG137" s="449"/>
      <c r="HH137" s="449"/>
      <c r="HI137" s="449"/>
      <c r="HJ137" s="449"/>
      <c r="HK137" s="449"/>
      <c r="HL137" s="449"/>
      <c r="HM137" s="449"/>
      <c r="HN137" s="449"/>
      <c r="HO137" s="449"/>
      <c r="HP137" s="449"/>
      <c r="HQ137" s="449"/>
      <c r="HR137" s="449"/>
      <c r="HS137" s="449"/>
      <c r="HT137" s="449"/>
      <c r="HU137" s="449"/>
      <c r="HV137" s="449"/>
      <c r="HW137" s="449"/>
      <c r="HX137" s="449"/>
      <c r="HY137" s="449"/>
      <c r="HZ137" s="449"/>
      <c r="IA137" s="449"/>
      <c r="IB137" s="449"/>
      <c r="IC137" s="449"/>
      <c r="ID137" s="449"/>
      <c r="IE137" s="449"/>
      <c r="IF137" s="449"/>
      <c r="IG137" s="449"/>
      <c r="IH137" s="449"/>
      <c r="II137" s="449"/>
      <c r="IJ137" s="449"/>
      <c r="IK137" s="449"/>
      <c r="IL137" s="449"/>
      <c r="IM137" s="449"/>
      <c r="IN137" s="449"/>
      <c r="IO137" s="449"/>
      <c r="IP137" s="449"/>
      <c r="IQ137" s="449"/>
      <c r="IR137" s="449"/>
      <c r="IS137" s="449"/>
      <c r="IT137" s="449"/>
      <c r="IU137" s="449"/>
      <c r="IV137" s="449"/>
      <c r="IW137" s="449"/>
      <c r="IX137" s="449"/>
      <c r="IY137" s="449"/>
    </row>
    <row r="138" spans="3:259" s="379" customFormat="1" ht="12.75" x14ac:dyDescent="0.2">
      <c r="C138" s="392" t="s">
        <v>1081</v>
      </c>
      <c r="D138" s="393" t="s">
        <v>877</v>
      </c>
      <c r="E138" s="410" t="s">
        <v>1082</v>
      </c>
      <c r="F138" s="410"/>
      <c r="G138" s="393">
        <v>1000</v>
      </c>
      <c r="H138" s="393">
        <v>210</v>
      </c>
      <c r="I138" s="393">
        <v>260</v>
      </c>
      <c r="J138" s="393">
        <v>38.130000000000003</v>
      </c>
      <c r="K138" s="397">
        <v>9954</v>
      </c>
      <c r="L138" s="397"/>
      <c r="M138" s="398">
        <f>K138*0.7</f>
        <v>6967.7999999999993</v>
      </c>
      <c r="N138" s="449"/>
      <c r="O138" s="449"/>
      <c r="P138" s="449"/>
      <c r="Q138" s="449"/>
      <c r="R138" s="449"/>
      <c r="S138" s="449"/>
      <c r="T138" s="449"/>
      <c r="U138" s="449"/>
      <c r="V138" s="449"/>
      <c r="W138" s="449"/>
      <c r="X138" s="449"/>
      <c r="Y138" s="449"/>
      <c r="Z138" s="449"/>
      <c r="AA138" s="449"/>
      <c r="AB138" s="449"/>
      <c r="AC138" s="449"/>
      <c r="AD138" s="449"/>
      <c r="AE138" s="449"/>
      <c r="AF138" s="449"/>
      <c r="AG138" s="449"/>
      <c r="AH138" s="449"/>
      <c r="AI138" s="449"/>
      <c r="AJ138" s="449"/>
      <c r="AK138" s="449"/>
      <c r="AL138" s="449"/>
      <c r="AM138" s="449"/>
      <c r="AN138" s="449"/>
      <c r="AO138" s="449"/>
      <c r="AP138" s="449"/>
      <c r="AQ138" s="449"/>
      <c r="AR138" s="449"/>
      <c r="AS138" s="449"/>
      <c r="AT138" s="449"/>
      <c r="AU138" s="449"/>
      <c r="AV138" s="449"/>
      <c r="AW138" s="449"/>
      <c r="AX138" s="449"/>
      <c r="AY138" s="449"/>
      <c r="AZ138" s="449"/>
      <c r="BA138" s="449"/>
      <c r="BB138" s="449"/>
      <c r="BC138" s="449"/>
      <c r="BD138" s="449"/>
      <c r="BE138" s="449"/>
      <c r="BF138" s="449"/>
      <c r="BG138" s="449"/>
      <c r="BH138" s="449"/>
      <c r="BI138" s="449"/>
      <c r="BJ138" s="449"/>
      <c r="BK138" s="449"/>
      <c r="BL138" s="449"/>
      <c r="BM138" s="449"/>
      <c r="BN138" s="449"/>
      <c r="BO138" s="449"/>
      <c r="BP138" s="449"/>
      <c r="BQ138" s="449"/>
      <c r="BR138" s="449"/>
      <c r="BS138" s="449"/>
      <c r="BT138" s="449"/>
      <c r="BU138" s="449"/>
      <c r="BV138" s="449"/>
      <c r="BW138" s="449"/>
      <c r="BX138" s="449"/>
      <c r="BY138" s="449"/>
      <c r="BZ138" s="449"/>
      <c r="CA138" s="449"/>
      <c r="CB138" s="449"/>
      <c r="CC138" s="449"/>
      <c r="CD138" s="449"/>
      <c r="CE138" s="449"/>
      <c r="CF138" s="449"/>
      <c r="CG138" s="449"/>
      <c r="CH138" s="449"/>
      <c r="CI138" s="449"/>
      <c r="CJ138" s="449"/>
      <c r="CK138" s="449"/>
      <c r="CL138" s="449"/>
      <c r="CM138" s="449"/>
      <c r="CN138" s="449"/>
      <c r="CO138" s="449"/>
      <c r="CP138" s="449"/>
      <c r="CQ138" s="449"/>
      <c r="CR138" s="449"/>
      <c r="CS138" s="449"/>
      <c r="CT138" s="449"/>
      <c r="CU138" s="449"/>
      <c r="CV138" s="449"/>
      <c r="CW138" s="449"/>
      <c r="CX138" s="449"/>
      <c r="CY138" s="449"/>
      <c r="CZ138" s="449"/>
      <c r="DA138" s="449"/>
      <c r="DB138" s="449"/>
      <c r="DC138" s="449"/>
      <c r="DD138" s="449"/>
      <c r="DE138" s="449"/>
      <c r="DF138" s="449"/>
      <c r="DG138" s="449"/>
      <c r="DH138" s="449"/>
      <c r="DI138" s="449"/>
      <c r="DJ138" s="449"/>
      <c r="DK138" s="449"/>
      <c r="DL138" s="449"/>
      <c r="DM138" s="449"/>
      <c r="DN138" s="449"/>
      <c r="DO138" s="449"/>
      <c r="DP138" s="449"/>
      <c r="DQ138" s="449"/>
      <c r="DR138" s="449"/>
      <c r="DS138" s="449"/>
      <c r="DT138" s="449"/>
      <c r="DU138" s="449"/>
      <c r="DV138" s="449"/>
      <c r="DW138" s="449"/>
      <c r="DX138" s="449"/>
      <c r="DY138" s="449"/>
      <c r="DZ138" s="449"/>
      <c r="EA138" s="449"/>
      <c r="EB138" s="449"/>
      <c r="EC138" s="449"/>
      <c r="ED138" s="449"/>
      <c r="EE138" s="449"/>
      <c r="EF138" s="449"/>
      <c r="EG138" s="449"/>
      <c r="EH138" s="449"/>
      <c r="EI138" s="449"/>
      <c r="EJ138" s="449"/>
      <c r="EK138" s="449"/>
      <c r="EL138" s="449"/>
      <c r="EM138" s="449"/>
      <c r="EN138" s="449"/>
      <c r="EO138" s="449"/>
      <c r="EP138" s="449"/>
      <c r="EQ138" s="449"/>
      <c r="ER138" s="449"/>
      <c r="ES138" s="449"/>
      <c r="ET138" s="449"/>
      <c r="EU138" s="449"/>
      <c r="EV138" s="449"/>
      <c r="EW138" s="449"/>
      <c r="EX138" s="449"/>
      <c r="EY138" s="449"/>
      <c r="EZ138" s="449"/>
      <c r="FA138" s="449"/>
      <c r="FB138" s="449"/>
      <c r="FC138" s="449"/>
      <c r="FD138" s="449"/>
      <c r="FE138" s="449"/>
      <c r="FF138" s="449"/>
      <c r="FG138" s="449"/>
      <c r="FH138" s="449"/>
      <c r="FI138" s="449"/>
      <c r="FJ138" s="449"/>
      <c r="FK138" s="449"/>
      <c r="FL138" s="449"/>
      <c r="FM138" s="449"/>
      <c r="FN138" s="449"/>
      <c r="FO138" s="449"/>
      <c r="FP138" s="449"/>
      <c r="FQ138" s="449"/>
      <c r="FR138" s="449"/>
      <c r="FS138" s="449"/>
      <c r="FT138" s="449"/>
      <c r="FU138" s="449"/>
      <c r="FV138" s="449"/>
      <c r="FW138" s="449"/>
      <c r="FX138" s="449"/>
      <c r="FY138" s="449"/>
      <c r="FZ138" s="449"/>
      <c r="GA138" s="449"/>
      <c r="GB138" s="449"/>
      <c r="GC138" s="449"/>
      <c r="GD138" s="449"/>
      <c r="GE138" s="449"/>
      <c r="GF138" s="449"/>
      <c r="GG138" s="449"/>
      <c r="GH138" s="449"/>
      <c r="GI138" s="449"/>
      <c r="GJ138" s="449"/>
      <c r="GK138" s="449"/>
      <c r="GL138" s="449"/>
      <c r="GM138" s="449"/>
      <c r="GN138" s="449"/>
      <c r="GO138" s="449"/>
      <c r="GP138" s="449"/>
      <c r="GQ138" s="449"/>
      <c r="GR138" s="449"/>
      <c r="GS138" s="449"/>
      <c r="GT138" s="449"/>
      <c r="GU138" s="449"/>
      <c r="GV138" s="449"/>
      <c r="GW138" s="449"/>
      <c r="GX138" s="449"/>
      <c r="GY138" s="449"/>
      <c r="GZ138" s="449"/>
      <c r="HA138" s="449"/>
      <c r="HB138" s="449"/>
      <c r="HC138" s="449"/>
      <c r="HD138" s="449"/>
      <c r="HE138" s="449"/>
      <c r="HF138" s="449"/>
      <c r="HG138" s="449"/>
      <c r="HH138" s="449"/>
      <c r="HI138" s="449"/>
      <c r="HJ138" s="449"/>
      <c r="HK138" s="449"/>
      <c r="HL138" s="449"/>
      <c r="HM138" s="449"/>
      <c r="HN138" s="449"/>
      <c r="HO138" s="449"/>
      <c r="HP138" s="449"/>
      <c r="HQ138" s="449"/>
      <c r="HR138" s="449"/>
      <c r="HS138" s="449"/>
      <c r="HT138" s="449"/>
      <c r="HU138" s="449"/>
      <c r="HV138" s="449"/>
      <c r="HW138" s="449"/>
      <c r="HX138" s="449"/>
      <c r="HY138" s="449"/>
      <c r="HZ138" s="449"/>
      <c r="IA138" s="449"/>
      <c r="IB138" s="449"/>
      <c r="IC138" s="449"/>
      <c r="ID138" s="449"/>
      <c r="IE138" s="449"/>
      <c r="IF138" s="449"/>
      <c r="IG138" s="449"/>
      <c r="IH138" s="449"/>
      <c r="II138" s="449"/>
      <c r="IJ138" s="449"/>
      <c r="IK138" s="449"/>
      <c r="IL138" s="449"/>
      <c r="IM138" s="449"/>
      <c r="IN138" s="449"/>
      <c r="IO138" s="449"/>
      <c r="IP138" s="449"/>
      <c r="IQ138" s="449"/>
      <c r="IR138" s="449"/>
      <c r="IS138" s="449"/>
      <c r="IT138" s="449"/>
      <c r="IU138" s="449"/>
      <c r="IV138" s="449"/>
      <c r="IW138" s="449"/>
      <c r="IX138" s="449"/>
      <c r="IY138" s="449"/>
    </row>
    <row r="139" spans="3:259" s="379" customFormat="1" ht="12.75" x14ac:dyDescent="0.2">
      <c r="C139" s="392" t="s">
        <v>1083</v>
      </c>
      <c r="D139" s="393" t="s">
        <v>877</v>
      </c>
      <c r="E139" s="410" t="s">
        <v>1084</v>
      </c>
      <c r="F139" s="410"/>
      <c r="G139" s="393">
        <v>1000</v>
      </c>
      <c r="H139" s="393">
        <v>210</v>
      </c>
      <c r="I139" s="393">
        <v>310</v>
      </c>
      <c r="J139" s="393">
        <v>42.45</v>
      </c>
      <c r="K139" s="397">
        <v>10728</v>
      </c>
      <c r="L139" s="397"/>
      <c r="M139" s="398">
        <f>K139*0.7</f>
        <v>7509.5999999999995</v>
      </c>
      <c r="N139" s="449"/>
      <c r="O139" s="449"/>
      <c r="P139" s="449"/>
      <c r="Q139" s="449"/>
      <c r="R139" s="449"/>
      <c r="S139" s="449"/>
      <c r="T139" s="449"/>
      <c r="U139" s="449"/>
      <c r="V139" s="449"/>
      <c r="W139" s="449"/>
      <c r="X139" s="449"/>
      <c r="Y139" s="449"/>
      <c r="Z139" s="449"/>
      <c r="AA139" s="449"/>
      <c r="AB139" s="449"/>
      <c r="AC139" s="449"/>
      <c r="AD139" s="449"/>
      <c r="AE139" s="449"/>
      <c r="AF139" s="449"/>
      <c r="AG139" s="449"/>
      <c r="AH139" s="449"/>
      <c r="AI139" s="449"/>
      <c r="AJ139" s="449"/>
      <c r="AK139" s="449"/>
      <c r="AL139" s="449"/>
      <c r="AM139" s="449"/>
      <c r="AN139" s="449"/>
      <c r="AO139" s="449"/>
      <c r="AP139" s="449"/>
      <c r="AQ139" s="449"/>
      <c r="AR139" s="449"/>
      <c r="AS139" s="449"/>
      <c r="AT139" s="449"/>
      <c r="AU139" s="449"/>
      <c r="AV139" s="449"/>
      <c r="AW139" s="449"/>
      <c r="AX139" s="449"/>
      <c r="AY139" s="449"/>
      <c r="AZ139" s="449"/>
      <c r="BA139" s="449"/>
      <c r="BB139" s="449"/>
      <c r="BC139" s="449"/>
      <c r="BD139" s="449"/>
      <c r="BE139" s="449"/>
      <c r="BF139" s="449"/>
      <c r="BG139" s="449"/>
      <c r="BH139" s="449"/>
      <c r="BI139" s="449"/>
      <c r="BJ139" s="449"/>
      <c r="BK139" s="449"/>
      <c r="BL139" s="449"/>
      <c r="BM139" s="449"/>
      <c r="BN139" s="449"/>
      <c r="BO139" s="449"/>
      <c r="BP139" s="449"/>
      <c r="BQ139" s="449"/>
      <c r="BR139" s="449"/>
      <c r="BS139" s="449"/>
      <c r="BT139" s="449"/>
      <c r="BU139" s="449"/>
      <c r="BV139" s="449"/>
      <c r="BW139" s="449"/>
      <c r="BX139" s="449"/>
      <c r="BY139" s="449"/>
      <c r="BZ139" s="449"/>
      <c r="CA139" s="449"/>
      <c r="CB139" s="449"/>
      <c r="CC139" s="449"/>
      <c r="CD139" s="449"/>
      <c r="CE139" s="449"/>
      <c r="CF139" s="449"/>
      <c r="CG139" s="449"/>
      <c r="CH139" s="449"/>
      <c r="CI139" s="449"/>
      <c r="CJ139" s="449"/>
      <c r="CK139" s="449"/>
      <c r="CL139" s="449"/>
      <c r="CM139" s="449"/>
      <c r="CN139" s="449"/>
      <c r="CO139" s="449"/>
      <c r="CP139" s="449"/>
      <c r="CQ139" s="449"/>
      <c r="CR139" s="449"/>
      <c r="CS139" s="449"/>
      <c r="CT139" s="449"/>
      <c r="CU139" s="449"/>
      <c r="CV139" s="449"/>
      <c r="CW139" s="449"/>
      <c r="CX139" s="449"/>
      <c r="CY139" s="449"/>
      <c r="CZ139" s="449"/>
      <c r="DA139" s="449"/>
      <c r="DB139" s="449"/>
      <c r="DC139" s="449"/>
      <c r="DD139" s="449"/>
      <c r="DE139" s="449"/>
      <c r="DF139" s="449"/>
      <c r="DG139" s="449"/>
      <c r="DH139" s="449"/>
      <c r="DI139" s="449"/>
      <c r="DJ139" s="449"/>
      <c r="DK139" s="449"/>
      <c r="DL139" s="449"/>
      <c r="DM139" s="449"/>
      <c r="DN139" s="449"/>
      <c r="DO139" s="449"/>
      <c r="DP139" s="449"/>
      <c r="DQ139" s="449"/>
      <c r="DR139" s="449"/>
      <c r="DS139" s="449"/>
      <c r="DT139" s="449"/>
      <c r="DU139" s="449"/>
      <c r="DV139" s="449"/>
      <c r="DW139" s="449"/>
      <c r="DX139" s="449"/>
      <c r="DY139" s="449"/>
      <c r="DZ139" s="449"/>
      <c r="EA139" s="449"/>
      <c r="EB139" s="449"/>
      <c r="EC139" s="449"/>
      <c r="ED139" s="449"/>
      <c r="EE139" s="449"/>
      <c r="EF139" s="449"/>
      <c r="EG139" s="449"/>
      <c r="EH139" s="449"/>
      <c r="EI139" s="449"/>
      <c r="EJ139" s="449"/>
      <c r="EK139" s="449"/>
      <c r="EL139" s="449"/>
      <c r="EM139" s="449"/>
      <c r="EN139" s="449"/>
      <c r="EO139" s="449"/>
      <c r="EP139" s="449"/>
      <c r="EQ139" s="449"/>
      <c r="ER139" s="449"/>
      <c r="ES139" s="449"/>
      <c r="ET139" s="449"/>
      <c r="EU139" s="449"/>
      <c r="EV139" s="449"/>
      <c r="EW139" s="449"/>
      <c r="EX139" s="449"/>
      <c r="EY139" s="449"/>
      <c r="EZ139" s="449"/>
      <c r="FA139" s="449"/>
      <c r="FB139" s="449"/>
      <c r="FC139" s="449"/>
      <c r="FD139" s="449"/>
      <c r="FE139" s="449"/>
      <c r="FF139" s="449"/>
      <c r="FG139" s="449"/>
      <c r="FH139" s="449"/>
      <c r="FI139" s="449"/>
      <c r="FJ139" s="449"/>
      <c r="FK139" s="449"/>
      <c r="FL139" s="449"/>
      <c r="FM139" s="449"/>
      <c r="FN139" s="449"/>
      <c r="FO139" s="449"/>
      <c r="FP139" s="449"/>
      <c r="FQ139" s="449"/>
      <c r="FR139" s="449"/>
      <c r="FS139" s="449"/>
      <c r="FT139" s="449"/>
      <c r="FU139" s="449"/>
      <c r="FV139" s="449"/>
      <c r="FW139" s="449"/>
      <c r="FX139" s="449"/>
      <c r="FY139" s="449"/>
      <c r="FZ139" s="449"/>
      <c r="GA139" s="449"/>
      <c r="GB139" s="449"/>
      <c r="GC139" s="449"/>
      <c r="GD139" s="449"/>
      <c r="GE139" s="449"/>
      <c r="GF139" s="449"/>
      <c r="GG139" s="449"/>
      <c r="GH139" s="449"/>
      <c r="GI139" s="449"/>
      <c r="GJ139" s="449"/>
      <c r="GK139" s="449"/>
      <c r="GL139" s="449"/>
      <c r="GM139" s="449"/>
      <c r="GN139" s="449"/>
      <c r="GO139" s="449"/>
      <c r="GP139" s="449"/>
      <c r="GQ139" s="449"/>
      <c r="GR139" s="449"/>
      <c r="GS139" s="449"/>
      <c r="GT139" s="449"/>
      <c r="GU139" s="449"/>
      <c r="GV139" s="449"/>
      <c r="GW139" s="449"/>
      <c r="GX139" s="449"/>
      <c r="GY139" s="449"/>
      <c r="GZ139" s="449"/>
      <c r="HA139" s="449"/>
      <c r="HB139" s="449"/>
      <c r="HC139" s="449"/>
      <c r="HD139" s="449"/>
      <c r="HE139" s="449"/>
      <c r="HF139" s="449"/>
      <c r="HG139" s="449"/>
      <c r="HH139" s="449"/>
      <c r="HI139" s="449"/>
      <c r="HJ139" s="449"/>
      <c r="HK139" s="449"/>
      <c r="HL139" s="449"/>
      <c r="HM139" s="449"/>
      <c r="HN139" s="449"/>
      <c r="HO139" s="449"/>
      <c r="HP139" s="449"/>
      <c r="HQ139" s="449"/>
      <c r="HR139" s="449"/>
      <c r="HS139" s="449"/>
      <c r="HT139" s="449"/>
      <c r="HU139" s="449"/>
      <c r="HV139" s="449"/>
      <c r="HW139" s="449"/>
      <c r="HX139" s="449"/>
      <c r="HY139" s="449"/>
      <c r="HZ139" s="449"/>
      <c r="IA139" s="449"/>
      <c r="IB139" s="449"/>
      <c r="IC139" s="449"/>
      <c r="ID139" s="449"/>
      <c r="IE139" s="449"/>
      <c r="IF139" s="449"/>
      <c r="IG139" s="449"/>
      <c r="IH139" s="449"/>
      <c r="II139" s="449"/>
      <c r="IJ139" s="449"/>
      <c r="IK139" s="449"/>
      <c r="IL139" s="449"/>
      <c r="IM139" s="449"/>
      <c r="IN139" s="449"/>
      <c r="IO139" s="449"/>
      <c r="IP139" s="449"/>
      <c r="IQ139" s="449"/>
      <c r="IR139" s="449"/>
      <c r="IS139" s="449"/>
      <c r="IT139" s="449"/>
      <c r="IU139" s="449"/>
      <c r="IV139" s="449"/>
      <c r="IW139" s="449"/>
      <c r="IX139" s="449"/>
      <c r="IY139" s="449"/>
    </row>
    <row r="140" spans="3:259" s="379" customFormat="1" ht="12.75" x14ac:dyDescent="0.2">
      <c r="C140" s="392" t="s">
        <v>1085</v>
      </c>
      <c r="D140" s="393" t="s">
        <v>877</v>
      </c>
      <c r="E140" s="410" t="s">
        <v>1086</v>
      </c>
      <c r="F140" s="410"/>
      <c r="G140" s="393">
        <v>1000</v>
      </c>
      <c r="H140" s="393">
        <v>210</v>
      </c>
      <c r="I140" s="393">
        <v>500</v>
      </c>
      <c r="J140" s="393">
        <v>32.69</v>
      </c>
      <c r="K140" s="397">
        <v>6302</v>
      </c>
      <c r="L140" s="397"/>
      <c r="M140" s="398">
        <f>K140*0.7</f>
        <v>4411.3999999999996</v>
      </c>
      <c r="N140" s="449"/>
      <c r="O140" s="449"/>
      <c r="P140" s="449"/>
      <c r="Q140" s="449"/>
      <c r="R140" s="449"/>
      <c r="S140" s="449"/>
      <c r="T140" s="449"/>
      <c r="U140" s="449"/>
      <c r="V140" s="449"/>
      <c r="W140" s="449"/>
      <c r="X140" s="449"/>
      <c r="Y140" s="449"/>
      <c r="Z140" s="449"/>
      <c r="AA140" s="449"/>
      <c r="AB140" s="449"/>
      <c r="AC140" s="449"/>
      <c r="AD140" s="449"/>
      <c r="AE140" s="449"/>
      <c r="AF140" s="449"/>
      <c r="AG140" s="449"/>
      <c r="AH140" s="449"/>
      <c r="AI140" s="449"/>
      <c r="AJ140" s="449"/>
      <c r="AK140" s="449"/>
      <c r="AL140" s="449"/>
      <c r="AM140" s="449"/>
      <c r="AN140" s="449"/>
      <c r="AO140" s="449"/>
      <c r="AP140" s="449"/>
      <c r="AQ140" s="449"/>
      <c r="AR140" s="449"/>
      <c r="AS140" s="449"/>
      <c r="AT140" s="449"/>
      <c r="AU140" s="449"/>
      <c r="AV140" s="449"/>
      <c r="AW140" s="449"/>
      <c r="AX140" s="449"/>
      <c r="AY140" s="449"/>
      <c r="AZ140" s="449"/>
      <c r="BA140" s="449"/>
      <c r="BB140" s="449"/>
      <c r="BC140" s="449"/>
      <c r="BD140" s="449"/>
      <c r="BE140" s="449"/>
      <c r="BF140" s="449"/>
      <c r="BG140" s="449"/>
      <c r="BH140" s="449"/>
      <c r="BI140" s="449"/>
      <c r="BJ140" s="449"/>
      <c r="BK140" s="449"/>
      <c r="BL140" s="449"/>
      <c r="BM140" s="449"/>
      <c r="BN140" s="449"/>
      <c r="BO140" s="449"/>
      <c r="BP140" s="449"/>
      <c r="BQ140" s="449"/>
      <c r="BR140" s="449"/>
      <c r="BS140" s="449"/>
      <c r="BT140" s="449"/>
      <c r="BU140" s="449"/>
      <c r="BV140" s="449"/>
      <c r="BW140" s="449"/>
      <c r="BX140" s="449"/>
      <c r="BY140" s="449"/>
      <c r="BZ140" s="449"/>
      <c r="CA140" s="449"/>
      <c r="CB140" s="449"/>
      <c r="CC140" s="449"/>
      <c r="CD140" s="449"/>
      <c r="CE140" s="449"/>
      <c r="CF140" s="449"/>
      <c r="CG140" s="449"/>
      <c r="CH140" s="449"/>
      <c r="CI140" s="449"/>
      <c r="CJ140" s="449"/>
      <c r="CK140" s="449"/>
      <c r="CL140" s="449"/>
      <c r="CM140" s="449"/>
      <c r="CN140" s="449"/>
      <c r="CO140" s="449"/>
      <c r="CP140" s="449"/>
      <c r="CQ140" s="449"/>
      <c r="CR140" s="449"/>
      <c r="CS140" s="449"/>
      <c r="CT140" s="449"/>
      <c r="CU140" s="449"/>
      <c r="CV140" s="449"/>
      <c r="CW140" s="449"/>
      <c r="CX140" s="449"/>
      <c r="CY140" s="449"/>
      <c r="CZ140" s="449"/>
      <c r="DA140" s="449"/>
      <c r="DB140" s="449"/>
      <c r="DC140" s="449"/>
      <c r="DD140" s="449"/>
      <c r="DE140" s="449"/>
      <c r="DF140" s="449"/>
      <c r="DG140" s="449"/>
      <c r="DH140" s="449"/>
      <c r="DI140" s="449"/>
      <c r="DJ140" s="449"/>
      <c r="DK140" s="449"/>
      <c r="DL140" s="449"/>
      <c r="DM140" s="449"/>
      <c r="DN140" s="449"/>
      <c r="DO140" s="449"/>
      <c r="DP140" s="449"/>
      <c r="DQ140" s="449"/>
      <c r="DR140" s="449"/>
      <c r="DS140" s="449"/>
      <c r="DT140" s="449"/>
      <c r="DU140" s="449"/>
      <c r="DV140" s="449"/>
      <c r="DW140" s="449"/>
      <c r="DX140" s="449"/>
      <c r="DY140" s="449"/>
      <c r="DZ140" s="449"/>
      <c r="EA140" s="449"/>
      <c r="EB140" s="449"/>
      <c r="EC140" s="449"/>
      <c r="ED140" s="449"/>
      <c r="EE140" s="449"/>
      <c r="EF140" s="449"/>
      <c r="EG140" s="449"/>
      <c r="EH140" s="449"/>
      <c r="EI140" s="449"/>
      <c r="EJ140" s="449"/>
      <c r="EK140" s="449"/>
      <c r="EL140" s="449"/>
      <c r="EM140" s="449"/>
      <c r="EN140" s="449"/>
      <c r="EO140" s="449"/>
      <c r="EP140" s="449"/>
      <c r="EQ140" s="449"/>
      <c r="ER140" s="449"/>
      <c r="ES140" s="449"/>
      <c r="ET140" s="449"/>
      <c r="EU140" s="449"/>
      <c r="EV140" s="449"/>
      <c r="EW140" s="449"/>
      <c r="EX140" s="449"/>
      <c r="EY140" s="449"/>
      <c r="EZ140" s="449"/>
      <c r="FA140" s="449"/>
      <c r="FB140" s="449"/>
      <c r="FC140" s="449"/>
      <c r="FD140" s="449"/>
      <c r="FE140" s="449"/>
      <c r="FF140" s="449"/>
      <c r="FG140" s="449"/>
      <c r="FH140" s="449"/>
      <c r="FI140" s="449"/>
      <c r="FJ140" s="449"/>
      <c r="FK140" s="449"/>
      <c r="FL140" s="449"/>
      <c r="FM140" s="449"/>
      <c r="FN140" s="449"/>
      <c r="FO140" s="449"/>
      <c r="FP140" s="449"/>
      <c r="FQ140" s="449"/>
      <c r="FR140" s="449"/>
      <c r="FS140" s="449"/>
      <c r="FT140" s="449"/>
      <c r="FU140" s="449"/>
      <c r="FV140" s="449"/>
      <c r="FW140" s="449"/>
      <c r="FX140" s="449"/>
      <c r="FY140" s="449"/>
      <c r="FZ140" s="449"/>
      <c r="GA140" s="449"/>
      <c r="GB140" s="449"/>
      <c r="GC140" s="449"/>
      <c r="GD140" s="449"/>
      <c r="GE140" s="449"/>
      <c r="GF140" s="449"/>
      <c r="GG140" s="449"/>
      <c r="GH140" s="449"/>
      <c r="GI140" s="449"/>
      <c r="GJ140" s="449"/>
      <c r="GK140" s="449"/>
      <c r="GL140" s="449"/>
      <c r="GM140" s="449"/>
      <c r="GN140" s="449"/>
      <c r="GO140" s="449"/>
      <c r="GP140" s="449"/>
      <c r="GQ140" s="449"/>
      <c r="GR140" s="449"/>
      <c r="GS140" s="449"/>
      <c r="GT140" s="449"/>
      <c r="GU140" s="449"/>
      <c r="GV140" s="449"/>
      <c r="GW140" s="449"/>
      <c r="GX140" s="449"/>
      <c r="GY140" s="449"/>
      <c r="GZ140" s="449"/>
      <c r="HA140" s="449"/>
      <c r="HB140" s="449"/>
      <c r="HC140" s="449"/>
      <c r="HD140" s="449"/>
      <c r="HE140" s="449"/>
      <c r="HF140" s="449"/>
      <c r="HG140" s="449"/>
      <c r="HH140" s="449"/>
      <c r="HI140" s="449"/>
      <c r="HJ140" s="449"/>
      <c r="HK140" s="449"/>
      <c r="HL140" s="449"/>
      <c r="HM140" s="449"/>
      <c r="HN140" s="449"/>
      <c r="HO140" s="449"/>
      <c r="HP140" s="449"/>
      <c r="HQ140" s="449"/>
      <c r="HR140" s="449"/>
      <c r="HS140" s="449"/>
      <c r="HT140" s="449"/>
      <c r="HU140" s="449"/>
      <c r="HV140" s="449"/>
      <c r="HW140" s="449"/>
      <c r="HX140" s="449"/>
      <c r="HY140" s="449"/>
      <c r="HZ140" s="449"/>
      <c r="IA140" s="449"/>
      <c r="IB140" s="449"/>
      <c r="IC140" s="449"/>
      <c r="ID140" s="449"/>
      <c r="IE140" s="449"/>
      <c r="IF140" s="449"/>
      <c r="IG140" s="449"/>
      <c r="IH140" s="449"/>
      <c r="II140" s="449"/>
      <c r="IJ140" s="449"/>
      <c r="IK140" s="449"/>
      <c r="IL140" s="449"/>
      <c r="IM140" s="449"/>
      <c r="IN140" s="449"/>
      <c r="IO140" s="449"/>
      <c r="IP140" s="449"/>
      <c r="IQ140" s="449"/>
      <c r="IR140" s="449"/>
      <c r="IS140" s="449"/>
      <c r="IT140" s="449"/>
      <c r="IU140" s="449"/>
      <c r="IV140" s="449"/>
      <c r="IW140" s="449"/>
      <c r="IX140" s="449"/>
      <c r="IY140" s="449"/>
    </row>
    <row r="141" spans="3:259" s="379" customFormat="1" ht="12.75" x14ac:dyDescent="0.2">
      <c r="C141" s="388" t="s">
        <v>1087</v>
      </c>
      <c r="D141" s="389"/>
      <c r="E141" s="389"/>
      <c r="F141" s="389"/>
      <c r="G141" s="389"/>
      <c r="H141" s="389"/>
      <c r="I141" s="389"/>
      <c r="J141" s="389"/>
      <c r="K141" s="390"/>
      <c r="L141" s="390"/>
      <c r="M141" s="391" t="str">
        <f>IFERROR(K141/#REF!-1,"")</f>
        <v/>
      </c>
      <c r="N141" s="449"/>
      <c r="O141" s="449"/>
      <c r="P141" s="449"/>
      <c r="Q141" s="449"/>
      <c r="R141" s="449"/>
      <c r="S141" s="449"/>
      <c r="T141" s="449"/>
      <c r="U141" s="449"/>
      <c r="V141" s="449"/>
      <c r="W141" s="449"/>
      <c r="X141" s="449"/>
      <c r="Y141" s="449"/>
      <c r="Z141" s="449"/>
      <c r="AA141" s="449"/>
      <c r="AB141" s="449"/>
      <c r="AC141" s="449"/>
      <c r="AD141" s="449"/>
      <c r="AE141" s="449"/>
      <c r="AF141" s="449"/>
      <c r="AG141" s="449"/>
      <c r="AH141" s="449"/>
      <c r="AI141" s="449"/>
      <c r="AJ141" s="449"/>
      <c r="AK141" s="449"/>
      <c r="AL141" s="449"/>
      <c r="AM141" s="449"/>
      <c r="AN141" s="449"/>
      <c r="AO141" s="449"/>
      <c r="AP141" s="449"/>
      <c r="AQ141" s="449"/>
      <c r="AR141" s="449"/>
      <c r="AS141" s="449"/>
      <c r="AT141" s="449"/>
      <c r="AU141" s="449"/>
      <c r="AV141" s="449"/>
      <c r="AW141" s="449"/>
      <c r="AX141" s="449"/>
      <c r="AY141" s="449"/>
      <c r="AZ141" s="449"/>
      <c r="BA141" s="449"/>
      <c r="BB141" s="449"/>
      <c r="BC141" s="449"/>
      <c r="BD141" s="449"/>
      <c r="BE141" s="449"/>
      <c r="BF141" s="449"/>
      <c r="BG141" s="449"/>
      <c r="BH141" s="449"/>
      <c r="BI141" s="449"/>
      <c r="BJ141" s="449"/>
      <c r="BK141" s="449"/>
      <c r="BL141" s="449"/>
      <c r="BM141" s="449"/>
      <c r="BN141" s="449"/>
      <c r="BO141" s="449"/>
      <c r="BP141" s="449"/>
      <c r="BQ141" s="449"/>
      <c r="BR141" s="449"/>
      <c r="BS141" s="449"/>
      <c r="BT141" s="449"/>
      <c r="BU141" s="449"/>
      <c r="BV141" s="449"/>
      <c r="BW141" s="449"/>
      <c r="BX141" s="449"/>
      <c r="BY141" s="449"/>
      <c r="BZ141" s="449"/>
      <c r="CA141" s="449"/>
      <c r="CB141" s="449"/>
      <c r="CC141" s="449"/>
      <c r="CD141" s="449"/>
      <c r="CE141" s="449"/>
      <c r="CF141" s="449"/>
      <c r="CG141" s="449"/>
      <c r="CH141" s="449"/>
      <c r="CI141" s="449"/>
      <c r="CJ141" s="449"/>
      <c r="CK141" s="449"/>
      <c r="CL141" s="449"/>
      <c r="CM141" s="449"/>
      <c r="CN141" s="449"/>
      <c r="CO141" s="449"/>
      <c r="CP141" s="449"/>
      <c r="CQ141" s="449"/>
      <c r="CR141" s="449"/>
      <c r="CS141" s="449"/>
      <c r="CT141" s="449"/>
      <c r="CU141" s="449"/>
      <c r="CV141" s="449"/>
      <c r="CW141" s="449"/>
      <c r="CX141" s="449"/>
      <c r="CY141" s="449"/>
      <c r="CZ141" s="449"/>
      <c r="DA141" s="449"/>
      <c r="DB141" s="449"/>
      <c r="DC141" s="449"/>
      <c r="DD141" s="449"/>
      <c r="DE141" s="449"/>
      <c r="DF141" s="449"/>
      <c r="DG141" s="449"/>
      <c r="DH141" s="449"/>
      <c r="DI141" s="449"/>
      <c r="DJ141" s="449"/>
      <c r="DK141" s="449"/>
      <c r="DL141" s="449"/>
      <c r="DM141" s="449"/>
      <c r="DN141" s="449"/>
      <c r="DO141" s="449"/>
      <c r="DP141" s="449"/>
      <c r="DQ141" s="449"/>
      <c r="DR141" s="449"/>
      <c r="DS141" s="449"/>
      <c r="DT141" s="449"/>
      <c r="DU141" s="449"/>
      <c r="DV141" s="449"/>
      <c r="DW141" s="449"/>
      <c r="DX141" s="449"/>
      <c r="DY141" s="449"/>
      <c r="DZ141" s="449"/>
      <c r="EA141" s="449"/>
      <c r="EB141" s="449"/>
      <c r="EC141" s="449"/>
      <c r="ED141" s="449"/>
      <c r="EE141" s="449"/>
      <c r="EF141" s="449"/>
      <c r="EG141" s="449"/>
      <c r="EH141" s="449"/>
      <c r="EI141" s="449"/>
      <c r="EJ141" s="449"/>
      <c r="EK141" s="449"/>
      <c r="EL141" s="449"/>
      <c r="EM141" s="449"/>
      <c r="EN141" s="449"/>
      <c r="EO141" s="449"/>
      <c r="EP141" s="449"/>
      <c r="EQ141" s="449"/>
      <c r="ER141" s="449"/>
      <c r="ES141" s="449"/>
      <c r="ET141" s="449"/>
      <c r="EU141" s="449"/>
      <c r="EV141" s="449"/>
      <c r="EW141" s="449"/>
      <c r="EX141" s="449"/>
      <c r="EY141" s="449"/>
      <c r="EZ141" s="449"/>
      <c r="FA141" s="449"/>
      <c r="FB141" s="449"/>
      <c r="FC141" s="449"/>
      <c r="FD141" s="449"/>
      <c r="FE141" s="449"/>
      <c r="FF141" s="449"/>
      <c r="FG141" s="449"/>
      <c r="FH141" s="449"/>
      <c r="FI141" s="449"/>
      <c r="FJ141" s="449"/>
      <c r="FK141" s="449"/>
      <c r="FL141" s="449"/>
      <c r="FM141" s="449"/>
      <c r="FN141" s="449"/>
      <c r="FO141" s="449"/>
      <c r="FP141" s="449"/>
      <c r="FQ141" s="449"/>
      <c r="FR141" s="449"/>
      <c r="FS141" s="449"/>
      <c r="FT141" s="449"/>
      <c r="FU141" s="449"/>
      <c r="FV141" s="449"/>
      <c r="FW141" s="449"/>
      <c r="FX141" s="449"/>
      <c r="FY141" s="449"/>
      <c r="FZ141" s="449"/>
      <c r="GA141" s="449"/>
      <c r="GB141" s="449"/>
      <c r="GC141" s="449"/>
      <c r="GD141" s="449"/>
      <c r="GE141" s="449"/>
      <c r="GF141" s="449"/>
      <c r="GG141" s="449"/>
      <c r="GH141" s="449"/>
      <c r="GI141" s="449"/>
      <c r="GJ141" s="449"/>
      <c r="GK141" s="449"/>
      <c r="GL141" s="449"/>
      <c r="GM141" s="449"/>
      <c r="GN141" s="449"/>
      <c r="GO141" s="449"/>
      <c r="GP141" s="449"/>
      <c r="GQ141" s="449"/>
      <c r="GR141" s="449"/>
      <c r="GS141" s="449"/>
      <c r="GT141" s="449"/>
      <c r="GU141" s="449"/>
      <c r="GV141" s="449"/>
      <c r="GW141" s="449"/>
      <c r="GX141" s="449"/>
      <c r="GY141" s="449"/>
      <c r="GZ141" s="449"/>
      <c r="HA141" s="449"/>
      <c r="HB141" s="449"/>
      <c r="HC141" s="449"/>
      <c r="HD141" s="449"/>
      <c r="HE141" s="449"/>
      <c r="HF141" s="449"/>
      <c r="HG141" s="449"/>
      <c r="HH141" s="449"/>
      <c r="HI141" s="449"/>
      <c r="HJ141" s="449"/>
      <c r="HK141" s="449"/>
      <c r="HL141" s="449"/>
      <c r="HM141" s="449"/>
      <c r="HN141" s="449"/>
      <c r="HO141" s="449"/>
      <c r="HP141" s="449"/>
      <c r="HQ141" s="449"/>
      <c r="HR141" s="449"/>
      <c r="HS141" s="449"/>
      <c r="HT141" s="449"/>
      <c r="HU141" s="449"/>
      <c r="HV141" s="449"/>
      <c r="HW141" s="449"/>
      <c r="HX141" s="449"/>
      <c r="HY141" s="449"/>
      <c r="HZ141" s="449"/>
      <c r="IA141" s="449"/>
      <c r="IB141" s="449"/>
      <c r="IC141" s="449"/>
      <c r="ID141" s="449"/>
      <c r="IE141" s="449"/>
      <c r="IF141" s="449"/>
      <c r="IG141" s="449"/>
      <c r="IH141" s="449"/>
      <c r="II141" s="449"/>
      <c r="IJ141" s="449"/>
      <c r="IK141" s="449"/>
      <c r="IL141" s="449"/>
      <c r="IM141" s="449"/>
      <c r="IN141" s="449"/>
      <c r="IO141" s="449"/>
      <c r="IP141" s="449"/>
      <c r="IQ141" s="449"/>
      <c r="IR141" s="449"/>
      <c r="IS141" s="449"/>
      <c r="IT141" s="449"/>
      <c r="IU141" s="449"/>
      <c r="IV141" s="449"/>
      <c r="IW141" s="449"/>
      <c r="IX141" s="449"/>
      <c r="IY141" s="449"/>
    </row>
    <row r="142" spans="3:259" s="379" customFormat="1" ht="12.75" x14ac:dyDescent="0.2">
      <c r="C142" s="392" t="s">
        <v>1088</v>
      </c>
      <c r="D142" s="393" t="s">
        <v>880</v>
      </c>
      <c r="E142" s="410" t="s">
        <v>1089</v>
      </c>
      <c r="F142" s="410"/>
      <c r="G142" s="393">
        <v>1000</v>
      </c>
      <c r="H142" s="393">
        <v>210</v>
      </c>
      <c r="I142" s="393">
        <v>100</v>
      </c>
      <c r="J142" s="393">
        <v>29.9</v>
      </c>
      <c r="K142" s="397">
        <v>8390</v>
      </c>
      <c r="L142" s="397"/>
      <c r="M142" s="398">
        <f>K142*0.7</f>
        <v>5873</v>
      </c>
      <c r="N142" s="449"/>
      <c r="O142" s="449"/>
      <c r="P142" s="449"/>
      <c r="Q142" s="449"/>
      <c r="R142" s="449"/>
      <c r="S142" s="449"/>
      <c r="T142" s="449"/>
      <c r="U142" s="449"/>
      <c r="V142" s="449"/>
      <c r="W142" s="449"/>
      <c r="X142" s="449"/>
      <c r="Y142" s="449"/>
      <c r="Z142" s="449"/>
      <c r="AA142" s="449"/>
      <c r="AB142" s="449"/>
      <c r="AC142" s="449"/>
      <c r="AD142" s="449"/>
      <c r="AE142" s="449"/>
      <c r="AF142" s="449"/>
      <c r="AG142" s="449"/>
      <c r="AH142" s="449"/>
      <c r="AI142" s="449"/>
      <c r="AJ142" s="449"/>
      <c r="AK142" s="449"/>
      <c r="AL142" s="449"/>
      <c r="AM142" s="449"/>
      <c r="AN142" s="449"/>
      <c r="AO142" s="449"/>
      <c r="AP142" s="449"/>
      <c r="AQ142" s="449"/>
      <c r="AR142" s="449"/>
      <c r="AS142" s="449"/>
      <c r="AT142" s="449"/>
      <c r="AU142" s="449"/>
      <c r="AV142" s="449"/>
      <c r="AW142" s="449"/>
      <c r="AX142" s="449"/>
      <c r="AY142" s="449"/>
      <c r="AZ142" s="449"/>
      <c r="BA142" s="449"/>
      <c r="BB142" s="449"/>
      <c r="BC142" s="449"/>
      <c r="BD142" s="449"/>
      <c r="BE142" s="449"/>
      <c r="BF142" s="449"/>
      <c r="BG142" s="449"/>
      <c r="BH142" s="449"/>
      <c r="BI142" s="449"/>
      <c r="BJ142" s="449"/>
      <c r="BK142" s="449"/>
      <c r="BL142" s="449"/>
      <c r="BM142" s="449"/>
      <c r="BN142" s="449"/>
      <c r="BO142" s="449"/>
      <c r="BP142" s="449"/>
      <c r="BQ142" s="449"/>
      <c r="BR142" s="449"/>
      <c r="BS142" s="449"/>
      <c r="BT142" s="449"/>
      <c r="BU142" s="449"/>
      <c r="BV142" s="449"/>
      <c r="BW142" s="449"/>
      <c r="BX142" s="449"/>
      <c r="BY142" s="449"/>
      <c r="BZ142" s="449"/>
      <c r="CA142" s="449"/>
      <c r="CB142" s="449"/>
      <c r="CC142" s="449"/>
      <c r="CD142" s="449"/>
      <c r="CE142" s="449"/>
      <c r="CF142" s="449"/>
      <c r="CG142" s="449"/>
      <c r="CH142" s="449"/>
      <c r="CI142" s="449"/>
      <c r="CJ142" s="449"/>
      <c r="CK142" s="449"/>
      <c r="CL142" s="449"/>
      <c r="CM142" s="449"/>
      <c r="CN142" s="449"/>
      <c r="CO142" s="449"/>
      <c r="CP142" s="449"/>
      <c r="CQ142" s="449"/>
      <c r="CR142" s="449"/>
      <c r="CS142" s="449"/>
      <c r="CT142" s="449"/>
      <c r="CU142" s="449"/>
      <c r="CV142" s="449"/>
      <c r="CW142" s="449"/>
      <c r="CX142" s="449"/>
      <c r="CY142" s="449"/>
      <c r="CZ142" s="449"/>
      <c r="DA142" s="449"/>
      <c r="DB142" s="449"/>
      <c r="DC142" s="449"/>
      <c r="DD142" s="449"/>
      <c r="DE142" s="449"/>
      <c r="DF142" s="449"/>
      <c r="DG142" s="449"/>
      <c r="DH142" s="449"/>
      <c r="DI142" s="449"/>
      <c r="DJ142" s="449"/>
      <c r="DK142" s="449"/>
      <c r="DL142" s="449"/>
      <c r="DM142" s="449"/>
      <c r="DN142" s="449"/>
      <c r="DO142" s="449"/>
      <c r="DP142" s="449"/>
      <c r="DQ142" s="449"/>
      <c r="DR142" s="449"/>
      <c r="DS142" s="449"/>
      <c r="DT142" s="449"/>
      <c r="DU142" s="449"/>
      <c r="DV142" s="449"/>
      <c r="DW142" s="449"/>
      <c r="DX142" s="449"/>
      <c r="DY142" s="449"/>
      <c r="DZ142" s="449"/>
      <c r="EA142" s="449"/>
      <c r="EB142" s="449"/>
      <c r="EC142" s="449"/>
      <c r="ED142" s="449"/>
      <c r="EE142" s="449"/>
      <c r="EF142" s="449"/>
      <c r="EG142" s="449"/>
      <c r="EH142" s="449"/>
      <c r="EI142" s="449"/>
      <c r="EJ142" s="449"/>
      <c r="EK142" s="449"/>
      <c r="EL142" s="449"/>
      <c r="EM142" s="449"/>
      <c r="EN142" s="449"/>
      <c r="EO142" s="449"/>
      <c r="EP142" s="449"/>
      <c r="EQ142" s="449"/>
      <c r="ER142" s="449"/>
      <c r="ES142" s="449"/>
      <c r="ET142" s="449"/>
      <c r="EU142" s="449"/>
      <c r="EV142" s="449"/>
      <c r="EW142" s="449"/>
      <c r="EX142" s="449"/>
      <c r="EY142" s="449"/>
      <c r="EZ142" s="449"/>
      <c r="FA142" s="449"/>
      <c r="FB142" s="449"/>
      <c r="FC142" s="449"/>
      <c r="FD142" s="449"/>
      <c r="FE142" s="449"/>
      <c r="FF142" s="449"/>
      <c r="FG142" s="449"/>
      <c r="FH142" s="449"/>
      <c r="FI142" s="449"/>
      <c r="FJ142" s="449"/>
      <c r="FK142" s="449"/>
      <c r="FL142" s="449"/>
      <c r="FM142" s="449"/>
      <c r="FN142" s="449"/>
      <c r="FO142" s="449"/>
      <c r="FP142" s="449"/>
      <c r="FQ142" s="449"/>
      <c r="FR142" s="449"/>
      <c r="FS142" s="449"/>
      <c r="FT142" s="449"/>
      <c r="FU142" s="449"/>
      <c r="FV142" s="449"/>
      <c r="FW142" s="449"/>
      <c r="FX142" s="449"/>
      <c r="FY142" s="449"/>
      <c r="FZ142" s="449"/>
      <c r="GA142" s="449"/>
      <c r="GB142" s="449"/>
      <c r="GC142" s="449"/>
      <c r="GD142" s="449"/>
      <c r="GE142" s="449"/>
      <c r="GF142" s="449"/>
      <c r="GG142" s="449"/>
      <c r="GH142" s="449"/>
      <c r="GI142" s="449"/>
      <c r="GJ142" s="449"/>
      <c r="GK142" s="449"/>
      <c r="GL142" s="449"/>
      <c r="GM142" s="449"/>
      <c r="GN142" s="449"/>
      <c r="GO142" s="449"/>
      <c r="GP142" s="449"/>
      <c r="GQ142" s="449"/>
      <c r="GR142" s="449"/>
      <c r="GS142" s="449"/>
      <c r="GT142" s="449"/>
      <c r="GU142" s="449"/>
      <c r="GV142" s="449"/>
      <c r="GW142" s="449"/>
      <c r="GX142" s="449"/>
      <c r="GY142" s="449"/>
      <c r="GZ142" s="449"/>
      <c r="HA142" s="449"/>
      <c r="HB142" s="449"/>
      <c r="HC142" s="449"/>
      <c r="HD142" s="449"/>
      <c r="HE142" s="449"/>
      <c r="HF142" s="449"/>
      <c r="HG142" s="449"/>
      <c r="HH142" s="449"/>
      <c r="HI142" s="449"/>
      <c r="HJ142" s="449"/>
      <c r="HK142" s="449"/>
      <c r="HL142" s="449"/>
      <c r="HM142" s="449"/>
      <c r="HN142" s="449"/>
      <c r="HO142" s="449"/>
      <c r="HP142" s="449"/>
      <c r="HQ142" s="449"/>
      <c r="HR142" s="449"/>
      <c r="HS142" s="449"/>
      <c r="HT142" s="449"/>
      <c r="HU142" s="449"/>
      <c r="HV142" s="449"/>
      <c r="HW142" s="449"/>
      <c r="HX142" s="449"/>
      <c r="HY142" s="449"/>
      <c r="HZ142" s="449"/>
      <c r="IA142" s="449"/>
      <c r="IB142" s="449"/>
      <c r="IC142" s="449"/>
      <c r="ID142" s="449"/>
      <c r="IE142" s="449"/>
      <c r="IF142" s="449"/>
      <c r="IG142" s="449"/>
      <c r="IH142" s="449"/>
      <c r="II142" s="449"/>
      <c r="IJ142" s="449"/>
      <c r="IK142" s="449"/>
      <c r="IL142" s="449"/>
      <c r="IM142" s="449"/>
      <c r="IN142" s="449"/>
      <c r="IO142" s="449"/>
      <c r="IP142" s="449"/>
      <c r="IQ142" s="449"/>
      <c r="IR142" s="449"/>
      <c r="IS142" s="449"/>
      <c r="IT142" s="449"/>
      <c r="IU142" s="449"/>
      <c r="IV142" s="449"/>
      <c r="IW142" s="449"/>
      <c r="IX142" s="449"/>
      <c r="IY142" s="449"/>
    </row>
    <row r="143" spans="3:259" s="379" customFormat="1" ht="12.75" x14ac:dyDescent="0.2">
      <c r="C143" s="392" t="s">
        <v>1090</v>
      </c>
      <c r="D143" s="393" t="s">
        <v>880</v>
      </c>
      <c r="E143" s="410" t="s">
        <v>1091</v>
      </c>
      <c r="F143" s="410"/>
      <c r="G143" s="393">
        <v>1000</v>
      </c>
      <c r="H143" s="393">
        <v>210</v>
      </c>
      <c r="I143" s="393">
        <v>210</v>
      </c>
      <c r="J143" s="393">
        <v>36.58</v>
      </c>
      <c r="K143" s="397">
        <v>9647</v>
      </c>
      <c r="L143" s="397"/>
      <c r="M143" s="398">
        <f>K143*0.7</f>
        <v>6752.9</v>
      </c>
      <c r="N143" s="449"/>
      <c r="O143" s="449"/>
      <c r="P143" s="449"/>
      <c r="Q143" s="449"/>
      <c r="R143" s="449"/>
      <c r="S143" s="449"/>
      <c r="T143" s="449"/>
      <c r="U143" s="449"/>
      <c r="V143" s="449"/>
      <c r="W143" s="449"/>
      <c r="X143" s="449"/>
      <c r="Y143" s="449"/>
      <c r="Z143" s="449"/>
      <c r="AA143" s="449"/>
      <c r="AB143" s="449"/>
      <c r="AC143" s="449"/>
      <c r="AD143" s="449"/>
      <c r="AE143" s="449"/>
      <c r="AF143" s="449"/>
      <c r="AG143" s="449"/>
      <c r="AH143" s="449"/>
      <c r="AI143" s="449"/>
      <c r="AJ143" s="449"/>
      <c r="AK143" s="449"/>
      <c r="AL143" s="449"/>
      <c r="AM143" s="449"/>
      <c r="AN143" s="449"/>
      <c r="AO143" s="449"/>
      <c r="AP143" s="449"/>
      <c r="AQ143" s="449"/>
      <c r="AR143" s="449"/>
      <c r="AS143" s="449"/>
      <c r="AT143" s="449"/>
      <c r="AU143" s="449"/>
      <c r="AV143" s="449"/>
      <c r="AW143" s="449"/>
      <c r="AX143" s="449"/>
      <c r="AY143" s="449"/>
      <c r="AZ143" s="449"/>
      <c r="BA143" s="449"/>
      <c r="BB143" s="449"/>
      <c r="BC143" s="449"/>
      <c r="BD143" s="449"/>
      <c r="BE143" s="449"/>
      <c r="BF143" s="449"/>
      <c r="BG143" s="449"/>
      <c r="BH143" s="449"/>
      <c r="BI143" s="449"/>
      <c r="BJ143" s="449"/>
      <c r="BK143" s="449"/>
      <c r="BL143" s="449"/>
      <c r="BM143" s="449"/>
      <c r="BN143" s="449"/>
      <c r="BO143" s="449"/>
      <c r="BP143" s="449"/>
      <c r="BQ143" s="449"/>
      <c r="BR143" s="449"/>
      <c r="BS143" s="449"/>
      <c r="BT143" s="449"/>
      <c r="BU143" s="449"/>
      <c r="BV143" s="449"/>
      <c r="BW143" s="449"/>
      <c r="BX143" s="449"/>
      <c r="BY143" s="449"/>
      <c r="BZ143" s="449"/>
      <c r="CA143" s="449"/>
      <c r="CB143" s="449"/>
      <c r="CC143" s="449"/>
      <c r="CD143" s="449"/>
      <c r="CE143" s="449"/>
      <c r="CF143" s="449"/>
      <c r="CG143" s="449"/>
      <c r="CH143" s="449"/>
      <c r="CI143" s="449"/>
      <c r="CJ143" s="449"/>
      <c r="CK143" s="449"/>
      <c r="CL143" s="449"/>
      <c r="CM143" s="449"/>
      <c r="CN143" s="449"/>
      <c r="CO143" s="449"/>
      <c r="CP143" s="449"/>
      <c r="CQ143" s="449"/>
      <c r="CR143" s="449"/>
      <c r="CS143" s="449"/>
      <c r="CT143" s="449"/>
      <c r="CU143" s="449"/>
      <c r="CV143" s="449"/>
      <c r="CW143" s="449"/>
      <c r="CX143" s="449"/>
      <c r="CY143" s="449"/>
      <c r="CZ143" s="449"/>
      <c r="DA143" s="449"/>
      <c r="DB143" s="449"/>
      <c r="DC143" s="449"/>
      <c r="DD143" s="449"/>
      <c r="DE143" s="449"/>
      <c r="DF143" s="449"/>
      <c r="DG143" s="449"/>
      <c r="DH143" s="449"/>
      <c r="DI143" s="449"/>
      <c r="DJ143" s="449"/>
      <c r="DK143" s="449"/>
      <c r="DL143" s="449"/>
      <c r="DM143" s="449"/>
      <c r="DN143" s="449"/>
      <c r="DO143" s="449"/>
      <c r="DP143" s="449"/>
      <c r="DQ143" s="449"/>
      <c r="DR143" s="449"/>
      <c r="DS143" s="449"/>
      <c r="DT143" s="449"/>
      <c r="DU143" s="449"/>
      <c r="DV143" s="449"/>
      <c r="DW143" s="449"/>
      <c r="DX143" s="449"/>
      <c r="DY143" s="449"/>
      <c r="DZ143" s="449"/>
      <c r="EA143" s="449"/>
      <c r="EB143" s="449"/>
      <c r="EC143" s="449"/>
      <c r="ED143" s="449"/>
      <c r="EE143" s="449"/>
      <c r="EF143" s="449"/>
      <c r="EG143" s="449"/>
      <c r="EH143" s="449"/>
      <c r="EI143" s="449"/>
      <c r="EJ143" s="449"/>
      <c r="EK143" s="449"/>
      <c r="EL143" s="449"/>
      <c r="EM143" s="449"/>
      <c r="EN143" s="449"/>
      <c r="EO143" s="449"/>
      <c r="EP143" s="449"/>
      <c r="EQ143" s="449"/>
      <c r="ER143" s="449"/>
      <c r="ES143" s="449"/>
      <c r="ET143" s="449"/>
      <c r="EU143" s="449"/>
      <c r="EV143" s="449"/>
      <c r="EW143" s="449"/>
      <c r="EX143" s="449"/>
      <c r="EY143" s="449"/>
      <c r="EZ143" s="449"/>
      <c r="FA143" s="449"/>
      <c r="FB143" s="449"/>
      <c r="FC143" s="449"/>
      <c r="FD143" s="449"/>
      <c r="FE143" s="449"/>
      <c r="FF143" s="449"/>
      <c r="FG143" s="449"/>
      <c r="FH143" s="449"/>
      <c r="FI143" s="449"/>
      <c r="FJ143" s="449"/>
      <c r="FK143" s="449"/>
      <c r="FL143" s="449"/>
      <c r="FM143" s="449"/>
      <c r="FN143" s="449"/>
      <c r="FO143" s="449"/>
      <c r="FP143" s="449"/>
      <c r="FQ143" s="449"/>
      <c r="FR143" s="449"/>
      <c r="FS143" s="449"/>
      <c r="FT143" s="449"/>
      <c r="FU143" s="449"/>
      <c r="FV143" s="449"/>
      <c r="FW143" s="449"/>
      <c r="FX143" s="449"/>
      <c r="FY143" s="449"/>
      <c r="FZ143" s="449"/>
      <c r="GA143" s="449"/>
      <c r="GB143" s="449"/>
      <c r="GC143" s="449"/>
      <c r="GD143" s="449"/>
      <c r="GE143" s="449"/>
      <c r="GF143" s="449"/>
      <c r="GG143" s="449"/>
      <c r="GH143" s="449"/>
      <c r="GI143" s="449"/>
      <c r="GJ143" s="449"/>
      <c r="GK143" s="449"/>
      <c r="GL143" s="449"/>
      <c r="GM143" s="449"/>
      <c r="GN143" s="449"/>
      <c r="GO143" s="449"/>
      <c r="GP143" s="449"/>
      <c r="GQ143" s="449"/>
      <c r="GR143" s="449"/>
      <c r="GS143" s="449"/>
      <c r="GT143" s="449"/>
      <c r="GU143" s="449"/>
      <c r="GV143" s="449"/>
      <c r="GW143" s="449"/>
      <c r="GX143" s="449"/>
      <c r="GY143" s="449"/>
      <c r="GZ143" s="449"/>
      <c r="HA143" s="449"/>
      <c r="HB143" s="449"/>
      <c r="HC143" s="449"/>
      <c r="HD143" s="449"/>
      <c r="HE143" s="449"/>
      <c r="HF143" s="449"/>
      <c r="HG143" s="449"/>
      <c r="HH143" s="449"/>
      <c r="HI143" s="449"/>
      <c r="HJ143" s="449"/>
      <c r="HK143" s="449"/>
      <c r="HL143" s="449"/>
      <c r="HM143" s="449"/>
      <c r="HN143" s="449"/>
      <c r="HO143" s="449"/>
      <c r="HP143" s="449"/>
      <c r="HQ143" s="449"/>
      <c r="HR143" s="449"/>
      <c r="HS143" s="449"/>
      <c r="HT143" s="449"/>
      <c r="HU143" s="449"/>
      <c r="HV143" s="449"/>
      <c r="HW143" s="449"/>
      <c r="HX143" s="449"/>
      <c r="HY143" s="449"/>
      <c r="HZ143" s="449"/>
      <c r="IA143" s="449"/>
      <c r="IB143" s="449"/>
      <c r="IC143" s="449"/>
      <c r="ID143" s="449"/>
      <c r="IE143" s="449"/>
      <c r="IF143" s="449"/>
      <c r="IG143" s="449"/>
      <c r="IH143" s="449"/>
      <c r="II143" s="449"/>
      <c r="IJ143" s="449"/>
      <c r="IK143" s="449"/>
      <c r="IL143" s="449"/>
      <c r="IM143" s="449"/>
      <c r="IN143" s="449"/>
      <c r="IO143" s="449"/>
      <c r="IP143" s="449"/>
      <c r="IQ143" s="449"/>
      <c r="IR143" s="449"/>
      <c r="IS143" s="449"/>
      <c r="IT143" s="449"/>
      <c r="IU143" s="449"/>
      <c r="IV143" s="449"/>
      <c r="IW143" s="449"/>
      <c r="IX143" s="449"/>
      <c r="IY143" s="449"/>
    </row>
    <row r="144" spans="3:259" s="379" customFormat="1" ht="12.75" x14ac:dyDescent="0.2">
      <c r="C144" s="392" t="s">
        <v>1092</v>
      </c>
      <c r="D144" s="393" t="s">
        <v>880</v>
      </c>
      <c r="E144" s="410" t="s">
        <v>1093</v>
      </c>
      <c r="F144" s="410"/>
      <c r="G144" s="393">
        <v>1000</v>
      </c>
      <c r="H144" s="393">
        <v>210</v>
      </c>
      <c r="I144" s="393">
        <v>260</v>
      </c>
      <c r="J144" s="393">
        <v>40.58</v>
      </c>
      <c r="K144" s="397">
        <v>10446</v>
      </c>
      <c r="L144" s="397"/>
      <c r="M144" s="398">
        <f>K144*0.7</f>
        <v>7312.2</v>
      </c>
      <c r="N144" s="449"/>
      <c r="O144" s="449"/>
      <c r="P144" s="449"/>
      <c r="Q144" s="449"/>
      <c r="R144" s="449"/>
      <c r="S144" s="449"/>
      <c r="T144" s="449"/>
      <c r="U144" s="449"/>
      <c r="V144" s="449"/>
      <c r="W144" s="449"/>
      <c r="X144" s="449"/>
      <c r="Y144" s="449"/>
      <c r="Z144" s="449"/>
      <c r="AA144" s="449"/>
      <c r="AB144" s="449"/>
      <c r="AC144" s="449"/>
      <c r="AD144" s="449"/>
      <c r="AE144" s="449"/>
      <c r="AF144" s="449"/>
      <c r="AG144" s="449"/>
      <c r="AH144" s="449"/>
      <c r="AI144" s="449"/>
      <c r="AJ144" s="449"/>
      <c r="AK144" s="449"/>
      <c r="AL144" s="449"/>
      <c r="AM144" s="449"/>
      <c r="AN144" s="449"/>
      <c r="AO144" s="449"/>
      <c r="AP144" s="449"/>
      <c r="AQ144" s="449"/>
      <c r="AR144" s="449"/>
      <c r="AS144" s="449"/>
      <c r="AT144" s="449"/>
      <c r="AU144" s="449"/>
      <c r="AV144" s="449"/>
      <c r="AW144" s="449"/>
      <c r="AX144" s="449"/>
      <c r="AY144" s="449"/>
      <c r="AZ144" s="449"/>
      <c r="BA144" s="449"/>
      <c r="BB144" s="449"/>
      <c r="BC144" s="449"/>
      <c r="BD144" s="449"/>
      <c r="BE144" s="449"/>
      <c r="BF144" s="449"/>
      <c r="BG144" s="449"/>
      <c r="BH144" s="449"/>
      <c r="BI144" s="449"/>
      <c r="BJ144" s="449"/>
      <c r="BK144" s="449"/>
      <c r="BL144" s="449"/>
      <c r="BM144" s="449"/>
      <c r="BN144" s="449"/>
      <c r="BO144" s="449"/>
      <c r="BP144" s="449"/>
      <c r="BQ144" s="449"/>
      <c r="BR144" s="449"/>
      <c r="BS144" s="449"/>
      <c r="BT144" s="449"/>
      <c r="BU144" s="449"/>
      <c r="BV144" s="449"/>
      <c r="BW144" s="449"/>
      <c r="BX144" s="449"/>
      <c r="BY144" s="449"/>
      <c r="BZ144" s="449"/>
      <c r="CA144" s="449"/>
      <c r="CB144" s="449"/>
      <c r="CC144" s="449"/>
      <c r="CD144" s="449"/>
      <c r="CE144" s="449"/>
      <c r="CF144" s="449"/>
      <c r="CG144" s="449"/>
      <c r="CH144" s="449"/>
      <c r="CI144" s="449"/>
      <c r="CJ144" s="449"/>
      <c r="CK144" s="449"/>
      <c r="CL144" s="449"/>
      <c r="CM144" s="449"/>
      <c r="CN144" s="449"/>
      <c r="CO144" s="449"/>
      <c r="CP144" s="449"/>
      <c r="CQ144" s="449"/>
      <c r="CR144" s="449"/>
      <c r="CS144" s="449"/>
      <c r="CT144" s="449"/>
      <c r="CU144" s="449"/>
      <c r="CV144" s="449"/>
      <c r="CW144" s="449"/>
      <c r="CX144" s="449"/>
      <c r="CY144" s="449"/>
      <c r="CZ144" s="449"/>
      <c r="DA144" s="449"/>
      <c r="DB144" s="449"/>
      <c r="DC144" s="449"/>
      <c r="DD144" s="449"/>
      <c r="DE144" s="449"/>
      <c r="DF144" s="449"/>
      <c r="DG144" s="449"/>
      <c r="DH144" s="449"/>
      <c r="DI144" s="449"/>
      <c r="DJ144" s="449"/>
      <c r="DK144" s="449"/>
      <c r="DL144" s="449"/>
      <c r="DM144" s="449"/>
      <c r="DN144" s="449"/>
      <c r="DO144" s="449"/>
      <c r="DP144" s="449"/>
      <c r="DQ144" s="449"/>
      <c r="DR144" s="449"/>
      <c r="DS144" s="449"/>
      <c r="DT144" s="449"/>
      <c r="DU144" s="449"/>
      <c r="DV144" s="449"/>
      <c r="DW144" s="449"/>
      <c r="DX144" s="449"/>
      <c r="DY144" s="449"/>
      <c r="DZ144" s="449"/>
      <c r="EA144" s="449"/>
      <c r="EB144" s="449"/>
      <c r="EC144" s="449"/>
      <c r="ED144" s="449"/>
      <c r="EE144" s="449"/>
      <c r="EF144" s="449"/>
      <c r="EG144" s="449"/>
      <c r="EH144" s="449"/>
      <c r="EI144" s="449"/>
      <c r="EJ144" s="449"/>
      <c r="EK144" s="449"/>
      <c r="EL144" s="449"/>
      <c r="EM144" s="449"/>
      <c r="EN144" s="449"/>
      <c r="EO144" s="449"/>
      <c r="EP144" s="449"/>
      <c r="EQ144" s="449"/>
      <c r="ER144" s="449"/>
      <c r="ES144" s="449"/>
      <c r="ET144" s="449"/>
      <c r="EU144" s="449"/>
      <c r="EV144" s="449"/>
      <c r="EW144" s="449"/>
      <c r="EX144" s="449"/>
      <c r="EY144" s="449"/>
      <c r="EZ144" s="449"/>
      <c r="FA144" s="449"/>
      <c r="FB144" s="449"/>
      <c r="FC144" s="449"/>
      <c r="FD144" s="449"/>
      <c r="FE144" s="449"/>
      <c r="FF144" s="449"/>
      <c r="FG144" s="449"/>
      <c r="FH144" s="449"/>
      <c r="FI144" s="449"/>
      <c r="FJ144" s="449"/>
      <c r="FK144" s="449"/>
      <c r="FL144" s="449"/>
      <c r="FM144" s="449"/>
      <c r="FN144" s="449"/>
      <c r="FO144" s="449"/>
      <c r="FP144" s="449"/>
      <c r="FQ144" s="449"/>
      <c r="FR144" s="449"/>
      <c r="FS144" s="449"/>
      <c r="FT144" s="449"/>
      <c r="FU144" s="449"/>
      <c r="FV144" s="449"/>
      <c r="FW144" s="449"/>
      <c r="FX144" s="449"/>
      <c r="FY144" s="449"/>
      <c r="FZ144" s="449"/>
      <c r="GA144" s="449"/>
      <c r="GB144" s="449"/>
      <c r="GC144" s="449"/>
      <c r="GD144" s="449"/>
      <c r="GE144" s="449"/>
      <c r="GF144" s="449"/>
      <c r="GG144" s="449"/>
      <c r="GH144" s="449"/>
      <c r="GI144" s="449"/>
      <c r="GJ144" s="449"/>
      <c r="GK144" s="449"/>
      <c r="GL144" s="449"/>
      <c r="GM144" s="449"/>
      <c r="GN144" s="449"/>
      <c r="GO144" s="449"/>
      <c r="GP144" s="449"/>
      <c r="GQ144" s="449"/>
      <c r="GR144" s="449"/>
      <c r="GS144" s="449"/>
      <c r="GT144" s="449"/>
      <c r="GU144" s="449"/>
      <c r="GV144" s="449"/>
      <c r="GW144" s="449"/>
      <c r="GX144" s="449"/>
      <c r="GY144" s="449"/>
      <c r="GZ144" s="449"/>
      <c r="HA144" s="449"/>
      <c r="HB144" s="449"/>
      <c r="HC144" s="449"/>
      <c r="HD144" s="449"/>
      <c r="HE144" s="449"/>
      <c r="HF144" s="449"/>
      <c r="HG144" s="449"/>
      <c r="HH144" s="449"/>
      <c r="HI144" s="449"/>
      <c r="HJ144" s="449"/>
      <c r="HK144" s="449"/>
      <c r="HL144" s="449"/>
      <c r="HM144" s="449"/>
      <c r="HN144" s="449"/>
      <c r="HO144" s="449"/>
      <c r="HP144" s="449"/>
      <c r="HQ144" s="449"/>
      <c r="HR144" s="449"/>
      <c r="HS144" s="449"/>
      <c r="HT144" s="449"/>
      <c r="HU144" s="449"/>
      <c r="HV144" s="449"/>
      <c r="HW144" s="449"/>
      <c r="HX144" s="449"/>
      <c r="HY144" s="449"/>
      <c r="HZ144" s="449"/>
      <c r="IA144" s="449"/>
      <c r="IB144" s="449"/>
      <c r="IC144" s="449"/>
      <c r="ID144" s="449"/>
      <c r="IE144" s="449"/>
      <c r="IF144" s="449"/>
      <c r="IG144" s="449"/>
      <c r="IH144" s="449"/>
      <c r="II144" s="449"/>
      <c r="IJ144" s="449"/>
      <c r="IK144" s="449"/>
      <c r="IL144" s="449"/>
      <c r="IM144" s="449"/>
      <c r="IN144" s="449"/>
      <c r="IO144" s="449"/>
      <c r="IP144" s="449"/>
      <c r="IQ144" s="449"/>
      <c r="IR144" s="449"/>
      <c r="IS144" s="449"/>
      <c r="IT144" s="449"/>
      <c r="IU144" s="449"/>
      <c r="IV144" s="449"/>
      <c r="IW144" s="449"/>
      <c r="IX144" s="449"/>
      <c r="IY144" s="449"/>
    </row>
    <row r="145" spans="3:259" s="379" customFormat="1" ht="12.75" x14ac:dyDescent="0.2">
      <c r="C145" s="392" t="s">
        <v>1094</v>
      </c>
      <c r="D145" s="393" t="s">
        <v>880</v>
      </c>
      <c r="E145" s="410" t="s">
        <v>1095</v>
      </c>
      <c r="F145" s="410"/>
      <c r="G145" s="393">
        <v>1000</v>
      </c>
      <c r="H145" s="393">
        <v>210</v>
      </c>
      <c r="I145" s="393">
        <v>310</v>
      </c>
      <c r="J145" s="393">
        <v>44.91</v>
      </c>
      <c r="K145" s="397">
        <v>11221</v>
      </c>
      <c r="L145" s="397"/>
      <c r="M145" s="398">
        <f>K145*0.7</f>
        <v>7854.7</v>
      </c>
      <c r="N145" s="449"/>
      <c r="O145" s="449"/>
      <c r="P145" s="449"/>
      <c r="Q145" s="449"/>
      <c r="R145" s="449"/>
      <c r="S145" s="449"/>
      <c r="T145" s="449"/>
      <c r="U145" s="449"/>
      <c r="V145" s="449"/>
      <c r="W145" s="449"/>
      <c r="X145" s="449"/>
      <c r="Y145" s="449"/>
      <c r="Z145" s="449"/>
      <c r="AA145" s="449"/>
      <c r="AB145" s="449"/>
      <c r="AC145" s="449"/>
      <c r="AD145" s="449"/>
      <c r="AE145" s="449"/>
      <c r="AF145" s="449"/>
      <c r="AG145" s="449"/>
      <c r="AH145" s="449"/>
      <c r="AI145" s="449"/>
      <c r="AJ145" s="449"/>
      <c r="AK145" s="449"/>
      <c r="AL145" s="449"/>
      <c r="AM145" s="449"/>
      <c r="AN145" s="449"/>
      <c r="AO145" s="449"/>
      <c r="AP145" s="449"/>
      <c r="AQ145" s="449"/>
      <c r="AR145" s="449"/>
      <c r="AS145" s="449"/>
      <c r="AT145" s="449"/>
      <c r="AU145" s="449"/>
      <c r="AV145" s="449"/>
      <c r="AW145" s="449"/>
      <c r="AX145" s="449"/>
      <c r="AY145" s="449"/>
      <c r="AZ145" s="449"/>
      <c r="BA145" s="449"/>
      <c r="BB145" s="449"/>
      <c r="BC145" s="449"/>
      <c r="BD145" s="449"/>
      <c r="BE145" s="449"/>
      <c r="BF145" s="449"/>
      <c r="BG145" s="449"/>
      <c r="BH145" s="449"/>
      <c r="BI145" s="449"/>
      <c r="BJ145" s="449"/>
      <c r="BK145" s="449"/>
      <c r="BL145" s="449"/>
      <c r="BM145" s="449"/>
      <c r="BN145" s="449"/>
      <c r="BO145" s="449"/>
      <c r="BP145" s="449"/>
      <c r="BQ145" s="449"/>
      <c r="BR145" s="449"/>
      <c r="BS145" s="449"/>
      <c r="BT145" s="449"/>
      <c r="BU145" s="449"/>
      <c r="BV145" s="449"/>
      <c r="BW145" s="449"/>
      <c r="BX145" s="449"/>
      <c r="BY145" s="449"/>
      <c r="BZ145" s="449"/>
      <c r="CA145" s="449"/>
      <c r="CB145" s="449"/>
      <c r="CC145" s="449"/>
      <c r="CD145" s="449"/>
      <c r="CE145" s="449"/>
      <c r="CF145" s="449"/>
      <c r="CG145" s="449"/>
      <c r="CH145" s="449"/>
      <c r="CI145" s="449"/>
      <c r="CJ145" s="449"/>
      <c r="CK145" s="449"/>
      <c r="CL145" s="449"/>
      <c r="CM145" s="449"/>
      <c r="CN145" s="449"/>
      <c r="CO145" s="449"/>
      <c r="CP145" s="449"/>
      <c r="CQ145" s="449"/>
      <c r="CR145" s="449"/>
      <c r="CS145" s="449"/>
      <c r="CT145" s="449"/>
      <c r="CU145" s="449"/>
      <c r="CV145" s="449"/>
      <c r="CW145" s="449"/>
      <c r="CX145" s="449"/>
      <c r="CY145" s="449"/>
      <c r="CZ145" s="449"/>
      <c r="DA145" s="449"/>
      <c r="DB145" s="449"/>
      <c r="DC145" s="449"/>
      <c r="DD145" s="449"/>
      <c r="DE145" s="449"/>
      <c r="DF145" s="449"/>
      <c r="DG145" s="449"/>
      <c r="DH145" s="449"/>
      <c r="DI145" s="449"/>
      <c r="DJ145" s="449"/>
      <c r="DK145" s="449"/>
      <c r="DL145" s="449"/>
      <c r="DM145" s="449"/>
      <c r="DN145" s="449"/>
      <c r="DO145" s="449"/>
      <c r="DP145" s="449"/>
      <c r="DQ145" s="449"/>
      <c r="DR145" s="449"/>
      <c r="DS145" s="449"/>
      <c r="DT145" s="449"/>
      <c r="DU145" s="449"/>
      <c r="DV145" s="449"/>
      <c r="DW145" s="449"/>
      <c r="DX145" s="449"/>
      <c r="DY145" s="449"/>
      <c r="DZ145" s="449"/>
      <c r="EA145" s="449"/>
      <c r="EB145" s="449"/>
      <c r="EC145" s="449"/>
      <c r="ED145" s="449"/>
      <c r="EE145" s="449"/>
      <c r="EF145" s="449"/>
      <c r="EG145" s="449"/>
      <c r="EH145" s="449"/>
      <c r="EI145" s="449"/>
      <c r="EJ145" s="449"/>
      <c r="EK145" s="449"/>
      <c r="EL145" s="449"/>
      <c r="EM145" s="449"/>
      <c r="EN145" s="449"/>
      <c r="EO145" s="449"/>
      <c r="EP145" s="449"/>
      <c r="EQ145" s="449"/>
      <c r="ER145" s="449"/>
      <c r="ES145" s="449"/>
      <c r="ET145" s="449"/>
      <c r="EU145" s="449"/>
      <c r="EV145" s="449"/>
      <c r="EW145" s="449"/>
      <c r="EX145" s="449"/>
      <c r="EY145" s="449"/>
      <c r="EZ145" s="449"/>
      <c r="FA145" s="449"/>
      <c r="FB145" s="449"/>
      <c r="FC145" s="449"/>
      <c r="FD145" s="449"/>
      <c r="FE145" s="449"/>
      <c r="FF145" s="449"/>
      <c r="FG145" s="449"/>
      <c r="FH145" s="449"/>
      <c r="FI145" s="449"/>
      <c r="FJ145" s="449"/>
      <c r="FK145" s="449"/>
      <c r="FL145" s="449"/>
      <c r="FM145" s="449"/>
      <c r="FN145" s="449"/>
      <c r="FO145" s="449"/>
      <c r="FP145" s="449"/>
      <c r="FQ145" s="449"/>
      <c r="FR145" s="449"/>
      <c r="FS145" s="449"/>
      <c r="FT145" s="449"/>
      <c r="FU145" s="449"/>
      <c r="FV145" s="449"/>
      <c r="FW145" s="449"/>
      <c r="FX145" s="449"/>
      <c r="FY145" s="449"/>
      <c r="FZ145" s="449"/>
      <c r="GA145" s="449"/>
      <c r="GB145" s="449"/>
      <c r="GC145" s="449"/>
      <c r="GD145" s="449"/>
      <c r="GE145" s="449"/>
      <c r="GF145" s="449"/>
      <c r="GG145" s="449"/>
      <c r="GH145" s="449"/>
      <c r="GI145" s="449"/>
      <c r="GJ145" s="449"/>
      <c r="GK145" s="449"/>
      <c r="GL145" s="449"/>
      <c r="GM145" s="449"/>
      <c r="GN145" s="449"/>
      <c r="GO145" s="449"/>
      <c r="GP145" s="449"/>
      <c r="GQ145" s="449"/>
      <c r="GR145" s="449"/>
      <c r="GS145" s="449"/>
      <c r="GT145" s="449"/>
      <c r="GU145" s="449"/>
      <c r="GV145" s="449"/>
      <c r="GW145" s="449"/>
      <c r="GX145" s="449"/>
      <c r="GY145" s="449"/>
      <c r="GZ145" s="449"/>
      <c r="HA145" s="449"/>
      <c r="HB145" s="449"/>
      <c r="HC145" s="449"/>
      <c r="HD145" s="449"/>
      <c r="HE145" s="449"/>
      <c r="HF145" s="449"/>
      <c r="HG145" s="449"/>
      <c r="HH145" s="449"/>
      <c r="HI145" s="449"/>
      <c r="HJ145" s="449"/>
      <c r="HK145" s="449"/>
      <c r="HL145" s="449"/>
      <c r="HM145" s="449"/>
      <c r="HN145" s="449"/>
      <c r="HO145" s="449"/>
      <c r="HP145" s="449"/>
      <c r="HQ145" s="449"/>
      <c r="HR145" s="449"/>
      <c r="HS145" s="449"/>
      <c r="HT145" s="449"/>
      <c r="HU145" s="449"/>
      <c r="HV145" s="449"/>
      <c r="HW145" s="449"/>
      <c r="HX145" s="449"/>
      <c r="HY145" s="449"/>
      <c r="HZ145" s="449"/>
      <c r="IA145" s="449"/>
      <c r="IB145" s="449"/>
      <c r="IC145" s="449"/>
      <c r="ID145" s="449"/>
      <c r="IE145" s="449"/>
      <c r="IF145" s="449"/>
      <c r="IG145" s="449"/>
      <c r="IH145" s="449"/>
      <c r="II145" s="449"/>
      <c r="IJ145" s="449"/>
      <c r="IK145" s="449"/>
      <c r="IL145" s="449"/>
      <c r="IM145" s="449"/>
      <c r="IN145" s="449"/>
      <c r="IO145" s="449"/>
      <c r="IP145" s="449"/>
      <c r="IQ145" s="449"/>
      <c r="IR145" s="449"/>
      <c r="IS145" s="449"/>
      <c r="IT145" s="449"/>
      <c r="IU145" s="449"/>
      <c r="IV145" s="449"/>
      <c r="IW145" s="449"/>
      <c r="IX145" s="449"/>
      <c r="IY145" s="449"/>
    </row>
    <row r="146" spans="3:259" s="379" customFormat="1" ht="12.75" x14ac:dyDescent="0.2">
      <c r="C146" s="392" t="s">
        <v>1096</v>
      </c>
      <c r="D146" s="393" t="s">
        <v>867</v>
      </c>
      <c r="E146" s="410" t="s">
        <v>1097</v>
      </c>
      <c r="F146" s="410"/>
      <c r="G146" s="393">
        <v>1000</v>
      </c>
      <c r="H146" s="393">
        <v>210</v>
      </c>
      <c r="I146" s="393">
        <v>500</v>
      </c>
      <c r="J146" s="393">
        <v>40.799999999999997</v>
      </c>
      <c r="K146" s="397">
        <v>6549</v>
      </c>
      <c r="L146" s="397"/>
      <c r="M146" s="398">
        <f>K146*0.7</f>
        <v>4584.2999999999993</v>
      </c>
      <c r="N146" s="449"/>
      <c r="O146" s="449"/>
      <c r="P146" s="449"/>
      <c r="Q146" s="449"/>
      <c r="R146" s="449"/>
      <c r="S146" s="449"/>
      <c r="T146" s="449"/>
      <c r="U146" s="449"/>
      <c r="V146" s="449"/>
      <c r="W146" s="449"/>
      <c r="X146" s="449"/>
      <c r="Y146" s="449"/>
      <c r="Z146" s="449"/>
      <c r="AA146" s="449"/>
      <c r="AB146" s="449"/>
      <c r="AC146" s="449"/>
      <c r="AD146" s="449"/>
      <c r="AE146" s="449"/>
      <c r="AF146" s="449"/>
      <c r="AG146" s="449"/>
      <c r="AH146" s="449"/>
      <c r="AI146" s="449"/>
      <c r="AJ146" s="449"/>
      <c r="AK146" s="449"/>
      <c r="AL146" s="449"/>
      <c r="AM146" s="449"/>
      <c r="AN146" s="449"/>
      <c r="AO146" s="449"/>
      <c r="AP146" s="449"/>
      <c r="AQ146" s="449"/>
      <c r="AR146" s="449"/>
      <c r="AS146" s="449"/>
      <c r="AT146" s="449"/>
      <c r="AU146" s="449"/>
      <c r="AV146" s="449"/>
      <c r="AW146" s="449"/>
      <c r="AX146" s="449"/>
      <c r="AY146" s="449"/>
      <c r="AZ146" s="449"/>
      <c r="BA146" s="449"/>
      <c r="BB146" s="449"/>
      <c r="BC146" s="449"/>
      <c r="BD146" s="449"/>
      <c r="BE146" s="449"/>
      <c r="BF146" s="449"/>
      <c r="BG146" s="449"/>
      <c r="BH146" s="449"/>
      <c r="BI146" s="449"/>
      <c r="BJ146" s="449"/>
      <c r="BK146" s="449"/>
      <c r="BL146" s="449"/>
      <c r="BM146" s="449"/>
      <c r="BN146" s="449"/>
      <c r="BO146" s="449"/>
      <c r="BP146" s="449"/>
      <c r="BQ146" s="449"/>
      <c r="BR146" s="449"/>
      <c r="BS146" s="449"/>
      <c r="BT146" s="449"/>
      <c r="BU146" s="449"/>
      <c r="BV146" s="449"/>
      <c r="BW146" s="449"/>
      <c r="BX146" s="449"/>
      <c r="BY146" s="449"/>
      <c r="BZ146" s="449"/>
      <c r="CA146" s="449"/>
      <c r="CB146" s="449"/>
      <c r="CC146" s="449"/>
      <c r="CD146" s="449"/>
      <c r="CE146" s="449"/>
      <c r="CF146" s="449"/>
      <c r="CG146" s="449"/>
      <c r="CH146" s="449"/>
      <c r="CI146" s="449"/>
      <c r="CJ146" s="449"/>
      <c r="CK146" s="449"/>
      <c r="CL146" s="449"/>
      <c r="CM146" s="449"/>
      <c r="CN146" s="449"/>
      <c r="CO146" s="449"/>
      <c r="CP146" s="449"/>
      <c r="CQ146" s="449"/>
      <c r="CR146" s="449"/>
      <c r="CS146" s="449"/>
      <c r="CT146" s="449"/>
      <c r="CU146" s="449"/>
      <c r="CV146" s="449"/>
      <c r="CW146" s="449"/>
      <c r="CX146" s="449"/>
      <c r="CY146" s="449"/>
      <c r="CZ146" s="449"/>
      <c r="DA146" s="449"/>
      <c r="DB146" s="449"/>
      <c r="DC146" s="449"/>
      <c r="DD146" s="449"/>
      <c r="DE146" s="449"/>
      <c r="DF146" s="449"/>
      <c r="DG146" s="449"/>
      <c r="DH146" s="449"/>
      <c r="DI146" s="449"/>
      <c r="DJ146" s="449"/>
      <c r="DK146" s="449"/>
      <c r="DL146" s="449"/>
      <c r="DM146" s="449"/>
      <c r="DN146" s="449"/>
      <c r="DO146" s="449"/>
      <c r="DP146" s="449"/>
      <c r="DQ146" s="449"/>
      <c r="DR146" s="449"/>
      <c r="DS146" s="449"/>
      <c r="DT146" s="449"/>
      <c r="DU146" s="449"/>
      <c r="DV146" s="449"/>
      <c r="DW146" s="449"/>
      <c r="DX146" s="449"/>
      <c r="DY146" s="449"/>
      <c r="DZ146" s="449"/>
      <c r="EA146" s="449"/>
      <c r="EB146" s="449"/>
      <c r="EC146" s="449"/>
      <c r="ED146" s="449"/>
      <c r="EE146" s="449"/>
      <c r="EF146" s="449"/>
      <c r="EG146" s="449"/>
      <c r="EH146" s="449"/>
      <c r="EI146" s="449"/>
      <c r="EJ146" s="449"/>
      <c r="EK146" s="449"/>
      <c r="EL146" s="449"/>
      <c r="EM146" s="449"/>
      <c r="EN146" s="449"/>
      <c r="EO146" s="449"/>
      <c r="EP146" s="449"/>
      <c r="EQ146" s="449"/>
      <c r="ER146" s="449"/>
      <c r="ES146" s="449"/>
      <c r="ET146" s="449"/>
      <c r="EU146" s="449"/>
      <c r="EV146" s="449"/>
      <c r="EW146" s="449"/>
      <c r="EX146" s="449"/>
      <c r="EY146" s="449"/>
      <c r="EZ146" s="449"/>
      <c r="FA146" s="449"/>
      <c r="FB146" s="449"/>
      <c r="FC146" s="449"/>
      <c r="FD146" s="449"/>
      <c r="FE146" s="449"/>
      <c r="FF146" s="449"/>
      <c r="FG146" s="449"/>
      <c r="FH146" s="449"/>
      <c r="FI146" s="449"/>
      <c r="FJ146" s="449"/>
      <c r="FK146" s="449"/>
      <c r="FL146" s="449"/>
      <c r="FM146" s="449"/>
      <c r="FN146" s="449"/>
      <c r="FO146" s="449"/>
      <c r="FP146" s="449"/>
      <c r="FQ146" s="449"/>
      <c r="FR146" s="449"/>
      <c r="FS146" s="449"/>
      <c r="FT146" s="449"/>
      <c r="FU146" s="449"/>
      <c r="FV146" s="449"/>
      <c r="FW146" s="449"/>
      <c r="FX146" s="449"/>
      <c r="FY146" s="449"/>
      <c r="FZ146" s="449"/>
      <c r="GA146" s="449"/>
      <c r="GB146" s="449"/>
      <c r="GC146" s="449"/>
      <c r="GD146" s="449"/>
      <c r="GE146" s="449"/>
      <c r="GF146" s="449"/>
      <c r="GG146" s="449"/>
      <c r="GH146" s="449"/>
      <c r="GI146" s="449"/>
      <c r="GJ146" s="449"/>
      <c r="GK146" s="449"/>
      <c r="GL146" s="449"/>
      <c r="GM146" s="449"/>
      <c r="GN146" s="449"/>
      <c r="GO146" s="449"/>
      <c r="GP146" s="449"/>
      <c r="GQ146" s="449"/>
      <c r="GR146" s="449"/>
      <c r="GS146" s="449"/>
      <c r="GT146" s="449"/>
      <c r="GU146" s="449"/>
      <c r="GV146" s="449"/>
      <c r="GW146" s="449"/>
      <c r="GX146" s="449"/>
      <c r="GY146" s="449"/>
      <c r="GZ146" s="449"/>
      <c r="HA146" s="449"/>
      <c r="HB146" s="449"/>
      <c r="HC146" s="449"/>
      <c r="HD146" s="449"/>
      <c r="HE146" s="449"/>
      <c r="HF146" s="449"/>
      <c r="HG146" s="449"/>
      <c r="HH146" s="449"/>
      <c r="HI146" s="449"/>
      <c r="HJ146" s="449"/>
      <c r="HK146" s="449"/>
      <c r="HL146" s="449"/>
      <c r="HM146" s="449"/>
      <c r="HN146" s="449"/>
      <c r="HO146" s="449"/>
      <c r="HP146" s="449"/>
      <c r="HQ146" s="449"/>
      <c r="HR146" s="449"/>
      <c r="HS146" s="449"/>
      <c r="HT146" s="449"/>
      <c r="HU146" s="449"/>
      <c r="HV146" s="449"/>
      <c r="HW146" s="449"/>
      <c r="HX146" s="449"/>
      <c r="HY146" s="449"/>
      <c r="HZ146" s="449"/>
      <c r="IA146" s="449"/>
      <c r="IB146" s="449"/>
      <c r="IC146" s="449"/>
      <c r="ID146" s="449"/>
      <c r="IE146" s="449"/>
      <c r="IF146" s="449"/>
      <c r="IG146" s="449"/>
      <c r="IH146" s="449"/>
      <c r="II146" s="449"/>
      <c r="IJ146" s="449"/>
      <c r="IK146" s="449"/>
      <c r="IL146" s="449"/>
      <c r="IM146" s="449"/>
      <c r="IN146" s="449"/>
      <c r="IO146" s="449"/>
      <c r="IP146" s="449"/>
      <c r="IQ146" s="449"/>
      <c r="IR146" s="449"/>
      <c r="IS146" s="449"/>
      <c r="IT146" s="449"/>
      <c r="IU146" s="449"/>
      <c r="IV146" s="449"/>
      <c r="IW146" s="449"/>
      <c r="IX146" s="449"/>
      <c r="IY146" s="449"/>
    </row>
    <row r="147" spans="3:259" s="379" customFormat="1" ht="12.75" customHeight="1" x14ac:dyDescent="0.2">
      <c r="C147" s="384" t="s">
        <v>980</v>
      </c>
      <c r="D147" s="385"/>
      <c r="E147" s="385"/>
      <c r="F147" s="385"/>
      <c r="G147" s="385"/>
      <c r="H147" s="385"/>
      <c r="I147" s="385"/>
      <c r="J147" s="385"/>
      <c r="K147" s="386"/>
      <c r="L147" s="386"/>
      <c r="M147" s="387" t="str">
        <f>IFERROR(K147/#REF!-1,"")</f>
        <v/>
      </c>
      <c r="N147" s="449"/>
      <c r="O147" s="449"/>
      <c r="P147" s="449"/>
      <c r="Q147" s="449"/>
      <c r="R147" s="449"/>
      <c r="S147" s="449"/>
      <c r="T147" s="449"/>
      <c r="U147" s="449"/>
      <c r="V147" s="449"/>
      <c r="W147" s="449"/>
      <c r="X147" s="449"/>
      <c r="Y147" s="449"/>
      <c r="Z147" s="449"/>
      <c r="AA147" s="449"/>
      <c r="AB147" s="449"/>
      <c r="AC147" s="449"/>
      <c r="AD147" s="449"/>
      <c r="AE147" s="449"/>
      <c r="AF147" s="449"/>
      <c r="AG147" s="449"/>
      <c r="AH147" s="449"/>
      <c r="AI147" s="449"/>
      <c r="AJ147" s="449"/>
      <c r="AK147" s="449"/>
      <c r="AL147" s="449"/>
      <c r="AM147" s="449"/>
      <c r="AN147" s="449"/>
      <c r="AO147" s="449"/>
      <c r="AP147" s="449"/>
      <c r="AQ147" s="449"/>
      <c r="AR147" s="449"/>
      <c r="AS147" s="449"/>
      <c r="AT147" s="449"/>
      <c r="AU147" s="449"/>
      <c r="AV147" s="449"/>
      <c r="AW147" s="449"/>
      <c r="AX147" s="449"/>
      <c r="AY147" s="449"/>
      <c r="AZ147" s="449"/>
      <c r="BA147" s="449"/>
      <c r="BB147" s="449"/>
      <c r="BC147" s="449"/>
      <c r="BD147" s="449"/>
      <c r="BE147" s="449"/>
      <c r="BF147" s="449"/>
      <c r="BG147" s="449"/>
      <c r="BH147" s="449"/>
      <c r="BI147" s="449"/>
      <c r="BJ147" s="449"/>
      <c r="BK147" s="449"/>
      <c r="BL147" s="449"/>
      <c r="BM147" s="449"/>
      <c r="BN147" s="449"/>
      <c r="BO147" s="449"/>
      <c r="BP147" s="449"/>
      <c r="BQ147" s="449"/>
      <c r="BR147" s="449"/>
      <c r="BS147" s="449"/>
      <c r="BT147" s="449"/>
      <c r="BU147" s="449"/>
      <c r="BV147" s="449"/>
      <c r="BW147" s="449"/>
      <c r="BX147" s="449"/>
      <c r="BY147" s="449"/>
      <c r="BZ147" s="449"/>
      <c r="CA147" s="449"/>
      <c r="CB147" s="449"/>
      <c r="CC147" s="449"/>
      <c r="CD147" s="449"/>
      <c r="CE147" s="449"/>
      <c r="CF147" s="449"/>
      <c r="CG147" s="449"/>
      <c r="CH147" s="449"/>
      <c r="CI147" s="449"/>
      <c r="CJ147" s="449"/>
      <c r="CK147" s="449"/>
      <c r="CL147" s="449"/>
      <c r="CM147" s="449"/>
      <c r="CN147" s="449"/>
      <c r="CO147" s="449"/>
      <c r="CP147" s="449"/>
      <c r="CQ147" s="449"/>
      <c r="CR147" s="449"/>
      <c r="CS147" s="449"/>
      <c r="CT147" s="449"/>
      <c r="CU147" s="449"/>
      <c r="CV147" s="449"/>
      <c r="CW147" s="449"/>
      <c r="CX147" s="449"/>
      <c r="CY147" s="449"/>
      <c r="CZ147" s="449"/>
      <c r="DA147" s="449"/>
      <c r="DB147" s="449"/>
      <c r="DC147" s="449"/>
      <c r="DD147" s="449"/>
      <c r="DE147" s="449"/>
      <c r="DF147" s="449"/>
      <c r="DG147" s="449"/>
      <c r="DH147" s="449"/>
      <c r="DI147" s="449"/>
      <c r="DJ147" s="449"/>
      <c r="DK147" s="449"/>
      <c r="DL147" s="449"/>
      <c r="DM147" s="449"/>
      <c r="DN147" s="449"/>
      <c r="DO147" s="449"/>
      <c r="DP147" s="449"/>
      <c r="DQ147" s="449"/>
      <c r="DR147" s="449"/>
      <c r="DS147" s="449"/>
      <c r="DT147" s="449"/>
      <c r="DU147" s="449"/>
      <c r="DV147" s="449"/>
      <c r="DW147" s="449"/>
      <c r="DX147" s="449"/>
      <c r="DY147" s="449"/>
      <c r="DZ147" s="449"/>
      <c r="EA147" s="449"/>
      <c r="EB147" s="449"/>
      <c r="EC147" s="449"/>
      <c r="ED147" s="449"/>
      <c r="EE147" s="449"/>
      <c r="EF147" s="449"/>
      <c r="EG147" s="449"/>
      <c r="EH147" s="449"/>
      <c r="EI147" s="449"/>
      <c r="EJ147" s="449"/>
      <c r="EK147" s="449"/>
      <c r="EL147" s="449"/>
      <c r="EM147" s="449"/>
      <c r="EN147" s="449"/>
      <c r="EO147" s="449"/>
      <c r="EP147" s="449"/>
      <c r="EQ147" s="449"/>
      <c r="ER147" s="449"/>
      <c r="ES147" s="449"/>
      <c r="ET147" s="449"/>
      <c r="EU147" s="449"/>
      <c r="EV147" s="449"/>
      <c r="EW147" s="449"/>
      <c r="EX147" s="449"/>
      <c r="EY147" s="449"/>
      <c r="EZ147" s="449"/>
      <c r="FA147" s="449"/>
      <c r="FB147" s="449"/>
      <c r="FC147" s="449"/>
      <c r="FD147" s="449"/>
      <c r="FE147" s="449"/>
      <c r="FF147" s="449"/>
      <c r="FG147" s="449"/>
      <c r="FH147" s="449"/>
      <c r="FI147" s="449"/>
      <c r="FJ147" s="449"/>
      <c r="FK147" s="449"/>
      <c r="FL147" s="449"/>
      <c r="FM147" s="449"/>
      <c r="FN147" s="449"/>
      <c r="FO147" s="449"/>
      <c r="FP147" s="449"/>
      <c r="FQ147" s="449"/>
      <c r="FR147" s="449"/>
      <c r="FS147" s="449"/>
      <c r="FT147" s="449"/>
      <c r="FU147" s="449"/>
      <c r="FV147" s="449"/>
      <c r="FW147" s="449"/>
      <c r="FX147" s="449"/>
      <c r="FY147" s="449"/>
      <c r="FZ147" s="449"/>
      <c r="GA147" s="449"/>
      <c r="GB147" s="449"/>
      <c r="GC147" s="449"/>
      <c r="GD147" s="449"/>
      <c r="GE147" s="449"/>
      <c r="GF147" s="449"/>
      <c r="GG147" s="449"/>
      <c r="GH147" s="449"/>
      <c r="GI147" s="449"/>
      <c r="GJ147" s="449"/>
      <c r="GK147" s="449"/>
      <c r="GL147" s="449"/>
      <c r="GM147" s="449"/>
      <c r="GN147" s="449"/>
      <c r="GO147" s="449"/>
      <c r="GP147" s="449"/>
      <c r="GQ147" s="449"/>
      <c r="GR147" s="449"/>
      <c r="GS147" s="449"/>
      <c r="GT147" s="449"/>
      <c r="GU147" s="449"/>
      <c r="GV147" s="449"/>
      <c r="GW147" s="449"/>
      <c r="GX147" s="449"/>
      <c r="GY147" s="449"/>
      <c r="GZ147" s="449"/>
      <c r="HA147" s="449"/>
      <c r="HB147" s="449"/>
      <c r="HC147" s="449"/>
      <c r="HD147" s="449"/>
      <c r="HE147" s="449"/>
      <c r="HF147" s="449"/>
      <c r="HG147" s="449"/>
      <c r="HH147" s="449"/>
      <c r="HI147" s="449"/>
      <c r="HJ147" s="449"/>
      <c r="HK147" s="449"/>
      <c r="HL147" s="449"/>
      <c r="HM147" s="449"/>
      <c r="HN147" s="449"/>
      <c r="HO147" s="449"/>
      <c r="HP147" s="449"/>
      <c r="HQ147" s="449"/>
      <c r="HR147" s="449"/>
      <c r="HS147" s="449"/>
      <c r="HT147" s="449"/>
      <c r="HU147" s="449"/>
      <c r="HV147" s="449"/>
      <c r="HW147" s="449"/>
      <c r="HX147" s="449"/>
      <c r="HY147" s="449"/>
      <c r="HZ147" s="449"/>
      <c r="IA147" s="449"/>
      <c r="IB147" s="449"/>
      <c r="IC147" s="449"/>
      <c r="ID147" s="449"/>
      <c r="IE147" s="449"/>
      <c r="IF147" s="449"/>
      <c r="IG147" s="449"/>
      <c r="IH147" s="449"/>
      <c r="II147" s="449"/>
      <c r="IJ147" s="449"/>
      <c r="IK147" s="449"/>
      <c r="IL147" s="449"/>
      <c r="IM147" s="449"/>
      <c r="IN147" s="449"/>
      <c r="IO147" s="449"/>
      <c r="IP147" s="449"/>
      <c r="IQ147" s="449"/>
      <c r="IR147" s="449"/>
      <c r="IS147" s="449"/>
      <c r="IT147" s="449"/>
      <c r="IU147" s="449"/>
      <c r="IV147" s="449"/>
      <c r="IW147" s="449"/>
      <c r="IX147" s="449"/>
      <c r="IY147" s="449"/>
    </row>
    <row r="148" spans="3:259" s="379" customFormat="1" ht="12.75" x14ac:dyDescent="0.2">
      <c r="C148" s="388" t="s">
        <v>1098</v>
      </c>
      <c r="D148" s="389"/>
      <c r="E148" s="389"/>
      <c r="F148" s="389"/>
      <c r="G148" s="389"/>
      <c r="H148" s="389"/>
      <c r="I148" s="389"/>
      <c r="J148" s="389"/>
      <c r="K148" s="390"/>
      <c r="L148" s="390"/>
      <c r="M148" s="391" t="str">
        <f>IFERROR(K148/#REF!-1,"")</f>
        <v/>
      </c>
      <c r="N148" s="449"/>
      <c r="O148" s="449"/>
      <c r="P148" s="449"/>
      <c r="Q148" s="449"/>
      <c r="R148" s="449"/>
      <c r="S148" s="449"/>
      <c r="T148" s="449"/>
      <c r="U148" s="449"/>
      <c r="V148" s="449"/>
      <c r="W148" s="449"/>
      <c r="X148" s="449"/>
      <c r="Y148" s="449"/>
      <c r="Z148" s="449"/>
      <c r="AA148" s="449"/>
      <c r="AB148" s="449"/>
      <c r="AC148" s="449"/>
      <c r="AD148" s="449"/>
      <c r="AE148" s="449"/>
      <c r="AF148" s="449"/>
      <c r="AG148" s="449"/>
      <c r="AH148" s="449"/>
      <c r="AI148" s="449"/>
      <c r="AJ148" s="449"/>
      <c r="AK148" s="449"/>
      <c r="AL148" s="449"/>
      <c r="AM148" s="449"/>
      <c r="AN148" s="449"/>
      <c r="AO148" s="449"/>
      <c r="AP148" s="449"/>
      <c r="AQ148" s="449"/>
      <c r="AR148" s="449"/>
      <c r="AS148" s="449"/>
      <c r="AT148" s="449"/>
      <c r="AU148" s="449"/>
      <c r="AV148" s="449"/>
      <c r="AW148" s="449"/>
      <c r="AX148" s="449"/>
      <c r="AY148" s="449"/>
      <c r="AZ148" s="449"/>
      <c r="BA148" s="449"/>
      <c r="BB148" s="449"/>
      <c r="BC148" s="449"/>
      <c r="BD148" s="449"/>
      <c r="BE148" s="449"/>
      <c r="BF148" s="449"/>
      <c r="BG148" s="449"/>
      <c r="BH148" s="449"/>
      <c r="BI148" s="449"/>
      <c r="BJ148" s="449"/>
      <c r="BK148" s="449"/>
      <c r="BL148" s="449"/>
      <c r="BM148" s="449"/>
      <c r="BN148" s="449"/>
      <c r="BO148" s="449"/>
      <c r="BP148" s="449"/>
      <c r="BQ148" s="449"/>
      <c r="BR148" s="449"/>
      <c r="BS148" s="449"/>
      <c r="BT148" s="449"/>
      <c r="BU148" s="449"/>
      <c r="BV148" s="449"/>
      <c r="BW148" s="449"/>
      <c r="BX148" s="449"/>
      <c r="BY148" s="449"/>
      <c r="BZ148" s="449"/>
      <c r="CA148" s="449"/>
      <c r="CB148" s="449"/>
      <c r="CC148" s="449"/>
      <c r="CD148" s="449"/>
      <c r="CE148" s="449"/>
      <c r="CF148" s="449"/>
      <c r="CG148" s="449"/>
      <c r="CH148" s="449"/>
      <c r="CI148" s="449"/>
      <c r="CJ148" s="449"/>
      <c r="CK148" s="449"/>
      <c r="CL148" s="449"/>
      <c r="CM148" s="449"/>
      <c r="CN148" s="449"/>
      <c r="CO148" s="449"/>
      <c r="CP148" s="449"/>
      <c r="CQ148" s="449"/>
      <c r="CR148" s="449"/>
      <c r="CS148" s="449"/>
      <c r="CT148" s="449"/>
      <c r="CU148" s="449"/>
      <c r="CV148" s="449"/>
      <c r="CW148" s="449"/>
      <c r="CX148" s="449"/>
      <c r="CY148" s="449"/>
      <c r="CZ148" s="449"/>
      <c r="DA148" s="449"/>
      <c r="DB148" s="449"/>
      <c r="DC148" s="449"/>
      <c r="DD148" s="449"/>
      <c r="DE148" s="449"/>
      <c r="DF148" s="449"/>
      <c r="DG148" s="449"/>
      <c r="DH148" s="449"/>
      <c r="DI148" s="449"/>
      <c r="DJ148" s="449"/>
      <c r="DK148" s="449"/>
      <c r="DL148" s="449"/>
      <c r="DM148" s="449"/>
      <c r="DN148" s="449"/>
      <c r="DO148" s="449"/>
      <c r="DP148" s="449"/>
      <c r="DQ148" s="449"/>
      <c r="DR148" s="449"/>
      <c r="DS148" s="449"/>
      <c r="DT148" s="449"/>
      <c r="DU148" s="449"/>
      <c r="DV148" s="449"/>
      <c r="DW148" s="449"/>
      <c r="DX148" s="449"/>
      <c r="DY148" s="449"/>
      <c r="DZ148" s="449"/>
      <c r="EA148" s="449"/>
      <c r="EB148" s="449"/>
      <c r="EC148" s="449"/>
      <c r="ED148" s="449"/>
      <c r="EE148" s="449"/>
      <c r="EF148" s="449"/>
      <c r="EG148" s="449"/>
      <c r="EH148" s="449"/>
      <c r="EI148" s="449"/>
      <c r="EJ148" s="449"/>
      <c r="EK148" s="449"/>
      <c r="EL148" s="449"/>
      <c r="EM148" s="449"/>
      <c r="EN148" s="449"/>
      <c r="EO148" s="449"/>
      <c r="EP148" s="449"/>
      <c r="EQ148" s="449"/>
      <c r="ER148" s="449"/>
      <c r="ES148" s="449"/>
      <c r="ET148" s="449"/>
      <c r="EU148" s="449"/>
      <c r="EV148" s="449"/>
      <c r="EW148" s="449"/>
      <c r="EX148" s="449"/>
      <c r="EY148" s="449"/>
      <c r="EZ148" s="449"/>
      <c r="FA148" s="449"/>
      <c r="FB148" s="449"/>
      <c r="FC148" s="449"/>
      <c r="FD148" s="449"/>
      <c r="FE148" s="449"/>
      <c r="FF148" s="449"/>
      <c r="FG148" s="449"/>
      <c r="FH148" s="449"/>
      <c r="FI148" s="449"/>
      <c r="FJ148" s="449"/>
      <c r="FK148" s="449"/>
      <c r="FL148" s="449"/>
      <c r="FM148" s="449"/>
      <c r="FN148" s="449"/>
      <c r="FO148" s="449"/>
      <c r="FP148" s="449"/>
      <c r="FQ148" s="449"/>
      <c r="FR148" s="449"/>
      <c r="FS148" s="449"/>
      <c r="FT148" s="449"/>
      <c r="FU148" s="449"/>
      <c r="FV148" s="449"/>
      <c r="FW148" s="449"/>
      <c r="FX148" s="449"/>
      <c r="FY148" s="449"/>
      <c r="FZ148" s="449"/>
      <c r="GA148" s="449"/>
      <c r="GB148" s="449"/>
      <c r="GC148" s="449"/>
      <c r="GD148" s="449"/>
      <c r="GE148" s="449"/>
      <c r="GF148" s="449"/>
      <c r="GG148" s="449"/>
      <c r="GH148" s="449"/>
      <c r="GI148" s="449"/>
      <c r="GJ148" s="449"/>
      <c r="GK148" s="449"/>
      <c r="GL148" s="449"/>
      <c r="GM148" s="449"/>
      <c r="GN148" s="449"/>
      <c r="GO148" s="449"/>
      <c r="GP148" s="449"/>
      <c r="GQ148" s="449"/>
      <c r="GR148" s="449"/>
      <c r="GS148" s="449"/>
      <c r="GT148" s="449"/>
      <c r="GU148" s="449"/>
      <c r="GV148" s="449"/>
      <c r="GW148" s="449"/>
      <c r="GX148" s="449"/>
      <c r="GY148" s="449"/>
      <c r="GZ148" s="449"/>
      <c r="HA148" s="449"/>
      <c r="HB148" s="449"/>
      <c r="HC148" s="449"/>
      <c r="HD148" s="449"/>
      <c r="HE148" s="449"/>
      <c r="HF148" s="449"/>
      <c r="HG148" s="449"/>
      <c r="HH148" s="449"/>
      <c r="HI148" s="449"/>
      <c r="HJ148" s="449"/>
      <c r="HK148" s="449"/>
      <c r="HL148" s="449"/>
      <c r="HM148" s="449"/>
      <c r="HN148" s="449"/>
      <c r="HO148" s="449"/>
      <c r="HP148" s="449"/>
      <c r="HQ148" s="449"/>
      <c r="HR148" s="449"/>
      <c r="HS148" s="449"/>
      <c r="HT148" s="449"/>
      <c r="HU148" s="449"/>
      <c r="HV148" s="449"/>
      <c r="HW148" s="449"/>
      <c r="HX148" s="449"/>
      <c r="HY148" s="449"/>
      <c r="HZ148" s="449"/>
      <c r="IA148" s="449"/>
      <c r="IB148" s="449"/>
      <c r="IC148" s="449"/>
      <c r="ID148" s="449"/>
      <c r="IE148" s="449"/>
      <c r="IF148" s="449"/>
      <c r="IG148" s="449"/>
      <c r="IH148" s="449"/>
      <c r="II148" s="449"/>
      <c r="IJ148" s="449"/>
      <c r="IK148" s="449"/>
      <c r="IL148" s="449"/>
      <c r="IM148" s="449"/>
      <c r="IN148" s="449"/>
      <c r="IO148" s="449"/>
      <c r="IP148" s="449"/>
      <c r="IQ148" s="449"/>
      <c r="IR148" s="449"/>
      <c r="IS148" s="449"/>
      <c r="IT148" s="449"/>
      <c r="IU148" s="449"/>
      <c r="IV148" s="449"/>
      <c r="IW148" s="449"/>
      <c r="IX148" s="449"/>
      <c r="IY148" s="449"/>
    </row>
    <row r="149" spans="3:259" s="379" customFormat="1" ht="12.75" x14ac:dyDescent="0.2">
      <c r="C149" s="392" t="s">
        <v>1099</v>
      </c>
      <c r="D149" s="393" t="s">
        <v>877</v>
      </c>
      <c r="E149" s="410" t="s">
        <v>1100</v>
      </c>
      <c r="F149" s="410"/>
      <c r="G149" s="393">
        <v>1000</v>
      </c>
      <c r="H149" s="393">
        <v>260</v>
      </c>
      <c r="I149" s="393">
        <v>100</v>
      </c>
      <c r="J149" s="393">
        <v>20</v>
      </c>
      <c r="K149" s="452">
        <v>4254</v>
      </c>
      <c r="L149" s="452"/>
      <c r="M149" s="453">
        <f>K149*0.7</f>
        <v>2977.7999999999997</v>
      </c>
      <c r="N149" s="449"/>
      <c r="O149" s="449"/>
      <c r="P149" s="449"/>
      <c r="Q149" s="449"/>
      <c r="R149" s="449"/>
      <c r="S149" s="449"/>
      <c r="T149" s="449"/>
      <c r="U149" s="449"/>
      <c r="V149" s="449"/>
      <c r="W149" s="449"/>
      <c r="X149" s="449"/>
      <c r="Y149" s="449"/>
      <c r="Z149" s="449"/>
      <c r="AA149" s="449"/>
      <c r="AB149" s="449"/>
      <c r="AC149" s="449"/>
      <c r="AD149" s="449"/>
      <c r="AE149" s="449"/>
      <c r="AF149" s="449"/>
      <c r="AG149" s="449"/>
      <c r="AH149" s="449"/>
      <c r="AI149" s="449"/>
      <c r="AJ149" s="449"/>
      <c r="AK149" s="449"/>
      <c r="AL149" s="449"/>
      <c r="AM149" s="449"/>
      <c r="AN149" s="449"/>
      <c r="AO149" s="449"/>
      <c r="AP149" s="449"/>
      <c r="AQ149" s="449"/>
      <c r="AR149" s="449"/>
      <c r="AS149" s="449"/>
      <c r="AT149" s="449"/>
      <c r="AU149" s="449"/>
      <c r="AV149" s="449"/>
      <c r="AW149" s="449"/>
      <c r="AX149" s="449"/>
      <c r="AY149" s="449"/>
      <c r="AZ149" s="449"/>
      <c r="BA149" s="449"/>
      <c r="BB149" s="449"/>
      <c r="BC149" s="449"/>
      <c r="BD149" s="449"/>
      <c r="BE149" s="449"/>
      <c r="BF149" s="449"/>
      <c r="BG149" s="449"/>
      <c r="BH149" s="449"/>
      <c r="BI149" s="449"/>
      <c r="BJ149" s="449"/>
      <c r="BK149" s="449"/>
      <c r="BL149" s="449"/>
      <c r="BM149" s="449"/>
      <c r="BN149" s="449"/>
      <c r="BO149" s="449"/>
      <c r="BP149" s="449"/>
      <c r="BQ149" s="449"/>
      <c r="BR149" s="449"/>
      <c r="BS149" s="449"/>
      <c r="BT149" s="449"/>
      <c r="BU149" s="449"/>
      <c r="BV149" s="449"/>
      <c r="BW149" s="449"/>
      <c r="BX149" s="449"/>
      <c r="BY149" s="449"/>
      <c r="BZ149" s="449"/>
      <c r="CA149" s="449"/>
      <c r="CB149" s="449"/>
      <c r="CC149" s="449"/>
      <c r="CD149" s="449"/>
      <c r="CE149" s="449"/>
      <c r="CF149" s="449"/>
      <c r="CG149" s="449"/>
      <c r="CH149" s="449"/>
      <c r="CI149" s="449"/>
      <c r="CJ149" s="449"/>
      <c r="CK149" s="449"/>
      <c r="CL149" s="449"/>
      <c r="CM149" s="449"/>
      <c r="CN149" s="449"/>
      <c r="CO149" s="449"/>
      <c r="CP149" s="449"/>
      <c r="CQ149" s="449"/>
      <c r="CR149" s="449"/>
      <c r="CS149" s="449"/>
      <c r="CT149" s="449"/>
      <c r="CU149" s="449"/>
      <c r="CV149" s="449"/>
      <c r="CW149" s="449"/>
      <c r="CX149" s="449"/>
      <c r="CY149" s="449"/>
      <c r="CZ149" s="449"/>
      <c r="DA149" s="449"/>
      <c r="DB149" s="449"/>
      <c r="DC149" s="449"/>
      <c r="DD149" s="449"/>
      <c r="DE149" s="449"/>
      <c r="DF149" s="449"/>
      <c r="DG149" s="449"/>
      <c r="DH149" s="449"/>
      <c r="DI149" s="449"/>
      <c r="DJ149" s="449"/>
      <c r="DK149" s="449"/>
      <c r="DL149" s="449"/>
      <c r="DM149" s="449"/>
      <c r="DN149" s="449"/>
      <c r="DO149" s="449"/>
      <c r="DP149" s="449"/>
      <c r="DQ149" s="449"/>
      <c r="DR149" s="449"/>
      <c r="DS149" s="449"/>
      <c r="DT149" s="449"/>
      <c r="DU149" s="449"/>
      <c r="DV149" s="449"/>
      <c r="DW149" s="449"/>
      <c r="DX149" s="449"/>
      <c r="DY149" s="449"/>
      <c r="DZ149" s="449"/>
      <c r="EA149" s="449"/>
      <c r="EB149" s="449"/>
      <c r="EC149" s="449"/>
      <c r="ED149" s="449"/>
      <c r="EE149" s="449"/>
      <c r="EF149" s="449"/>
      <c r="EG149" s="449"/>
      <c r="EH149" s="449"/>
      <c r="EI149" s="449"/>
      <c r="EJ149" s="449"/>
      <c r="EK149" s="449"/>
      <c r="EL149" s="449"/>
      <c r="EM149" s="449"/>
      <c r="EN149" s="449"/>
      <c r="EO149" s="449"/>
      <c r="EP149" s="449"/>
      <c r="EQ149" s="449"/>
      <c r="ER149" s="449"/>
      <c r="ES149" s="449"/>
      <c r="ET149" s="449"/>
      <c r="EU149" s="449"/>
      <c r="EV149" s="449"/>
      <c r="EW149" s="449"/>
      <c r="EX149" s="449"/>
      <c r="EY149" s="449"/>
      <c r="EZ149" s="449"/>
      <c r="FA149" s="449"/>
      <c r="FB149" s="449"/>
      <c r="FC149" s="449"/>
      <c r="FD149" s="449"/>
      <c r="FE149" s="449"/>
      <c r="FF149" s="449"/>
      <c r="FG149" s="449"/>
      <c r="FH149" s="449"/>
      <c r="FI149" s="449"/>
      <c r="FJ149" s="449"/>
      <c r="FK149" s="449"/>
      <c r="FL149" s="449"/>
      <c r="FM149" s="449"/>
      <c r="FN149" s="449"/>
      <c r="FO149" s="449"/>
      <c r="FP149" s="449"/>
      <c r="FQ149" s="449"/>
      <c r="FR149" s="449"/>
      <c r="FS149" s="449"/>
      <c r="FT149" s="449"/>
      <c r="FU149" s="449"/>
      <c r="FV149" s="449"/>
      <c r="FW149" s="449"/>
      <c r="FX149" s="449"/>
      <c r="FY149" s="449"/>
      <c r="FZ149" s="449"/>
      <c r="GA149" s="449"/>
      <c r="GB149" s="449"/>
      <c r="GC149" s="449"/>
      <c r="GD149" s="449"/>
      <c r="GE149" s="449"/>
      <c r="GF149" s="449"/>
      <c r="GG149" s="449"/>
      <c r="GH149" s="449"/>
      <c r="GI149" s="449"/>
      <c r="GJ149" s="449"/>
      <c r="GK149" s="449"/>
      <c r="GL149" s="449"/>
      <c r="GM149" s="449"/>
      <c r="GN149" s="449"/>
      <c r="GO149" s="449"/>
      <c r="GP149" s="449"/>
      <c r="GQ149" s="449"/>
      <c r="GR149" s="449"/>
      <c r="GS149" s="449"/>
      <c r="GT149" s="449"/>
      <c r="GU149" s="449"/>
      <c r="GV149" s="449"/>
      <c r="GW149" s="449"/>
      <c r="GX149" s="449"/>
      <c r="GY149" s="449"/>
      <c r="GZ149" s="449"/>
      <c r="HA149" s="449"/>
      <c r="HB149" s="449"/>
      <c r="HC149" s="449"/>
      <c r="HD149" s="449"/>
      <c r="HE149" s="449"/>
      <c r="HF149" s="449"/>
      <c r="HG149" s="449"/>
      <c r="HH149" s="449"/>
      <c r="HI149" s="449"/>
      <c r="HJ149" s="449"/>
      <c r="HK149" s="449"/>
      <c r="HL149" s="449"/>
      <c r="HM149" s="449"/>
      <c r="HN149" s="449"/>
      <c r="HO149" s="449"/>
      <c r="HP149" s="449"/>
      <c r="HQ149" s="449"/>
      <c r="HR149" s="449"/>
      <c r="HS149" s="449"/>
      <c r="HT149" s="449"/>
      <c r="HU149" s="449"/>
      <c r="HV149" s="449"/>
      <c r="HW149" s="449"/>
      <c r="HX149" s="449"/>
      <c r="HY149" s="449"/>
      <c r="HZ149" s="449"/>
      <c r="IA149" s="449"/>
      <c r="IB149" s="449"/>
      <c r="IC149" s="449"/>
      <c r="ID149" s="449"/>
      <c r="IE149" s="449"/>
      <c r="IF149" s="449"/>
      <c r="IG149" s="449"/>
      <c r="IH149" s="449"/>
      <c r="II149" s="449"/>
      <c r="IJ149" s="449"/>
      <c r="IK149" s="449"/>
      <c r="IL149" s="449"/>
      <c r="IM149" s="449"/>
      <c r="IN149" s="449"/>
      <c r="IO149" s="449"/>
      <c r="IP149" s="449"/>
      <c r="IQ149" s="449"/>
      <c r="IR149" s="449"/>
      <c r="IS149" s="449"/>
      <c r="IT149" s="449"/>
      <c r="IU149" s="449"/>
      <c r="IV149" s="449"/>
      <c r="IW149" s="449"/>
      <c r="IX149" s="449"/>
      <c r="IY149" s="449"/>
    </row>
    <row r="150" spans="3:259" s="379" customFormat="1" ht="12.75" x14ac:dyDescent="0.2">
      <c r="C150" s="392" t="s">
        <v>1101</v>
      </c>
      <c r="D150" s="393" t="s">
        <v>877</v>
      </c>
      <c r="E150" s="410" t="s">
        <v>1102</v>
      </c>
      <c r="F150" s="410"/>
      <c r="G150" s="393">
        <v>1000</v>
      </c>
      <c r="H150" s="393">
        <v>260</v>
      </c>
      <c r="I150" s="393">
        <v>210</v>
      </c>
      <c r="J150" s="393">
        <v>24.28</v>
      </c>
      <c r="K150" s="452">
        <v>5406</v>
      </c>
      <c r="L150" s="452"/>
      <c r="M150" s="453">
        <f>K150*0.7</f>
        <v>3784.2</v>
      </c>
      <c r="N150" s="449"/>
      <c r="O150" s="449"/>
      <c r="P150" s="449"/>
      <c r="Q150" s="449"/>
      <c r="R150" s="449"/>
      <c r="S150" s="449"/>
      <c r="T150" s="449"/>
      <c r="U150" s="449"/>
      <c r="V150" s="449"/>
      <c r="W150" s="449"/>
      <c r="X150" s="449"/>
      <c r="Y150" s="449"/>
      <c r="Z150" s="449"/>
      <c r="AA150" s="449"/>
      <c r="AB150" s="449"/>
      <c r="AC150" s="449"/>
      <c r="AD150" s="449"/>
      <c r="AE150" s="449"/>
      <c r="AF150" s="449"/>
      <c r="AG150" s="449"/>
      <c r="AH150" s="449"/>
      <c r="AI150" s="449"/>
      <c r="AJ150" s="449"/>
      <c r="AK150" s="449"/>
      <c r="AL150" s="449"/>
      <c r="AM150" s="449"/>
      <c r="AN150" s="449"/>
      <c r="AO150" s="449"/>
      <c r="AP150" s="449"/>
      <c r="AQ150" s="449"/>
      <c r="AR150" s="449"/>
      <c r="AS150" s="449"/>
      <c r="AT150" s="449"/>
      <c r="AU150" s="449"/>
      <c r="AV150" s="449"/>
      <c r="AW150" s="449"/>
      <c r="AX150" s="449"/>
      <c r="AY150" s="449"/>
      <c r="AZ150" s="449"/>
      <c r="BA150" s="449"/>
      <c r="BB150" s="449"/>
      <c r="BC150" s="449"/>
      <c r="BD150" s="449"/>
      <c r="BE150" s="449"/>
      <c r="BF150" s="449"/>
      <c r="BG150" s="449"/>
      <c r="BH150" s="449"/>
      <c r="BI150" s="449"/>
      <c r="BJ150" s="449"/>
      <c r="BK150" s="449"/>
      <c r="BL150" s="449"/>
      <c r="BM150" s="449"/>
      <c r="BN150" s="449"/>
      <c r="BO150" s="449"/>
      <c r="BP150" s="449"/>
      <c r="BQ150" s="449"/>
      <c r="BR150" s="449"/>
      <c r="BS150" s="449"/>
      <c r="BT150" s="449"/>
      <c r="BU150" s="449"/>
      <c r="BV150" s="449"/>
      <c r="BW150" s="449"/>
      <c r="BX150" s="449"/>
      <c r="BY150" s="449"/>
      <c r="BZ150" s="449"/>
      <c r="CA150" s="449"/>
      <c r="CB150" s="449"/>
      <c r="CC150" s="449"/>
      <c r="CD150" s="449"/>
      <c r="CE150" s="449"/>
      <c r="CF150" s="449"/>
      <c r="CG150" s="449"/>
      <c r="CH150" s="449"/>
      <c r="CI150" s="449"/>
      <c r="CJ150" s="449"/>
      <c r="CK150" s="449"/>
      <c r="CL150" s="449"/>
      <c r="CM150" s="449"/>
      <c r="CN150" s="449"/>
      <c r="CO150" s="449"/>
      <c r="CP150" s="449"/>
      <c r="CQ150" s="449"/>
      <c r="CR150" s="449"/>
      <c r="CS150" s="449"/>
      <c r="CT150" s="449"/>
      <c r="CU150" s="449"/>
      <c r="CV150" s="449"/>
      <c r="CW150" s="449"/>
      <c r="CX150" s="449"/>
      <c r="CY150" s="449"/>
      <c r="CZ150" s="449"/>
      <c r="DA150" s="449"/>
      <c r="DB150" s="449"/>
      <c r="DC150" s="449"/>
      <c r="DD150" s="449"/>
      <c r="DE150" s="449"/>
      <c r="DF150" s="449"/>
      <c r="DG150" s="449"/>
      <c r="DH150" s="449"/>
      <c r="DI150" s="449"/>
      <c r="DJ150" s="449"/>
      <c r="DK150" s="449"/>
      <c r="DL150" s="449"/>
      <c r="DM150" s="449"/>
      <c r="DN150" s="449"/>
      <c r="DO150" s="449"/>
      <c r="DP150" s="449"/>
      <c r="DQ150" s="449"/>
      <c r="DR150" s="449"/>
      <c r="DS150" s="449"/>
      <c r="DT150" s="449"/>
      <c r="DU150" s="449"/>
      <c r="DV150" s="449"/>
      <c r="DW150" s="449"/>
      <c r="DX150" s="449"/>
      <c r="DY150" s="449"/>
      <c r="DZ150" s="449"/>
      <c r="EA150" s="449"/>
      <c r="EB150" s="449"/>
      <c r="EC150" s="449"/>
      <c r="ED150" s="449"/>
      <c r="EE150" s="449"/>
      <c r="EF150" s="449"/>
      <c r="EG150" s="449"/>
      <c r="EH150" s="449"/>
      <c r="EI150" s="449"/>
      <c r="EJ150" s="449"/>
      <c r="EK150" s="449"/>
      <c r="EL150" s="449"/>
      <c r="EM150" s="449"/>
      <c r="EN150" s="449"/>
      <c r="EO150" s="449"/>
      <c r="EP150" s="449"/>
      <c r="EQ150" s="449"/>
      <c r="ER150" s="449"/>
      <c r="ES150" s="449"/>
      <c r="ET150" s="449"/>
      <c r="EU150" s="449"/>
      <c r="EV150" s="449"/>
      <c r="EW150" s="449"/>
      <c r="EX150" s="449"/>
      <c r="EY150" s="449"/>
      <c r="EZ150" s="449"/>
      <c r="FA150" s="449"/>
      <c r="FB150" s="449"/>
      <c r="FC150" s="449"/>
      <c r="FD150" s="449"/>
      <c r="FE150" s="449"/>
      <c r="FF150" s="449"/>
      <c r="FG150" s="449"/>
      <c r="FH150" s="449"/>
      <c r="FI150" s="449"/>
      <c r="FJ150" s="449"/>
      <c r="FK150" s="449"/>
      <c r="FL150" s="449"/>
      <c r="FM150" s="449"/>
      <c r="FN150" s="449"/>
      <c r="FO150" s="449"/>
      <c r="FP150" s="449"/>
      <c r="FQ150" s="449"/>
      <c r="FR150" s="449"/>
      <c r="FS150" s="449"/>
      <c r="FT150" s="449"/>
      <c r="FU150" s="449"/>
      <c r="FV150" s="449"/>
      <c r="FW150" s="449"/>
      <c r="FX150" s="449"/>
      <c r="FY150" s="449"/>
      <c r="FZ150" s="449"/>
      <c r="GA150" s="449"/>
      <c r="GB150" s="449"/>
      <c r="GC150" s="449"/>
      <c r="GD150" s="449"/>
      <c r="GE150" s="449"/>
      <c r="GF150" s="449"/>
      <c r="GG150" s="449"/>
      <c r="GH150" s="449"/>
      <c r="GI150" s="449"/>
      <c r="GJ150" s="449"/>
      <c r="GK150" s="449"/>
      <c r="GL150" s="449"/>
      <c r="GM150" s="449"/>
      <c r="GN150" s="449"/>
      <c r="GO150" s="449"/>
      <c r="GP150" s="449"/>
      <c r="GQ150" s="449"/>
      <c r="GR150" s="449"/>
      <c r="GS150" s="449"/>
      <c r="GT150" s="449"/>
      <c r="GU150" s="449"/>
      <c r="GV150" s="449"/>
      <c r="GW150" s="449"/>
      <c r="GX150" s="449"/>
      <c r="GY150" s="449"/>
      <c r="GZ150" s="449"/>
      <c r="HA150" s="449"/>
      <c r="HB150" s="449"/>
      <c r="HC150" s="449"/>
      <c r="HD150" s="449"/>
      <c r="HE150" s="449"/>
      <c r="HF150" s="449"/>
      <c r="HG150" s="449"/>
      <c r="HH150" s="449"/>
      <c r="HI150" s="449"/>
      <c r="HJ150" s="449"/>
      <c r="HK150" s="449"/>
      <c r="HL150" s="449"/>
      <c r="HM150" s="449"/>
      <c r="HN150" s="449"/>
      <c r="HO150" s="449"/>
      <c r="HP150" s="449"/>
      <c r="HQ150" s="449"/>
      <c r="HR150" s="449"/>
      <c r="HS150" s="449"/>
      <c r="HT150" s="449"/>
      <c r="HU150" s="449"/>
      <c r="HV150" s="449"/>
      <c r="HW150" s="449"/>
      <c r="HX150" s="449"/>
      <c r="HY150" s="449"/>
      <c r="HZ150" s="449"/>
      <c r="IA150" s="449"/>
      <c r="IB150" s="449"/>
      <c r="IC150" s="449"/>
      <c r="ID150" s="449"/>
      <c r="IE150" s="449"/>
      <c r="IF150" s="449"/>
      <c r="IG150" s="449"/>
      <c r="IH150" s="449"/>
      <c r="II150" s="449"/>
      <c r="IJ150" s="449"/>
      <c r="IK150" s="449"/>
      <c r="IL150" s="449"/>
      <c r="IM150" s="449"/>
      <c r="IN150" s="449"/>
      <c r="IO150" s="449"/>
      <c r="IP150" s="449"/>
      <c r="IQ150" s="449"/>
      <c r="IR150" s="449"/>
      <c r="IS150" s="449"/>
      <c r="IT150" s="449"/>
      <c r="IU150" s="449"/>
      <c r="IV150" s="449"/>
      <c r="IW150" s="449"/>
      <c r="IX150" s="449"/>
      <c r="IY150" s="449"/>
    </row>
    <row r="151" spans="3:259" s="379" customFormat="1" ht="12.75" x14ac:dyDescent="0.2">
      <c r="C151" s="392" t="s">
        <v>1103</v>
      </c>
      <c r="D151" s="393" t="s">
        <v>877</v>
      </c>
      <c r="E151" s="410" t="s">
        <v>1104</v>
      </c>
      <c r="F151" s="410"/>
      <c r="G151" s="393">
        <v>1000</v>
      </c>
      <c r="H151" s="393">
        <v>260</v>
      </c>
      <c r="I151" s="393">
        <v>260</v>
      </c>
      <c r="J151" s="393">
        <v>28.41</v>
      </c>
      <c r="K151" s="452">
        <v>6168</v>
      </c>
      <c r="L151" s="452"/>
      <c r="M151" s="453">
        <f>K151*0.7</f>
        <v>4317.5999999999995</v>
      </c>
      <c r="N151" s="449"/>
      <c r="O151" s="449"/>
      <c r="P151" s="449"/>
      <c r="Q151" s="449"/>
      <c r="R151" s="449"/>
      <c r="S151" s="449"/>
      <c r="T151" s="449"/>
      <c r="U151" s="449"/>
      <c r="V151" s="449"/>
      <c r="W151" s="449"/>
      <c r="X151" s="449"/>
      <c r="Y151" s="449"/>
      <c r="Z151" s="449"/>
      <c r="AA151" s="449"/>
      <c r="AB151" s="449"/>
      <c r="AC151" s="449"/>
      <c r="AD151" s="449"/>
      <c r="AE151" s="449"/>
      <c r="AF151" s="449"/>
      <c r="AG151" s="449"/>
      <c r="AH151" s="449"/>
      <c r="AI151" s="449"/>
      <c r="AJ151" s="449"/>
      <c r="AK151" s="449"/>
      <c r="AL151" s="449"/>
      <c r="AM151" s="449"/>
      <c r="AN151" s="449"/>
      <c r="AO151" s="449"/>
      <c r="AP151" s="449"/>
      <c r="AQ151" s="449"/>
      <c r="AR151" s="449"/>
      <c r="AS151" s="449"/>
      <c r="AT151" s="449"/>
      <c r="AU151" s="449"/>
      <c r="AV151" s="449"/>
      <c r="AW151" s="449"/>
      <c r="AX151" s="449"/>
      <c r="AY151" s="449"/>
      <c r="AZ151" s="449"/>
      <c r="BA151" s="449"/>
      <c r="BB151" s="449"/>
      <c r="BC151" s="449"/>
      <c r="BD151" s="449"/>
      <c r="BE151" s="449"/>
      <c r="BF151" s="449"/>
      <c r="BG151" s="449"/>
      <c r="BH151" s="449"/>
      <c r="BI151" s="449"/>
      <c r="BJ151" s="449"/>
      <c r="BK151" s="449"/>
      <c r="BL151" s="449"/>
      <c r="BM151" s="449"/>
      <c r="BN151" s="449"/>
      <c r="BO151" s="449"/>
      <c r="BP151" s="449"/>
      <c r="BQ151" s="449"/>
      <c r="BR151" s="449"/>
      <c r="BS151" s="449"/>
      <c r="BT151" s="449"/>
      <c r="BU151" s="449"/>
      <c r="BV151" s="449"/>
      <c r="BW151" s="449"/>
      <c r="BX151" s="449"/>
      <c r="BY151" s="449"/>
      <c r="BZ151" s="449"/>
      <c r="CA151" s="449"/>
      <c r="CB151" s="449"/>
      <c r="CC151" s="449"/>
      <c r="CD151" s="449"/>
      <c r="CE151" s="449"/>
      <c r="CF151" s="449"/>
      <c r="CG151" s="449"/>
      <c r="CH151" s="449"/>
      <c r="CI151" s="449"/>
      <c r="CJ151" s="449"/>
      <c r="CK151" s="449"/>
      <c r="CL151" s="449"/>
      <c r="CM151" s="449"/>
      <c r="CN151" s="449"/>
      <c r="CO151" s="449"/>
      <c r="CP151" s="449"/>
      <c r="CQ151" s="449"/>
      <c r="CR151" s="449"/>
      <c r="CS151" s="449"/>
      <c r="CT151" s="449"/>
      <c r="CU151" s="449"/>
      <c r="CV151" s="449"/>
      <c r="CW151" s="449"/>
      <c r="CX151" s="449"/>
      <c r="CY151" s="449"/>
      <c r="CZ151" s="449"/>
      <c r="DA151" s="449"/>
      <c r="DB151" s="449"/>
      <c r="DC151" s="449"/>
      <c r="DD151" s="449"/>
      <c r="DE151" s="449"/>
      <c r="DF151" s="449"/>
      <c r="DG151" s="449"/>
      <c r="DH151" s="449"/>
      <c r="DI151" s="449"/>
      <c r="DJ151" s="449"/>
      <c r="DK151" s="449"/>
      <c r="DL151" s="449"/>
      <c r="DM151" s="449"/>
      <c r="DN151" s="449"/>
      <c r="DO151" s="449"/>
      <c r="DP151" s="449"/>
      <c r="DQ151" s="449"/>
      <c r="DR151" s="449"/>
      <c r="DS151" s="449"/>
      <c r="DT151" s="449"/>
      <c r="DU151" s="449"/>
      <c r="DV151" s="449"/>
      <c r="DW151" s="449"/>
      <c r="DX151" s="449"/>
      <c r="DY151" s="449"/>
      <c r="DZ151" s="449"/>
      <c r="EA151" s="449"/>
      <c r="EB151" s="449"/>
      <c r="EC151" s="449"/>
      <c r="ED151" s="449"/>
      <c r="EE151" s="449"/>
      <c r="EF151" s="449"/>
      <c r="EG151" s="449"/>
      <c r="EH151" s="449"/>
      <c r="EI151" s="449"/>
      <c r="EJ151" s="449"/>
      <c r="EK151" s="449"/>
      <c r="EL151" s="449"/>
      <c r="EM151" s="449"/>
      <c r="EN151" s="449"/>
      <c r="EO151" s="449"/>
      <c r="EP151" s="449"/>
      <c r="EQ151" s="449"/>
      <c r="ER151" s="449"/>
      <c r="ES151" s="449"/>
      <c r="ET151" s="449"/>
      <c r="EU151" s="449"/>
      <c r="EV151" s="449"/>
      <c r="EW151" s="449"/>
      <c r="EX151" s="449"/>
      <c r="EY151" s="449"/>
      <c r="EZ151" s="449"/>
      <c r="FA151" s="449"/>
      <c r="FB151" s="449"/>
      <c r="FC151" s="449"/>
      <c r="FD151" s="449"/>
      <c r="FE151" s="449"/>
      <c r="FF151" s="449"/>
      <c r="FG151" s="449"/>
      <c r="FH151" s="449"/>
      <c r="FI151" s="449"/>
      <c r="FJ151" s="449"/>
      <c r="FK151" s="449"/>
      <c r="FL151" s="449"/>
      <c r="FM151" s="449"/>
      <c r="FN151" s="449"/>
      <c r="FO151" s="449"/>
      <c r="FP151" s="449"/>
      <c r="FQ151" s="449"/>
      <c r="FR151" s="449"/>
      <c r="FS151" s="449"/>
      <c r="FT151" s="449"/>
      <c r="FU151" s="449"/>
      <c r="FV151" s="449"/>
      <c r="FW151" s="449"/>
      <c r="FX151" s="449"/>
      <c r="FY151" s="449"/>
      <c r="FZ151" s="449"/>
      <c r="GA151" s="449"/>
      <c r="GB151" s="449"/>
      <c r="GC151" s="449"/>
      <c r="GD151" s="449"/>
      <c r="GE151" s="449"/>
      <c r="GF151" s="449"/>
      <c r="GG151" s="449"/>
      <c r="GH151" s="449"/>
      <c r="GI151" s="449"/>
      <c r="GJ151" s="449"/>
      <c r="GK151" s="449"/>
      <c r="GL151" s="449"/>
      <c r="GM151" s="449"/>
      <c r="GN151" s="449"/>
      <c r="GO151" s="449"/>
      <c r="GP151" s="449"/>
      <c r="GQ151" s="449"/>
      <c r="GR151" s="449"/>
      <c r="GS151" s="449"/>
      <c r="GT151" s="449"/>
      <c r="GU151" s="449"/>
      <c r="GV151" s="449"/>
      <c r="GW151" s="449"/>
      <c r="GX151" s="449"/>
      <c r="GY151" s="449"/>
      <c r="GZ151" s="449"/>
      <c r="HA151" s="449"/>
      <c r="HB151" s="449"/>
      <c r="HC151" s="449"/>
      <c r="HD151" s="449"/>
      <c r="HE151" s="449"/>
      <c r="HF151" s="449"/>
      <c r="HG151" s="449"/>
      <c r="HH151" s="449"/>
      <c r="HI151" s="449"/>
      <c r="HJ151" s="449"/>
      <c r="HK151" s="449"/>
      <c r="HL151" s="449"/>
      <c r="HM151" s="449"/>
      <c r="HN151" s="449"/>
      <c r="HO151" s="449"/>
      <c r="HP151" s="449"/>
      <c r="HQ151" s="449"/>
      <c r="HR151" s="449"/>
      <c r="HS151" s="449"/>
      <c r="HT151" s="449"/>
      <c r="HU151" s="449"/>
      <c r="HV151" s="449"/>
      <c r="HW151" s="449"/>
      <c r="HX151" s="449"/>
      <c r="HY151" s="449"/>
      <c r="HZ151" s="449"/>
      <c r="IA151" s="449"/>
      <c r="IB151" s="449"/>
      <c r="IC151" s="449"/>
      <c r="ID151" s="449"/>
      <c r="IE151" s="449"/>
      <c r="IF151" s="449"/>
      <c r="IG151" s="449"/>
      <c r="IH151" s="449"/>
      <c r="II151" s="449"/>
      <c r="IJ151" s="449"/>
      <c r="IK151" s="449"/>
      <c r="IL151" s="449"/>
      <c r="IM151" s="449"/>
      <c r="IN151" s="449"/>
      <c r="IO151" s="449"/>
      <c r="IP151" s="449"/>
      <c r="IQ151" s="449"/>
      <c r="IR151" s="449"/>
      <c r="IS151" s="449"/>
      <c r="IT151" s="449"/>
      <c r="IU151" s="449"/>
      <c r="IV151" s="449"/>
      <c r="IW151" s="449"/>
      <c r="IX151" s="449"/>
      <c r="IY151" s="449"/>
    </row>
    <row r="152" spans="3:259" s="379" customFormat="1" ht="12.75" x14ac:dyDescent="0.2">
      <c r="C152" s="392" t="s">
        <v>1105</v>
      </c>
      <c r="D152" s="393" t="s">
        <v>877</v>
      </c>
      <c r="E152" s="410" t="s">
        <v>1106</v>
      </c>
      <c r="F152" s="410"/>
      <c r="G152" s="393">
        <v>1000</v>
      </c>
      <c r="H152" s="393">
        <v>260</v>
      </c>
      <c r="I152" s="393">
        <v>310</v>
      </c>
      <c r="J152" s="393">
        <v>32.840000000000003</v>
      </c>
      <c r="K152" s="452">
        <v>6611</v>
      </c>
      <c r="L152" s="452"/>
      <c r="M152" s="453">
        <f>K152*0.7</f>
        <v>4627.7</v>
      </c>
      <c r="N152" s="449"/>
      <c r="O152" s="449"/>
      <c r="P152" s="449"/>
      <c r="Q152" s="449"/>
      <c r="R152" s="449"/>
      <c r="S152" s="449"/>
      <c r="T152" s="449"/>
      <c r="U152" s="449"/>
      <c r="V152" s="449"/>
      <c r="W152" s="449"/>
      <c r="X152" s="449"/>
      <c r="Y152" s="449"/>
      <c r="Z152" s="449"/>
      <c r="AA152" s="449"/>
      <c r="AB152" s="449"/>
      <c r="AC152" s="449"/>
      <c r="AD152" s="449"/>
      <c r="AE152" s="449"/>
      <c r="AF152" s="449"/>
      <c r="AG152" s="449"/>
      <c r="AH152" s="449"/>
      <c r="AI152" s="449"/>
      <c r="AJ152" s="449"/>
      <c r="AK152" s="449"/>
      <c r="AL152" s="449"/>
      <c r="AM152" s="449"/>
      <c r="AN152" s="449"/>
      <c r="AO152" s="449"/>
      <c r="AP152" s="449"/>
      <c r="AQ152" s="449"/>
      <c r="AR152" s="449"/>
      <c r="AS152" s="449"/>
      <c r="AT152" s="449"/>
      <c r="AU152" s="449"/>
      <c r="AV152" s="449"/>
      <c r="AW152" s="449"/>
      <c r="AX152" s="449"/>
      <c r="AY152" s="449"/>
      <c r="AZ152" s="449"/>
      <c r="BA152" s="449"/>
      <c r="BB152" s="449"/>
      <c r="BC152" s="449"/>
      <c r="BD152" s="449"/>
      <c r="BE152" s="449"/>
      <c r="BF152" s="449"/>
      <c r="BG152" s="449"/>
      <c r="BH152" s="449"/>
      <c r="BI152" s="449"/>
      <c r="BJ152" s="449"/>
      <c r="BK152" s="449"/>
      <c r="BL152" s="449"/>
      <c r="BM152" s="449"/>
      <c r="BN152" s="449"/>
      <c r="BO152" s="449"/>
      <c r="BP152" s="449"/>
      <c r="BQ152" s="449"/>
      <c r="BR152" s="449"/>
      <c r="BS152" s="449"/>
      <c r="BT152" s="449"/>
      <c r="BU152" s="449"/>
      <c r="BV152" s="449"/>
      <c r="BW152" s="449"/>
      <c r="BX152" s="449"/>
      <c r="BY152" s="449"/>
      <c r="BZ152" s="449"/>
      <c r="CA152" s="449"/>
      <c r="CB152" s="449"/>
      <c r="CC152" s="449"/>
      <c r="CD152" s="449"/>
      <c r="CE152" s="449"/>
      <c r="CF152" s="449"/>
      <c r="CG152" s="449"/>
      <c r="CH152" s="449"/>
      <c r="CI152" s="449"/>
      <c r="CJ152" s="449"/>
      <c r="CK152" s="449"/>
      <c r="CL152" s="449"/>
      <c r="CM152" s="449"/>
      <c r="CN152" s="449"/>
      <c r="CO152" s="449"/>
      <c r="CP152" s="449"/>
      <c r="CQ152" s="449"/>
      <c r="CR152" s="449"/>
      <c r="CS152" s="449"/>
      <c r="CT152" s="449"/>
      <c r="CU152" s="449"/>
      <c r="CV152" s="449"/>
      <c r="CW152" s="449"/>
      <c r="CX152" s="449"/>
      <c r="CY152" s="449"/>
      <c r="CZ152" s="449"/>
      <c r="DA152" s="449"/>
      <c r="DB152" s="449"/>
      <c r="DC152" s="449"/>
      <c r="DD152" s="449"/>
      <c r="DE152" s="449"/>
      <c r="DF152" s="449"/>
      <c r="DG152" s="449"/>
      <c r="DH152" s="449"/>
      <c r="DI152" s="449"/>
      <c r="DJ152" s="449"/>
      <c r="DK152" s="449"/>
      <c r="DL152" s="449"/>
      <c r="DM152" s="449"/>
      <c r="DN152" s="449"/>
      <c r="DO152" s="449"/>
      <c r="DP152" s="449"/>
      <c r="DQ152" s="449"/>
      <c r="DR152" s="449"/>
      <c r="DS152" s="449"/>
      <c r="DT152" s="449"/>
      <c r="DU152" s="449"/>
      <c r="DV152" s="449"/>
      <c r="DW152" s="449"/>
      <c r="DX152" s="449"/>
      <c r="DY152" s="449"/>
      <c r="DZ152" s="449"/>
      <c r="EA152" s="449"/>
      <c r="EB152" s="449"/>
      <c r="EC152" s="449"/>
      <c r="ED152" s="449"/>
      <c r="EE152" s="449"/>
      <c r="EF152" s="449"/>
      <c r="EG152" s="449"/>
      <c r="EH152" s="449"/>
      <c r="EI152" s="449"/>
      <c r="EJ152" s="449"/>
      <c r="EK152" s="449"/>
      <c r="EL152" s="449"/>
      <c r="EM152" s="449"/>
      <c r="EN152" s="449"/>
      <c r="EO152" s="449"/>
      <c r="EP152" s="449"/>
      <c r="EQ152" s="449"/>
      <c r="ER152" s="449"/>
      <c r="ES152" s="449"/>
      <c r="ET152" s="449"/>
      <c r="EU152" s="449"/>
      <c r="EV152" s="449"/>
      <c r="EW152" s="449"/>
      <c r="EX152" s="449"/>
      <c r="EY152" s="449"/>
      <c r="EZ152" s="449"/>
      <c r="FA152" s="449"/>
      <c r="FB152" s="449"/>
      <c r="FC152" s="449"/>
      <c r="FD152" s="449"/>
      <c r="FE152" s="449"/>
      <c r="FF152" s="449"/>
      <c r="FG152" s="449"/>
      <c r="FH152" s="449"/>
      <c r="FI152" s="449"/>
      <c r="FJ152" s="449"/>
      <c r="FK152" s="449"/>
      <c r="FL152" s="449"/>
      <c r="FM152" s="449"/>
      <c r="FN152" s="449"/>
      <c r="FO152" s="449"/>
      <c r="FP152" s="449"/>
      <c r="FQ152" s="449"/>
      <c r="FR152" s="449"/>
      <c r="FS152" s="449"/>
      <c r="FT152" s="449"/>
      <c r="FU152" s="449"/>
      <c r="FV152" s="449"/>
      <c r="FW152" s="449"/>
      <c r="FX152" s="449"/>
      <c r="FY152" s="449"/>
      <c r="FZ152" s="449"/>
      <c r="GA152" s="449"/>
      <c r="GB152" s="449"/>
      <c r="GC152" s="449"/>
      <c r="GD152" s="449"/>
      <c r="GE152" s="449"/>
      <c r="GF152" s="449"/>
      <c r="GG152" s="449"/>
      <c r="GH152" s="449"/>
      <c r="GI152" s="449"/>
      <c r="GJ152" s="449"/>
      <c r="GK152" s="449"/>
      <c r="GL152" s="449"/>
      <c r="GM152" s="449"/>
      <c r="GN152" s="449"/>
      <c r="GO152" s="449"/>
      <c r="GP152" s="449"/>
      <c r="GQ152" s="449"/>
      <c r="GR152" s="449"/>
      <c r="GS152" s="449"/>
      <c r="GT152" s="449"/>
      <c r="GU152" s="449"/>
      <c r="GV152" s="449"/>
      <c r="GW152" s="449"/>
      <c r="GX152" s="449"/>
      <c r="GY152" s="449"/>
      <c r="GZ152" s="449"/>
      <c r="HA152" s="449"/>
      <c r="HB152" s="449"/>
      <c r="HC152" s="449"/>
      <c r="HD152" s="449"/>
      <c r="HE152" s="449"/>
      <c r="HF152" s="449"/>
      <c r="HG152" s="449"/>
      <c r="HH152" s="449"/>
      <c r="HI152" s="449"/>
      <c r="HJ152" s="449"/>
      <c r="HK152" s="449"/>
      <c r="HL152" s="449"/>
      <c r="HM152" s="449"/>
      <c r="HN152" s="449"/>
      <c r="HO152" s="449"/>
      <c r="HP152" s="449"/>
      <c r="HQ152" s="449"/>
      <c r="HR152" s="449"/>
      <c r="HS152" s="449"/>
      <c r="HT152" s="449"/>
      <c r="HU152" s="449"/>
      <c r="HV152" s="449"/>
      <c r="HW152" s="449"/>
      <c r="HX152" s="449"/>
      <c r="HY152" s="449"/>
      <c r="HZ152" s="449"/>
      <c r="IA152" s="449"/>
      <c r="IB152" s="449"/>
      <c r="IC152" s="449"/>
      <c r="ID152" s="449"/>
      <c r="IE152" s="449"/>
      <c r="IF152" s="449"/>
      <c r="IG152" s="449"/>
      <c r="IH152" s="449"/>
      <c r="II152" s="449"/>
      <c r="IJ152" s="449"/>
      <c r="IK152" s="449"/>
      <c r="IL152" s="449"/>
      <c r="IM152" s="449"/>
      <c r="IN152" s="449"/>
      <c r="IO152" s="449"/>
      <c r="IP152" s="449"/>
      <c r="IQ152" s="449"/>
      <c r="IR152" s="449"/>
      <c r="IS152" s="449"/>
      <c r="IT152" s="449"/>
      <c r="IU152" s="449"/>
      <c r="IV152" s="449"/>
      <c r="IW152" s="449"/>
      <c r="IX152" s="449"/>
      <c r="IY152" s="449"/>
    </row>
    <row r="153" spans="3:259" s="379" customFormat="1" ht="12.75" x14ac:dyDescent="0.2">
      <c r="C153" s="392" t="s">
        <v>1107</v>
      </c>
      <c r="D153" s="393" t="s">
        <v>877</v>
      </c>
      <c r="E153" s="410" t="s">
        <v>1108</v>
      </c>
      <c r="F153" s="410"/>
      <c r="G153" s="393">
        <v>1000</v>
      </c>
      <c r="H153" s="393">
        <v>260</v>
      </c>
      <c r="I153" s="393">
        <v>360</v>
      </c>
      <c r="J153" s="393">
        <v>37.590000000000003</v>
      </c>
      <c r="K153" s="452">
        <v>7325</v>
      </c>
      <c r="L153" s="452"/>
      <c r="M153" s="453">
        <f>K153*0.7</f>
        <v>5127.5</v>
      </c>
      <c r="N153" s="449"/>
      <c r="O153" s="449"/>
      <c r="P153" s="449"/>
      <c r="Q153" s="449"/>
      <c r="R153" s="449"/>
      <c r="S153" s="449"/>
      <c r="T153" s="449"/>
      <c r="U153" s="449"/>
      <c r="V153" s="449"/>
      <c r="W153" s="449"/>
      <c r="X153" s="449"/>
      <c r="Y153" s="449"/>
      <c r="Z153" s="449"/>
      <c r="AA153" s="449"/>
      <c r="AB153" s="449"/>
      <c r="AC153" s="449"/>
      <c r="AD153" s="449"/>
      <c r="AE153" s="449"/>
      <c r="AF153" s="449"/>
      <c r="AG153" s="449"/>
      <c r="AH153" s="449"/>
      <c r="AI153" s="449"/>
      <c r="AJ153" s="449"/>
      <c r="AK153" s="449"/>
      <c r="AL153" s="449"/>
      <c r="AM153" s="449"/>
      <c r="AN153" s="449"/>
      <c r="AO153" s="449"/>
      <c r="AP153" s="449"/>
      <c r="AQ153" s="449"/>
      <c r="AR153" s="449"/>
      <c r="AS153" s="449"/>
      <c r="AT153" s="449"/>
      <c r="AU153" s="449"/>
      <c r="AV153" s="449"/>
      <c r="AW153" s="449"/>
      <c r="AX153" s="449"/>
      <c r="AY153" s="449"/>
      <c r="AZ153" s="449"/>
      <c r="BA153" s="449"/>
      <c r="BB153" s="449"/>
      <c r="BC153" s="449"/>
      <c r="BD153" s="449"/>
      <c r="BE153" s="449"/>
      <c r="BF153" s="449"/>
      <c r="BG153" s="449"/>
      <c r="BH153" s="449"/>
      <c r="BI153" s="449"/>
      <c r="BJ153" s="449"/>
      <c r="BK153" s="449"/>
      <c r="BL153" s="449"/>
      <c r="BM153" s="449"/>
      <c r="BN153" s="449"/>
      <c r="BO153" s="449"/>
      <c r="BP153" s="449"/>
      <c r="BQ153" s="449"/>
      <c r="BR153" s="449"/>
      <c r="BS153" s="449"/>
      <c r="BT153" s="449"/>
      <c r="BU153" s="449"/>
      <c r="BV153" s="449"/>
      <c r="BW153" s="449"/>
      <c r="BX153" s="449"/>
      <c r="BY153" s="449"/>
      <c r="BZ153" s="449"/>
      <c r="CA153" s="449"/>
      <c r="CB153" s="449"/>
      <c r="CC153" s="449"/>
      <c r="CD153" s="449"/>
      <c r="CE153" s="449"/>
      <c r="CF153" s="449"/>
      <c r="CG153" s="449"/>
      <c r="CH153" s="449"/>
      <c r="CI153" s="449"/>
      <c r="CJ153" s="449"/>
      <c r="CK153" s="449"/>
      <c r="CL153" s="449"/>
      <c r="CM153" s="449"/>
      <c r="CN153" s="449"/>
      <c r="CO153" s="449"/>
      <c r="CP153" s="449"/>
      <c r="CQ153" s="449"/>
      <c r="CR153" s="449"/>
      <c r="CS153" s="449"/>
      <c r="CT153" s="449"/>
      <c r="CU153" s="449"/>
      <c r="CV153" s="449"/>
      <c r="CW153" s="449"/>
      <c r="CX153" s="449"/>
      <c r="CY153" s="449"/>
      <c r="CZ153" s="449"/>
      <c r="DA153" s="449"/>
      <c r="DB153" s="449"/>
      <c r="DC153" s="449"/>
      <c r="DD153" s="449"/>
      <c r="DE153" s="449"/>
      <c r="DF153" s="449"/>
      <c r="DG153" s="449"/>
      <c r="DH153" s="449"/>
      <c r="DI153" s="449"/>
      <c r="DJ153" s="449"/>
      <c r="DK153" s="449"/>
      <c r="DL153" s="449"/>
      <c r="DM153" s="449"/>
      <c r="DN153" s="449"/>
      <c r="DO153" s="449"/>
      <c r="DP153" s="449"/>
      <c r="DQ153" s="449"/>
      <c r="DR153" s="449"/>
      <c r="DS153" s="449"/>
      <c r="DT153" s="449"/>
      <c r="DU153" s="449"/>
      <c r="DV153" s="449"/>
      <c r="DW153" s="449"/>
      <c r="DX153" s="449"/>
      <c r="DY153" s="449"/>
      <c r="DZ153" s="449"/>
      <c r="EA153" s="449"/>
      <c r="EB153" s="449"/>
      <c r="EC153" s="449"/>
      <c r="ED153" s="449"/>
      <c r="EE153" s="449"/>
      <c r="EF153" s="449"/>
      <c r="EG153" s="449"/>
      <c r="EH153" s="449"/>
      <c r="EI153" s="449"/>
      <c r="EJ153" s="449"/>
      <c r="EK153" s="449"/>
      <c r="EL153" s="449"/>
      <c r="EM153" s="449"/>
      <c r="EN153" s="449"/>
      <c r="EO153" s="449"/>
      <c r="EP153" s="449"/>
      <c r="EQ153" s="449"/>
      <c r="ER153" s="449"/>
      <c r="ES153" s="449"/>
      <c r="ET153" s="449"/>
      <c r="EU153" s="449"/>
      <c r="EV153" s="449"/>
      <c r="EW153" s="449"/>
      <c r="EX153" s="449"/>
      <c r="EY153" s="449"/>
      <c r="EZ153" s="449"/>
      <c r="FA153" s="449"/>
      <c r="FB153" s="449"/>
      <c r="FC153" s="449"/>
      <c r="FD153" s="449"/>
      <c r="FE153" s="449"/>
      <c r="FF153" s="449"/>
      <c r="FG153" s="449"/>
      <c r="FH153" s="449"/>
      <c r="FI153" s="449"/>
      <c r="FJ153" s="449"/>
      <c r="FK153" s="449"/>
      <c r="FL153" s="449"/>
      <c r="FM153" s="449"/>
      <c r="FN153" s="449"/>
      <c r="FO153" s="449"/>
      <c r="FP153" s="449"/>
      <c r="FQ153" s="449"/>
      <c r="FR153" s="449"/>
      <c r="FS153" s="449"/>
      <c r="FT153" s="449"/>
      <c r="FU153" s="449"/>
      <c r="FV153" s="449"/>
      <c r="FW153" s="449"/>
      <c r="FX153" s="449"/>
      <c r="FY153" s="449"/>
      <c r="FZ153" s="449"/>
      <c r="GA153" s="449"/>
      <c r="GB153" s="449"/>
      <c r="GC153" s="449"/>
      <c r="GD153" s="449"/>
      <c r="GE153" s="449"/>
      <c r="GF153" s="449"/>
      <c r="GG153" s="449"/>
      <c r="GH153" s="449"/>
      <c r="GI153" s="449"/>
      <c r="GJ153" s="449"/>
      <c r="GK153" s="449"/>
      <c r="GL153" s="449"/>
      <c r="GM153" s="449"/>
      <c r="GN153" s="449"/>
      <c r="GO153" s="449"/>
      <c r="GP153" s="449"/>
      <c r="GQ153" s="449"/>
      <c r="GR153" s="449"/>
      <c r="GS153" s="449"/>
      <c r="GT153" s="449"/>
      <c r="GU153" s="449"/>
      <c r="GV153" s="449"/>
      <c r="GW153" s="449"/>
      <c r="GX153" s="449"/>
      <c r="GY153" s="449"/>
      <c r="GZ153" s="449"/>
      <c r="HA153" s="449"/>
      <c r="HB153" s="449"/>
      <c r="HC153" s="449"/>
      <c r="HD153" s="449"/>
      <c r="HE153" s="449"/>
      <c r="HF153" s="449"/>
      <c r="HG153" s="449"/>
      <c r="HH153" s="449"/>
      <c r="HI153" s="449"/>
      <c r="HJ153" s="449"/>
      <c r="HK153" s="449"/>
      <c r="HL153" s="449"/>
      <c r="HM153" s="449"/>
      <c r="HN153" s="449"/>
      <c r="HO153" s="449"/>
      <c r="HP153" s="449"/>
      <c r="HQ153" s="449"/>
      <c r="HR153" s="449"/>
      <c r="HS153" s="449"/>
      <c r="HT153" s="449"/>
      <c r="HU153" s="449"/>
      <c r="HV153" s="449"/>
      <c r="HW153" s="449"/>
      <c r="HX153" s="449"/>
      <c r="HY153" s="449"/>
      <c r="HZ153" s="449"/>
      <c r="IA153" s="449"/>
      <c r="IB153" s="449"/>
      <c r="IC153" s="449"/>
      <c r="ID153" s="449"/>
      <c r="IE153" s="449"/>
      <c r="IF153" s="449"/>
      <c r="IG153" s="449"/>
      <c r="IH153" s="449"/>
      <c r="II153" s="449"/>
      <c r="IJ153" s="449"/>
      <c r="IK153" s="449"/>
      <c r="IL153" s="449"/>
      <c r="IM153" s="449"/>
      <c r="IN153" s="449"/>
      <c r="IO153" s="449"/>
      <c r="IP153" s="449"/>
      <c r="IQ153" s="449"/>
      <c r="IR153" s="449"/>
      <c r="IS153" s="449"/>
      <c r="IT153" s="449"/>
      <c r="IU153" s="449"/>
      <c r="IV153" s="449"/>
      <c r="IW153" s="449"/>
      <c r="IX153" s="449"/>
      <c r="IY153" s="449"/>
    </row>
    <row r="154" spans="3:259" s="379" customFormat="1" ht="12.75" x14ac:dyDescent="0.2">
      <c r="C154" s="392" t="s">
        <v>1109</v>
      </c>
      <c r="D154" s="393" t="s">
        <v>877</v>
      </c>
      <c r="E154" s="410" t="s">
        <v>1110</v>
      </c>
      <c r="F154" s="410"/>
      <c r="G154" s="393">
        <v>500</v>
      </c>
      <c r="H154" s="393">
        <v>260</v>
      </c>
      <c r="I154" s="393">
        <v>600</v>
      </c>
      <c r="J154" s="393">
        <v>33.880000000000003</v>
      </c>
      <c r="K154" s="452">
        <v>7483</v>
      </c>
      <c r="L154" s="452"/>
      <c r="M154" s="453">
        <f>K154*0.7</f>
        <v>5238.0999999999995</v>
      </c>
      <c r="N154" s="449"/>
      <c r="O154" s="449"/>
      <c r="P154" s="449"/>
      <c r="Q154" s="449"/>
      <c r="R154" s="449"/>
      <c r="S154" s="449"/>
      <c r="T154" s="449"/>
      <c r="U154" s="449"/>
      <c r="V154" s="449"/>
      <c r="W154" s="449"/>
      <c r="X154" s="449"/>
      <c r="Y154" s="449"/>
      <c r="Z154" s="449"/>
      <c r="AA154" s="449"/>
      <c r="AB154" s="449"/>
      <c r="AC154" s="449"/>
      <c r="AD154" s="449"/>
      <c r="AE154" s="449"/>
      <c r="AF154" s="449"/>
      <c r="AG154" s="449"/>
      <c r="AH154" s="449"/>
      <c r="AI154" s="449"/>
      <c r="AJ154" s="449"/>
      <c r="AK154" s="449"/>
      <c r="AL154" s="449"/>
      <c r="AM154" s="449"/>
      <c r="AN154" s="449"/>
      <c r="AO154" s="449"/>
      <c r="AP154" s="449"/>
      <c r="AQ154" s="449"/>
      <c r="AR154" s="449"/>
      <c r="AS154" s="449"/>
      <c r="AT154" s="449"/>
      <c r="AU154" s="449"/>
      <c r="AV154" s="449"/>
      <c r="AW154" s="449"/>
      <c r="AX154" s="449"/>
      <c r="AY154" s="449"/>
      <c r="AZ154" s="449"/>
      <c r="BA154" s="449"/>
      <c r="BB154" s="449"/>
      <c r="BC154" s="449"/>
      <c r="BD154" s="449"/>
      <c r="BE154" s="449"/>
      <c r="BF154" s="449"/>
      <c r="BG154" s="449"/>
      <c r="BH154" s="449"/>
      <c r="BI154" s="449"/>
      <c r="BJ154" s="449"/>
      <c r="BK154" s="449"/>
      <c r="BL154" s="449"/>
      <c r="BM154" s="449"/>
      <c r="BN154" s="449"/>
      <c r="BO154" s="449"/>
      <c r="BP154" s="449"/>
      <c r="BQ154" s="449"/>
      <c r="BR154" s="449"/>
      <c r="BS154" s="449"/>
      <c r="BT154" s="449"/>
      <c r="BU154" s="449"/>
      <c r="BV154" s="449"/>
      <c r="BW154" s="449"/>
      <c r="BX154" s="449"/>
      <c r="BY154" s="449"/>
      <c r="BZ154" s="449"/>
      <c r="CA154" s="449"/>
      <c r="CB154" s="449"/>
      <c r="CC154" s="449"/>
      <c r="CD154" s="449"/>
      <c r="CE154" s="449"/>
      <c r="CF154" s="449"/>
      <c r="CG154" s="449"/>
      <c r="CH154" s="449"/>
      <c r="CI154" s="449"/>
      <c r="CJ154" s="449"/>
      <c r="CK154" s="449"/>
      <c r="CL154" s="449"/>
      <c r="CM154" s="449"/>
      <c r="CN154" s="449"/>
      <c r="CO154" s="449"/>
      <c r="CP154" s="449"/>
      <c r="CQ154" s="449"/>
      <c r="CR154" s="449"/>
      <c r="CS154" s="449"/>
      <c r="CT154" s="449"/>
      <c r="CU154" s="449"/>
      <c r="CV154" s="449"/>
      <c r="CW154" s="449"/>
      <c r="CX154" s="449"/>
      <c r="CY154" s="449"/>
      <c r="CZ154" s="449"/>
      <c r="DA154" s="449"/>
      <c r="DB154" s="449"/>
      <c r="DC154" s="449"/>
      <c r="DD154" s="449"/>
      <c r="DE154" s="449"/>
      <c r="DF154" s="449"/>
      <c r="DG154" s="449"/>
      <c r="DH154" s="449"/>
      <c r="DI154" s="449"/>
      <c r="DJ154" s="449"/>
      <c r="DK154" s="449"/>
      <c r="DL154" s="449"/>
      <c r="DM154" s="449"/>
      <c r="DN154" s="449"/>
      <c r="DO154" s="449"/>
      <c r="DP154" s="449"/>
      <c r="DQ154" s="449"/>
      <c r="DR154" s="449"/>
      <c r="DS154" s="449"/>
      <c r="DT154" s="449"/>
      <c r="DU154" s="449"/>
      <c r="DV154" s="449"/>
      <c r="DW154" s="449"/>
      <c r="DX154" s="449"/>
      <c r="DY154" s="449"/>
      <c r="DZ154" s="449"/>
      <c r="EA154" s="449"/>
      <c r="EB154" s="449"/>
      <c r="EC154" s="449"/>
      <c r="ED154" s="449"/>
      <c r="EE154" s="449"/>
      <c r="EF154" s="449"/>
      <c r="EG154" s="449"/>
      <c r="EH154" s="449"/>
      <c r="EI154" s="449"/>
      <c r="EJ154" s="449"/>
      <c r="EK154" s="449"/>
      <c r="EL154" s="449"/>
      <c r="EM154" s="449"/>
      <c r="EN154" s="449"/>
      <c r="EO154" s="449"/>
      <c r="EP154" s="449"/>
      <c r="EQ154" s="449"/>
      <c r="ER154" s="449"/>
      <c r="ES154" s="449"/>
      <c r="ET154" s="449"/>
      <c r="EU154" s="449"/>
      <c r="EV154" s="449"/>
      <c r="EW154" s="449"/>
      <c r="EX154" s="449"/>
      <c r="EY154" s="449"/>
      <c r="EZ154" s="449"/>
      <c r="FA154" s="449"/>
      <c r="FB154" s="449"/>
      <c r="FC154" s="449"/>
      <c r="FD154" s="449"/>
      <c r="FE154" s="449"/>
      <c r="FF154" s="449"/>
      <c r="FG154" s="449"/>
      <c r="FH154" s="449"/>
      <c r="FI154" s="449"/>
      <c r="FJ154" s="449"/>
      <c r="FK154" s="449"/>
      <c r="FL154" s="449"/>
      <c r="FM154" s="449"/>
      <c r="FN154" s="449"/>
      <c r="FO154" s="449"/>
      <c r="FP154" s="449"/>
      <c r="FQ154" s="449"/>
      <c r="FR154" s="449"/>
      <c r="FS154" s="449"/>
      <c r="FT154" s="449"/>
      <c r="FU154" s="449"/>
      <c r="FV154" s="449"/>
      <c r="FW154" s="449"/>
      <c r="FX154" s="449"/>
      <c r="FY154" s="449"/>
      <c r="FZ154" s="449"/>
      <c r="GA154" s="449"/>
      <c r="GB154" s="449"/>
      <c r="GC154" s="449"/>
      <c r="GD154" s="449"/>
      <c r="GE154" s="449"/>
      <c r="GF154" s="449"/>
      <c r="GG154" s="449"/>
      <c r="GH154" s="449"/>
      <c r="GI154" s="449"/>
      <c r="GJ154" s="449"/>
      <c r="GK154" s="449"/>
      <c r="GL154" s="449"/>
      <c r="GM154" s="449"/>
      <c r="GN154" s="449"/>
      <c r="GO154" s="449"/>
      <c r="GP154" s="449"/>
      <c r="GQ154" s="449"/>
      <c r="GR154" s="449"/>
      <c r="GS154" s="449"/>
      <c r="GT154" s="449"/>
      <c r="GU154" s="449"/>
      <c r="GV154" s="449"/>
      <c r="GW154" s="449"/>
      <c r="GX154" s="449"/>
      <c r="GY154" s="449"/>
      <c r="GZ154" s="449"/>
      <c r="HA154" s="449"/>
      <c r="HB154" s="449"/>
      <c r="HC154" s="449"/>
      <c r="HD154" s="449"/>
      <c r="HE154" s="449"/>
      <c r="HF154" s="449"/>
      <c r="HG154" s="449"/>
      <c r="HH154" s="449"/>
      <c r="HI154" s="449"/>
      <c r="HJ154" s="449"/>
      <c r="HK154" s="449"/>
      <c r="HL154" s="449"/>
      <c r="HM154" s="449"/>
      <c r="HN154" s="449"/>
      <c r="HO154" s="449"/>
      <c r="HP154" s="449"/>
      <c r="HQ154" s="449"/>
      <c r="HR154" s="449"/>
      <c r="HS154" s="449"/>
      <c r="HT154" s="449"/>
      <c r="HU154" s="449"/>
      <c r="HV154" s="449"/>
      <c r="HW154" s="449"/>
      <c r="HX154" s="449"/>
      <c r="HY154" s="449"/>
      <c r="HZ154" s="449"/>
      <c r="IA154" s="449"/>
      <c r="IB154" s="449"/>
      <c r="IC154" s="449"/>
      <c r="ID154" s="449"/>
      <c r="IE154" s="449"/>
      <c r="IF154" s="449"/>
      <c r="IG154" s="449"/>
      <c r="IH154" s="449"/>
      <c r="II154" s="449"/>
      <c r="IJ154" s="449"/>
      <c r="IK154" s="449"/>
      <c r="IL154" s="449"/>
      <c r="IM154" s="449"/>
      <c r="IN154" s="449"/>
      <c r="IO154" s="449"/>
      <c r="IP154" s="449"/>
      <c r="IQ154" s="449"/>
      <c r="IR154" s="449"/>
      <c r="IS154" s="449"/>
      <c r="IT154" s="449"/>
      <c r="IU154" s="449"/>
      <c r="IV154" s="449"/>
      <c r="IW154" s="449"/>
      <c r="IX154" s="449"/>
      <c r="IY154" s="449"/>
    </row>
    <row r="155" spans="3:259" s="379" customFormat="1" ht="12.75" x14ac:dyDescent="0.2">
      <c r="C155" s="388" t="s">
        <v>1111</v>
      </c>
      <c r="D155" s="389"/>
      <c r="E155" s="389"/>
      <c r="F155" s="389"/>
      <c r="G155" s="389"/>
      <c r="H155" s="389"/>
      <c r="I155" s="389"/>
      <c r="J155" s="389"/>
      <c r="K155" s="390"/>
      <c r="L155" s="390"/>
      <c r="M155" s="391" t="str">
        <f>IFERROR(K155/#REF!-1,"")</f>
        <v/>
      </c>
      <c r="N155" s="449"/>
      <c r="O155" s="449"/>
      <c r="P155" s="449"/>
      <c r="Q155" s="449"/>
      <c r="R155" s="449"/>
      <c r="S155" s="449"/>
      <c r="T155" s="449"/>
      <c r="U155" s="449"/>
      <c r="V155" s="449"/>
      <c r="W155" s="449"/>
      <c r="X155" s="449"/>
      <c r="Y155" s="449"/>
      <c r="Z155" s="449"/>
      <c r="AA155" s="449"/>
      <c r="AB155" s="449"/>
      <c r="AC155" s="449"/>
      <c r="AD155" s="449"/>
      <c r="AE155" s="449"/>
      <c r="AF155" s="449"/>
      <c r="AG155" s="449"/>
      <c r="AH155" s="449"/>
      <c r="AI155" s="449"/>
      <c r="AJ155" s="449"/>
      <c r="AK155" s="449"/>
      <c r="AL155" s="449"/>
      <c r="AM155" s="449"/>
      <c r="AN155" s="449"/>
      <c r="AO155" s="449"/>
      <c r="AP155" s="449"/>
      <c r="AQ155" s="449"/>
      <c r="AR155" s="449"/>
      <c r="AS155" s="449"/>
      <c r="AT155" s="449"/>
      <c r="AU155" s="449"/>
      <c r="AV155" s="449"/>
      <c r="AW155" s="449"/>
      <c r="AX155" s="449"/>
      <c r="AY155" s="449"/>
      <c r="AZ155" s="449"/>
      <c r="BA155" s="449"/>
      <c r="BB155" s="449"/>
      <c r="BC155" s="449"/>
      <c r="BD155" s="449"/>
      <c r="BE155" s="449"/>
      <c r="BF155" s="449"/>
      <c r="BG155" s="449"/>
      <c r="BH155" s="449"/>
      <c r="BI155" s="449"/>
      <c r="BJ155" s="449"/>
      <c r="BK155" s="449"/>
      <c r="BL155" s="449"/>
      <c r="BM155" s="449"/>
      <c r="BN155" s="449"/>
      <c r="BO155" s="449"/>
      <c r="BP155" s="449"/>
      <c r="BQ155" s="449"/>
      <c r="BR155" s="449"/>
      <c r="BS155" s="449"/>
      <c r="BT155" s="449"/>
      <c r="BU155" s="449"/>
      <c r="BV155" s="449"/>
      <c r="BW155" s="449"/>
      <c r="BX155" s="449"/>
      <c r="BY155" s="449"/>
      <c r="BZ155" s="449"/>
      <c r="CA155" s="449"/>
      <c r="CB155" s="449"/>
      <c r="CC155" s="449"/>
      <c r="CD155" s="449"/>
      <c r="CE155" s="449"/>
      <c r="CF155" s="449"/>
      <c r="CG155" s="449"/>
      <c r="CH155" s="449"/>
      <c r="CI155" s="449"/>
      <c r="CJ155" s="449"/>
      <c r="CK155" s="449"/>
      <c r="CL155" s="449"/>
      <c r="CM155" s="449"/>
      <c r="CN155" s="449"/>
      <c r="CO155" s="449"/>
      <c r="CP155" s="449"/>
      <c r="CQ155" s="449"/>
      <c r="CR155" s="449"/>
      <c r="CS155" s="449"/>
      <c r="CT155" s="449"/>
      <c r="CU155" s="449"/>
      <c r="CV155" s="449"/>
      <c r="CW155" s="449"/>
      <c r="CX155" s="449"/>
      <c r="CY155" s="449"/>
      <c r="CZ155" s="449"/>
      <c r="DA155" s="449"/>
      <c r="DB155" s="449"/>
      <c r="DC155" s="449"/>
      <c r="DD155" s="449"/>
      <c r="DE155" s="449"/>
      <c r="DF155" s="449"/>
      <c r="DG155" s="449"/>
      <c r="DH155" s="449"/>
      <c r="DI155" s="449"/>
      <c r="DJ155" s="449"/>
      <c r="DK155" s="449"/>
      <c r="DL155" s="449"/>
      <c r="DM155" s="449"/>
      <c r="DN155" s="449"/>
      <c r="DO155" s="449"/>
      <c r="DP155" s="449"/>
      <c r="DQ155" s="449"/>
      <c r="DR155" s="449"/>
      <c r="DS155" s="449"/>
      <c r="DT155" s="449"/>
      <c r="DU155" s="449"/>
      <c r="DV155" s="449"/>
      <c r="DW155" s="449"/>
      <c r="DX155" s="449"/>
      <c r="DY155" s="449"/>
      <c r="DZ155" s="449"/>
      <c r="EA155" s="449"/>
      <c r="EB155" s="449"/>
      <c r="EC155" s="449"/>
      <c r="ED155" s="449"/>
      <c r="EE155" s="449"/>
      <c r="EF155" s="449"/>
      <c r="EG155" s="449"/>
      <c r="EH155" s="449"/>
      <c r="EI155" s="449"/>
      <c r="EJ155" s="449"/>
      <c r="EK155" s="449"/>
      <c r="EL155" s="449"/>
      <c r="EM155" s="449"/>
      <c r="EN155" s="449"/>
      <c r="EO155" s="449"/>
      <c r="EP155" s="449"/>
      <c r="EQ155" s="449"/>
      <c r="ER155" s="449"/>
      <c r="ES155" s="449"/>
      <c r="ET155" s="449"/>
      <c r="EU155" s="449"/>
      <c r="EV155" s="449"/>
      <c r="EW155" s="449"/>
      <c r="EX155" s="449"/>
      <c r="EY155" s="449"/>
      <c r="EZ155" s="449"/>
      <c r="FA155" s="449"/>
      <c r="FB155" s="449"/>
      <c r="FC155" s="449"/>
      <c r="FD155" s="449"/>
      <c r="FE155" s="449"/>
      <c r="FF155" s="449"/>
      <c r="FG155" s="449"/>
      <c r="FH155" s="449"/>
      <c r="FI155" s="449"/>
      <c r="FJ155" s="449"/>
      <c r="FK155" s="449"/>
      <c r="FL155" s="449"/>
      <c r="FM155" s="449"/>
      <c r="FN155" s="449"/>
      <c r="FO155" s="449"/>
      <c r="FP155" s="449"/>
      <c r="FQ155" s="449"/>
      <c r="FR155" s="449"/>
      <c r="FS155" s="449"/>
      <c r="FT155" s="449"/>
      <c r="FU155" s="449"/>
      <c r="FV155" s="449"/>
      <c r="FW155" s="449"/>
      <c r="FX155" s="449"/>
      <c r="FY155" s="449"/>
      <c r="FZ155" s="449"/>
      <c r="GA155" s="449"/>
      <c r="GB155" s="449"/>
      <c r="GC155" s="449"/>
      <c r="GD155" s="449"/>
      <c r="GE155" s="449"/>
      <c r="GF155" s="449"/>
      <c r="GG155" s="449"/>
      <c r="GH155" s="449"/>
      <c r="GI155" s="449"/>
      <c r="GJ155" s="449"/>
      <c r="GK155" s="449"/>
      <c r="GL155" s="449"/>
      <c r="GM155" s="449"/>
      <c r="GN155" s="449"/>
      <c r="GO155" s="449"/>
      <c r="GP155" s="449"/>
      <c r="GQ155" s="449"/>
      <c r="GR155" s="449"/>
      <c r="GS155" s="449"/>
      <c r="GT155" s="449"/>
      <c r="GU155" s="449"/>
      <c r="GV155" s="449"/>
      <c r="GW155" s="449"/>
      <c r="GX155" s="449"/>
      <c r="GY155" s="449"/>
      <c r="GZ155" s="449"/>
      <c r="HA155" s="449"/>
      <c r="HB155" s="449"/>
      <c r="HC155" s="449"/>
      <c r="HD155" s="449"/>
      <c r="HE155" s="449"/>
      <c r="HF155" s="449"/>
      <c r="HG155" s="449"/>
      <c r="HH155" s="449"/>
      <c r="HI155" s="449"/>
      <c r="HJ155" s="449"/>
      <c r="HK155" s="449"/>
      <c r="HL155" s="449"/>
      <c r="HM155" s="449"/>
      <c r="HN155" s="449"/>
      <c r="HO155" s="449"/>
      <c r="HP155" s="449"/>
      <c r="HQ155" s="449"/>
      <c r="HR155" s="449"/>
      <c r="HS155" s="449"/>
      <c r="HT155" s="449"/>
      <c r="HU155" s="449"/>
      <c r="HV155" s="449"/>
      <c r="HW155" s="449"/>
      <c r="HX155" s="449"/>
      <c r="HY155" s="449"/>
      <c r="HZ155" s="449"/>
      <c r="IA155" s="449"/>
      <c r="IB155" s="449"/>
      <c r="IC155" s="449"/>
      <c r="ID155" s="449"/>
      <c r="IE155" s="449"/>
      <c r="IF155" s="449"/>
      <c r="IG155" s="449"/>
      <c r="IH155" s="449"/>
      <c r="II155" s="449"/>
      <c r="IJ155" s="449"/>
      <c r="IK155" s="449"/>
      <c r="IL155" s="449"/>
      <c r="IM155" s="449"/>
      <c r="IN155" s="449"/>
      <c r="IO155" s="449"/>
      <c r="IP155" s="449"/>
      <c r="IQ155" s="449"/>
      <c r="IR155" s="449"/>
      <c r="IS155" s="449"/>
      <c r="IT155" s="449"/>
      <c r="IU155" s="449"/>
      <c r="IV155" s="449"/>
      <c r="IW155" s="449"/>
      <c r="IX155" s="449"/>
      <c r="IY155" s="449"/>
    </row>
    <row r="156" spans="3:259" s="379" customFormat="1" ht="12.75" x14ac:dyDescent="0.2">
      <c r="C156" s="392" t="s">
        <v>1003</v>
      </c>
      <c r="D156" s="393" t="s">
        <v>877</v>
      </c>
      <c r="E156" s="392" t="s">
        <v>1004</v>
      </c>
      <c r="F156" s="392"/>
      <c r="G156" s="393">
        <v>500</v>
      </c>
      <c r="H156" s="393">
        <v>250</v>
      </c>
      <c r="I156" s="393"/>
      <c r="J156" s="393">
        <v>8.16</v>
      </c>
      <c r="K156" s="397">
        <v>2480</v>
      </c>
      <c r="L156" s="397"/>
      <c r="M156" s="398">
        <f>K156*0.65</f>
        <v>1612</v>
      </c>
      <c r="N156" s="449"/>
      <c r="O156" s="449"/>
      <c r="P156" s="449"/>
      <c r="Q156" s="449"/>
      <c r="R156" s="449"/>
      <c r="S156" s="449"/>
      <c r="T156" s="449"/>
      <c r="U156" s="449"/>
      <c r="V156" s="449"/>
      <c r="W156" s="449"/>
      <c r="X156" s="449"/>
      <c r="Y156" s="449"/>
      <c r="Z156" s="449"/>
      <c r="AA156" s="449"/>
      <c r="AB156" s="449"/>
      <c r="AC156" s="449"/>
      <c r="AD156" s="449"/>
      <c r="AE156" s="449"/>
      <c r="AF156" s="449"/>
      <c r="AG156" s="449"/>
      <c r="AH156" s="449"/>
      <c r="AI156" s="449"/>
      <c r="AJ156" s="449"/>
      <c r="AK156" s="449"/>
      <c r="AL156" s="449"/>
      <c r="AM156" s="449"/>
      <c r="AN156" s="449"/>
      <c r="AO156" s="449"/>
      <c r="AP156" s="449"/>
      <c r="AQ156" s="449"/>
      <c r="AR156" s="449"/>
      <c r="AS156" s="449"/>
      <c r="AT156" s="449"/>
      <c r="AU156" s="449"/>
      <c r="AV156" s="449"/>
      <c r="AW156" s="449"/>
      <c r="AX156" s="449"/>
      <c r="AY156" s="449"/>
      <c r="AZ156" s="449"/>
      <c r="BA156" s="449"/>
      <c r="BB156" s="449"/>
      <c r="BC156" s="449"/>
      <c r="BD156" s="449"/>
      <c r="BE156" s="449"/>
      <c r="BF156" s="449"/>
      <c r="BG156" s="449"/>
      <c r="BH156" s="449"/>
      <c r="BI156" s="449"/>
      <c r="BJ156" s="449"/>
      <c r="BK156" s="449"/>
      <c r="BL156" s="449"/>
      <c r="BM156" s="449"/>
      <c r="BN156" s="449"/>
      <c r="BO156" s="449"/>
      <c r="BP156" s="449"/>
      <c r="BQ156" s="449"/>
      <c r="BR156" s="449"/>
      <c r="BS156" s="449"/>
      <c r="BT156" s="449"/>
      <c r="BU156" s="449"/>
      <c r="BV156" s="449"/>
      <c r="BW156" s="449"/>
      <c r="BX156" s="449"/>
      <c r="BY156" s="449"/>
      <c r="BZ156" s="449"/>
      <c r="CA156" s="449"/>
      <c r="CB156" s="449"/>
      <c r="CC156" s="449"/>
      <c r="CD156" s="449"/>
      <c r="CE156" s="449"/>
      <c r="CF156" s="449"/>
      <c r="CG156" s="449"/>
      <c r="CH156" s="449"/>
      <c r="CI156" s="449"/>
      <c r="CJ156" s="449"/>
      <c r="CK156" s="449"/>
      <c r="CL156" s="449"/>
      <c r="CM156" s="449"/>
      <c r="CN156" s="449"/>
      <c r="CO156" s="449"/>
      <c r="CP156" s="449"/>
      <c r="CQ156" s="449"/>
      <c r="CR156" s="449"/>
      <c r="CS156" s="449"/>
      <c r="CT156" s="449"/>
      <c r="CU156" s="449"/>
      <c r="CV156" s="449"/>
      <c r="CW156" s="449"/>
      <c r="CX156" s="449"/>
      <c r="CY156" s="449"/>
      <c r="CZ156" s="449"/>
      <c r="DA156" s="449"/>
      <c r="DB156" s="449"/>
      <c r="DC156" s="449"/>
      <c r="DD156" s="449"/>
      <c r="DE156" s="449"/>
      <c r="DF156" s="449"/>
      <c r="DG156" s="449"/>
      <c r="DH156" s="449"/>
      <c r="DI156" s="449"/>
      <c r="DJ156" s="449"/>
      <c r="DK156" s="449"/>
      <c r="DL156" s="449"/>
      <c r="DM156" s="449"/>
      <c r="DN156" s="449"/>
      <c r="DO156" s="449"/>
      <c r="DP156" s="449"/>
      <c r="DQ156" s="449"/>
      <c r="DR156" s="449"/>
      <c r="DS156" s="449"/>
      <c r="DT156" s="449"/>
      <c r="DU156" s="449"/>
      <c r="DV156" s="449"/>
      <c r="DW156" s="449"/>
      <c r="DX156" s="449"/>
      <c r="DY156" s="449"/>
      <c r="DZ156" s="449"/>
      <c r="EA156" s="449"/>
      <c r="EB156" s="449"/>
      <c r="EC156" s="449"/>
      <c r="ED156" s="449"/>
      <c r="EE156" s="449"/>
      <c r="EF156" s="449"/>
      <c r="EG156" s="449"/>
      <c r="EH156" s="449"/>
      <c r="EI156" s="449"/>
      <c r="EJ156" s="449"/>
      <c r="EK156" s="449"/>
      <c r="EL156" s="449"/>
      <c r="EM156" s="449"/>
      <c r="EN156" s="449"/>
      <c r="EO156" s="449"/>
      <c r="EP156" s="449"/>
      <c r="EQ156" s="449"/>
      <c r="ER156" s="449"/>
      <c r="ES156" s="449"/>
      <c r="ET156" s="449"/>
      <c r="EU156" s="449"/>
      <c r="EV156" s="449"/>
      <c r="EW156" s="449"/>
      <c r="EX156" s="449"/>
      <c r="EY156" s="449"/>
      <c r="EZ156" s="449"/>
      <c r="FA156" s="449"/>
      <c r="FB156" s="449"/>
      <c r="FC156" s="449"/>
      <c r="FD156" s="449"/>
      <c r="FE156" s="449"/>
      <c r="FF156" s="449"/>
      <c r="FG156" s="449"/>
      <c r="FH156" s="449"/>
      <c r="FI156" s="449"/>
      <c r="FJ156" s="449"/>
      <c r="FK156" s="449"/>
      <c r="FL156" s="449"/>
      <c r="FM156" s="449"/>
      <c r="FN156" s="449"/>
      <c r="FO156" s="449"/>
      <c r="FP156" s="449"/>
      <c r="FQ156" s="449"/>
      <c r="FR156" s="449"/>
      <c r="FS156" s="449"/>
      <c r="FT156" s="449"/>
      <c r="FU156" s="449"/>
      <c r="FV156" s="449"/>
      <c r="FW156" s="449"/>
      <c r="FX156" s="449"/>
      <c r="FY156" s="449"/>
      <c r="FZ156" s="449"/>
      <c r="GA156" s="449"/>
      <c r="GB156" s="449"/>
      <c r="GC156" s="449"/>
      <c r="GD156" s="449"/>
      <c r="GE156" s="449"/>
      <c r="GF156" s="449"/>
      <c r="GG156" s="449"/>
      <c r="GH156" s="449"/>
      <c r="GI156" s="449"/>
      <c r="GJ156" s="449"/>
      <c r="GK156" s="449"/>
      <c r="GL156" s="449"/>
      <c r="GM156" s="449"/>
      <c r="GN156" s="449"/>
      <c r="GO156" s="449"/>
      <c r="GP156" s="449"/>
      <c r="GQ156" s="449"/>
      <c r="GR156" s="449"/>
      <c r="GS156" s="449"/>
      <c r="GT156" s="449"/>
      <c r="GU156" s="449"/>
      <c r="GV156" s="449"/>
      <c r="GW156" s="449"/>
      <c r="GX156" s="449"/>
      <c r="GY156" s="449"/>
      <c r="GZ156" s="449"/>
      <c r="HA156" s="449"/>
      <c r="HB156" s="449"/>
      <c r="HC156" s="449"/>
      <c r="HD156" s="449"/>
      <c r="HE156" s="449"/>
      <c r="HF156" s="449"/>
      <c r="HG156" s="449"/>
      <c r="HH156" s="449"/>
      <c r="HI156" s="449"/>
      <c r="HJ156" s="449"/>
      <c r="HK156" s="449"/>
      <c r="HL156" s="449"/>
      <c r="HM156" s="449"/>
      <c r="HN156" s="449"/>
      <c r="HO156" s="449"/>
      <c r="HP156" s="449"/>
      <c r="HQ156" s="449"/>
      <c r="HR156" s="449"/>
      <c r="HS156" s="449"/>
      <c r="HT156" s="449"/>
      <c r="HU156" s="449"/>
      <c r="HV156" s="449"/>
      <c r="HW156" s="449"/>
      <c r="HX156" s="449"/>
      <c r="HY156" s="449"/>
      <c r="HZ156" s="449"/>
      <c r="IA156" s="449"/>
      <c r="IB156" s="449"/>
      <c r="IC156" s="449"/>
      <c r="ID156" s="449"/>
      <c r="IE156" s="449"/>
      <c r="IF156" s="449"/>
      <c r="IG156" s="449"/>
      <c r="IH156" s="449"/>
      <c r="II156" s="449"/>
      <c r="IJ156" s="449"/>
      <c r="IK156" s="449"/>
      <c r="IL156" s="449"/>
      <c r="IM156" s="449"/>
      <c r="IN156" s="449"/>
      <c r="IO156" s="449"/>
      <c r="IP156" s="449"/>
      <c r="IQ156" s="449"/>
      <c r="IR156" s="449"/>
      <c r="IS156" s="449"/>
      <c r="IT156" s="449"/>
      <c r="IU156" s="449"/>
      <c r="IV156" s="449"/>
      <c r="IW156" s="449"/>
      <c r="IX156" s="449"/>
      <c r="IY156" s="449"/>
    </row>
    <row r="157" spans="3:259" s="379" customFormat="1" ht="12.75" x14ac:dyDescent="0.2">
      <c r="C157" s="392" t="s">
        <v>1005</v>
      </c>
      <c r="D157" s="393" t="s">
        <v>1028</v>
      </c>
      <c r="E157" s="392" t="s">
        <v>1112</v>
      </c>
      <c r="F157" s="392"/>
      <c r="G157" s="393">
        <v>500</v>
      </c>
      <c r="H157" s="393">
        <v>250</v>
      </c>
      <c r="I157" s="393"/>
      <c r="J157" s="393"/>
      <c r="K157" s="397">
        <v>2760</v>
      </c>
      <c r="L157" s="397"/>
      <c r="M157" s="398">
        <f>K157*0.65</f>
        <v>1794</v>
      </c>
      <c r="N157" s="449"/>
      <c r="O157" s="449"/>
      <c r="P157" s="449"/>
      <c r="Q157" s="449"/>
      <c r="R157" s="449"/>
      <c r="S157" s="449"/>
      <c r="T157" s="449"/>
      <c r="U157" s="449"/>
      <c r="V157" s="449"/>
      <c r="W157" s="449"/>
      <c r="X157" s="449"/>
      <c r="Y157" s="449"/>
      <c r="Z157" s="449"/>
      <c r="AA157" s="449"/>
      <c r="AB157" s="449"/>
      <c r="AC157" s="449"/>
      <c r="AD157" s="449"/>
      <c r="AE157" s="449"/>
      <c r="AF157" s="449"/>
      <c r="AG157" s="449"/>
      <c r="AH157" s="449"/>
      <c r="AI157" s="449"/>
      <c r="AJ157" s="449"/>
      <c r="AK157" s="449"/>
      <c r="AL157" s="449"/>
      <c r="AM157" s="449"/>
      <c r="AN157" s="449"/>
      <c r="AO157" s="449"/>
      <c r="AP157" s="449"/>
      <c r="AQ157" s="449"/>
      <c r="AR157" s="449"/>
      <c r="AS157" s="449"/>
      <c r="AT157" s="449"/>
      <c r="AU157" s="449"/>
      <c r="AV157" s="449"/>
      <c r="AW157" s="449"/>
      <c r="AX157" s="449"/>
      <c r="AY157" s="449"/>
      <c r="AZ157" s="449"/>
      <c r="BA157" s="449"/>
      <c r="BB157" s="449"/>
      <c r="BC157" s="449"/>
      <c r="BD157" s="449"/>
      <c r="BE157" s="449"/>
      <c r="BF157" s="449"/>
      <c r="BG157" s="449"/>
      <c r="BH157" s="449"/>
      <c r="BI157" s="449"/>
      <c r="BJ157" s="449"/>
      <c r="BK157" s="449"/>
      <c r="BL157" s="449"/>
      <c r="BM157" s="449"/>
      <c r="BN157" s="449"/>
      <c r="BO157" s="449"/>
      <c r="BP157" s="449"/>
      <c r="BQ157" s="449"/>
      <c r="BR157" s="449"/>
      <c r="BS157" s="449"/>
      <c r="BT157" s="449"/>
      <c r="BU157" s="449"/>
      <c r="BV157" s="449"/>
      <c r="BW157" s="449"/>
      <c r="BX157" s="449"/>
      <c r="BY157" s="449"/>
      <c r="BZ157" s="449"/>
      <c r="CA157" s="449"/>
      <c r="CB157" s="449"/>
      <c r="CC157" s="449"/>
      <c r="CD157" s="449"/>
      <c r="CE157" s="449"/>
      <c r="CF157" s="449"/>
      <c r="CG157" s="449"/>
      <c r="CH157" s="449"/>
      <c r="CI157" s="449"/>
      <c r="CJ157" s="449"/>
      <c r="CK157" s="449"/>
      <c r="CL157" s="449"/>
      <c r="CM157" s="449"/>
      <c r="CN157" s="449"/>
      <c r="CO157" s="449"/>
      <c r="CP157" s="449"/>
      <c r="CQ157" s="449"/>
      <c r="CR157" s="449"/>
      <c r="CS157" s="449"/>
      <c r="CT157" s="449"/>
      <c r="CU157" s="449"/>
      <c r="CV157" s="449"/>
      <c r="CW157" s="449"/>
      <c r="CX157" s="449"/>
      <c r="CY157" s="449"/>
      <c r="CZ157" s="449"/>
      <c r="DA157" s="449"/>
      <c r="DB157" s="449"/>
      <c r="DC157" s="449"/>
      <c r="DD157" s="449"/>
      <c r="DE157" s="449"/>
      <c r="DF157" s="449"/>
      <c r="DG157" s="449"/>
      <c r="DH157" s="449"/>
      <c r="DI157" s="449"/>
      <c r="DJ157" s="449"/>
      <c r="DK157" s="449"/>
      <c r="DL157" s="449"/>
      <c r="DM157" s="449"/>
      <c r="DN157" s="449"/>
      <c r="DO157" s="449"/>
      <c r="DP157" s="449"/>
      <c r="DQ157" s="449"/>
      <c r="DR157" s="449"/>
      <c r="DS157" s="449"/>
      <c r="DT157" s="449"/>
      <c r="DU157" s="449"/>
      <c r="DV157" s="449"/>
      <c r="DW157" s="449"/>
      <c r="DX157" s="449"/>
      <c r="DY157" s="449"/>
      <c r="DZ157" s="449"/>
      <c r="EA157" s="449"/>
      <c r="EB157" s="449"/>
      <c r="EC157" s="449"/>
      <c r="ED157" s="449"/>
      <c r="EE157" s="449"/>
      <c r="EF157" s="449"/>
      <c r="EG157" s="449"/>
      <c r="EH157" s="449"/>
      <c r="EI157" s="449"/>
      <c r="EJ157" s="449"/>
      <c r="EK157" s="449"/>
      <c r="EL157" s="449"/>
      <c r="EM157" s="449"/>
      <c r="EN157" s="449"/>
      <c r="EO157" s="449"/>
      <c r="EP157" s="449"/>
      <c r="EQ157" s="449"/>
      <c r="ER157" s="449"/>
      <c r="ES157" s="449"/>
      <c r="ET157" s="449"/>
      <c r="EU157" s="449"/>
      <c r="EV157" s="449"/>
      <c r="EW157" s="449"/>
      <c r="EX157" s="449"/>
      <c r="EY157" s="449"/>
      <c r="EZ157" s="449"/>
      <c r="FA157" s="449"/>
      <c r="FB157" s="449"/>
      <c r="FC157" s="449"/>
      <c r="FD157" s="449"/>
      <c r="FE157" s="449"/>
      <c r="FF157" s="449"/>
      <c r="FG157" s="449"/>
      <c r="FH157" s="449"/>
      <c r="FI157" s="449"/>
      <c r="FJ157" s="449"/>
      <c r="FK157" s="449"/>
      <c r="FL157" s="449"/>
      <c r="FM157" s="449"/>
      <c r="FN157" s="449"/>
      <c r="FO157" s="449"/>
      <c r="FP157" s="449"/>
      <c r="FQ157" s="449"/>
      <c r="FR157" s="449"/>
      <c r="FS157" s="449"/>
      <c r="FT157" s="449"/>
      <c r="FU157" s="449"/>
      <c r="FV157" s="449"/>
      <c r="FW157" s="449"/>
      <c r="FX157" s="449"/>
      <c r="FY157" s="449"/>
      <c r="FZ157" s="449"/>
      <c r="GA157" s="449"/>
      <c r="GB157" s="449"/>
      <c r="GC157" s="449"/>
      <c r="GD157" s="449"/>
      <c r="GE157" s="449"/>
      <c r="GF157" s="449"/>
      <c r="GG157" s="449"/>
      <c r="GH157" s="449"/>
      <c r="GI157" s="449"/>
      <c r="GJ157" s="449"/>
      <c r="GK157" s="449"/>
      <c r="GL157" s="449"/>
      <c r="GM157" s="449"/>
      <c r="GN157" s="449"/>
      <c r="GO157" s="449"/>
      <c r="GP157" s="449"/>
      <c r="GQ157" s="449"/>
      <c r="GR157" s="449"/>
      <c r="GS157" s="449"/>
      <c r="GT157" s="449"/>
      <c r="GU157" s="449"/>
      <c r="GV157" s="449"/>
      <c r="GW157" s="449"/>
      <c r="GX157" s="449"/>
      <c r="GY157" s="449"/>
      <c r="GZ157" s="449"/>
      <c r="HA157" s="449"/>
      <c r="HB157" s="449"/>
      <c r="HC157" s="449"/>
      <c r="HD157" s="449"/>
      <c r="HE157" s="449"/>
      <c r="HF157" s="449"/>
      <c r="HG157" s="449"/>
      <c r="HH157" s="449"/>
      <c r="HI157" s="449"/>
      <c r="HJ157" s="449"/>
      <c r="HK157" s="449"/>
      <c r="HL157" s="449"/>
      <c r="HM157" s="449"/>
      <c r="HN157" s="449"/>
      <c r="HO157" s="449"/>
      <c r="HP157" s="449"/>
      <c r="HQ157" s="449"/>
      <c r="HR157" s="449"/>
      <c r="HS157" s="449"/>
      <c r="HT157" s="449"/>
      <c r="HU157" s="449"/>
      <c r="HV157" s="449"/>
      <c r="HW157" s="449"/>
      <c r="HX157" s="449"/>
      <c r="HY157" s="449"/>
      <c r="HZ157" s="449"/>
      <c r="IA157" s="449"/>
      <c r="IB157" s="449"/>
      <c r="IC157" s="449"/>
      <c r="ID157" s="449"/>
      <c r="IE157" s="449"/>
      <c r="IF157" s="449"/>
      <c r="IG157" s="449"/>
      <c r="IH157" s="449"/>
      <c r="II157" s="449"/>
      <c r="IJ157" s="449"/>
      <c r="IK157" s="449"/>
      <c r="IL157" s="449"/>
      <c r="IM157" s="449"/>
      <c r="IN157" s="449"/>
      <c r="IO157" s="449"/>
      <c r="IP157" s="449"/>
      <c r="IQ157" s="449"/>
      <c r="IR157" s="449"/>
      <c r="IS157" s="449"/>
      <c r="IT157" s="449"/>
      <c r="IU157" s="449"/>
      <c r="IV157" s="449"/>
      <c r="IW157" s="449"/>
      <c r="IX157" s="449"/>
      <c r="IY157" s="449"/>
    </row>
    <row r="158" spans="3:259" s="379" customFormat="1" ht="12.75" x14ac:dyDescent="0.2">
      <c r="C158" s="388" t="s">
        <v>1007</v>
      </c>
      <c r="D158" s="389"/>
      <c r="E158" s="389"/>
      <c r="F158" s="389"/>
      <c r="G158" s="389"/>
      <c r="H158" s="389"/>
      <c r="I158" s="389"/>
      <c r="J158" s="389"/>
      <c r="K158" s="390"/>
      <c r="L158" s="390"/>
      <c r="M158" s="391" t="str">
        <f>IFERROR(K158/#REF!-1,"")</f>
        <v/>
      </c>
      <c r="N158" s="449"/>
      <c r="O158" s="449"/>
      <c r="P158" s="449"/>
      <c r="Q158" s="449"/>
      <c r="R158" s="449"/>
      <c r="S158" s="449"/>
      <c r="T158" s="449"/>
      <c r="U158" s="449"/>
      <c r="V158" s="449"/>
      <c r="W158" s="449"/>
      <c r="X158" s="449"/>
      <c r="Y158" s="449"/>
      <c r="Z158" s="449"/>
      <c r="AA158" s="449"/>
      <c r="AB158" s="449"/>
      <c r="AC158" s="449"/>
      <c r="AD158" s="449"/>
      <c r="AE158" s="449"/>
      <c r="AF158" s="449"/>
      <c r="AG158" s="449"/>
      <c r="AH158" s="449"/>
      <c r="AI158" s="449"/>
      <c r="AJ158" s="449"/>
      <c r="AK158" s="449"/>
      <c r="AL158" s="449"/>
      <c r="AM158" s="449"/>
      <c r="AN158" s="449"/>
      <c r="AO158" s="449"/>
      <c r="AP158" s="449"/>
      <c r="AQ158" s="449"/>
      <c r="AR158" s="449"/>
      <c r="AS158" s="449"/>
      <c r="AT158" s="449"/>
      <c r="AU158" s="449"/>
      <c r="AV158" s="449"/>
      <c r="AW158" s="449"/>
      <c r="AX158" s="449"/>
      <c r="AY158" s="449"/>
      <c r="AZ158" s="449"/>
      <c r="BA158" s="449"/>
      <c r="BB158" s="449"/>
      <c r="BC158" s="449"/>
      <c r="BD158" s="449"/>
      <c r="BE158" s="449"/>
      <c r="BF158" s="449"/>
      <c r="BG158" s="449"/>
      <c r="BH158" s="449"/>
      <c r="BI158" s="449"/>
      <c r="BJ158" s="449"/>
      <c r="BK158" s="449"/>
      <c r="BL158" s="449"/>
      <c r="BM158" s="449"/>
      <c r="BN158" s="449"/>
      <c r="BO158" s="449"/>
      <c r="BP158" s="449"/>
      <c r="BQ158" s="449"/>
      <c r="BR158" s="449"/>
      <c r="BS158" s="449"/>
      <c r="BT158" s="449"/>
      <c r="BU158" s="449"/>
      <c r="BV158" s="449"/>
      <c r="BW158" s="449"/>
      <c r="BX158" s="449"/>
      <c r="BY158" s="449"/>
      <c r="BZ158" s="449"/>
      <c r="CA158" s="449"/>
      <c r="CB158" s="449"/>
      <c r="CC158" s="449"/>
      <c r="CD158" s="449"/>
      <c r="CE158" s="449"/>
      <c r="CF158" s="449"/>
      <c r="CG158" s="449"/>
      <c r="CH158" s="449"/>
      <c r="CI158" s="449"/>
      <c r="CJ158" s="449"/>
      <c r="CK158" s="449"/>
      <c r="CL158" s="449"/>
      <c r="CM158" s="449"/>
      <c r="CN158" s="449"/>
      <c r="CO158" s="449"/>
      <c r="CP158" s="449"/>
      <c r="CQ158" s="449"/>
      <c r="CR158" s="449"/>
      <c r="CS158" s="449"/>
      <c r="CT158" s="449"/>
      <c r="CU158" s="449"/>
      <c r="CV158" s="449"/>
      <c r="CW158" s="449"/>
      <c r="CX158" s="449"/>
      <c r="CY158" s="449"/>
      <c r="CZ158" s="449"/>
      <c r="DA158" s="449"/>
      <c r="DB158" s="449"/>
      <c r="DC158" s="449"/>
      <c r="DD158" s="449"/>
      <c r="DE158" s="449"/>
      <c r="DF158" s="449"/>
      <c r="DG158" s="449"/>
      <c r="DH158" s="449"/>
      <c r="DI158" s="449"/>
      <c r="DJ158" s="449"/>
      <c r="DK158" s="449"/>
      <c r="DL158" s="449"/>
      <c r="DM158" s="449"/>
      <c r="DN158" s="449"/>
      <c r="DO158" s="449"/>
      <c r="DP158" s="449"/>
      <c r="DQ158" s="449"/>
      <c r="DR158" s="449"/>
      <c r="DS158" s="449"/>
      <c r="DT158" s="449"/>
      <c r="DU158" s="449"/>
      <c r="DV158" s="449"/>
      <c r="DW158" s="449"/>
      <c r="DX158" s="449"/>
      <c r="DY158" s="449"/>
      <c r="DZ158" s="449"/>
      <c r="EA158" s="449"/>
      <c r="EB158" s="449"/>
      <c r="EC158" s="449"/>
      <c r="ED158" s="449"/>
      <c r="EE158" s="449"/>
      <c r="EF158" s="449"/>
      <c r="EG158" s="449"/>
      <c r="EH158" s="449"/>
      <c r="EI158" s="449"/>
      <c r="EJ158" s="449"/>
      <c r="EK158" s="449"/>
      <c r="EL158" s="449"/>
      <c r="EM158" s="449"/>
      <c r="EN158" s="449"/>
      <c r="EO158" s="449"/>
      <c r="EP158" s="449"/>
      <c r="EQ158" s="449"/>
      <c r="ER158" s="449"/>
      <c r="ES158" s="449"/>
      <c r="ET158" s="449"/>
      <c r="EU158" s="449"/>
      <c r="EV158" s="449"/>
      <c r="EW158" s="449"/>
      <c r="EX158" s="449"/>
      <c r="EY158" s="449"/>
      <c r="EZ158" s="449"/>
      <c r="FA158" s="449"/>
      <c r="FB158" s="449"/>
      <c r="FC158" s="449"/>
      <c r="FD158" s="449"/>
      <c r="FE158" s="449"/>
      <c r="FF158" s="449"/>
      <c r="FG158" s="449"/>
      <c r="FH158" s="449"/>
      <c r="FI158" s="449"/>
      <c r="FJ158" s="449"/>
      <c r="FK158" s="449"/>
      <c r="FL158" s="449"/>
      <c r="FM158" s="449"/>
      <c r="FN158" s="449"/>
      <c r="FO158" s="449"/>
      <c r="FP158" s="449"/>
      <c r="FQ158" s="449"/>
      <c r="FR158" s="449"/>
      <c r="FS158" s="449"/>
      <c r="FT158" s="449"/>
      <c r="FU158" s="449"/>
      <c r="FV158" s="449"/>
      <c r="FW158" s="449"/>
      <c r="FX158" s="449"/>
      <c r="FY158" s="449"/>
      <c r="FZ158" s="449"/>
      <c r="GA158" s="449"/>
      <c r="GB158" s="449"/>
      <c r="GC158" s="449"/>
      <c r="GD158" s="449"/>
      <c r="GE158" s="449"/>
      <c r="GF158" s="449"/>
      <c r="GG158" s="449"/>
      <c r="GH158" s="449"/>
      <c r="GI158" s="449"/>
      <c r="GJ158" s="449"/>
      <c r="GK158" s="449"/>
      <c r="GL158" s="449"/>
      <c r="GM158" s="449"/>
      <c r="GN158" s="449"/>
      <c r="GO158" s="449"/>
      <c r="GP158" s="449"/>
      <c r="GQ158" s="449"/>
      <c r="GR158" s="449"/>
      <c r="GS158" s="449"/>
      <c r="GT158" s="449"/>
      <c r="GU158" s="449"/>
      <c r="GV158" s="449"/>
      <c r="GW158" s="449"/>
      <c r="GX158" s="449"/>
      <c r="GY158" s="449"/>
      <c r="GZ158" s="449"/>
      <c r="HA158" s="449"/>
      <c r="HB158" s="449"/>
      <c r="HC158" s="449"/>
      <c r="HD158" s="449"/>
      <c r="HE158" s="449"/>
      <c r="HF158" s="449"/>
      <c r="HG158" s="449"/>
      <c r="HH158" s="449"/>
      <c r="HI158" s="449"/>
      <c r="HJ158" s="449"/>
      <c r="HK158" s="449"/>
      <c r="HL158" s="449"/>
      <c r="HM158" s="449"/>
      <c r="HN158" s="449"/>
      <c r="HO158" s="449"/>
      <c r="HP158" s="449"/>
      <c r="HQ158" s="449"/>
      <c r="HR158" s="449"/>
      <c r="HS158" s="449"/>
      <c r="HT158" s="449"/>
      <c r="HU158" s="449"/>
      <c r="HV158" s="449"/>
      <c r="HW158" s="449"/>
      <c r="HX158" s="449"/>
      <c r="HY158" s="449"/>
      <c r="HZ158" s="449"/>
      <c r="IA158" s="449"/>
      <c r="IB158" s="449"/>
      <c r="IC158" s="449"/>
      <c r="ID158" s="449"/>
      <c r="IE158" s="449"/>
      <c r="IF158" s="449"/>
      <c r="IG158" s="449"/>
      <c r="IH158" s="449"/>
      <c r="II158" s="449"/>
      <c r="IJ158" s="449"/>
      <c r="IK158" s="449"/>
      <c r="IL158" s="449"/>
      <c r="IM158" s="449"/>
      <c r="IN158" s="449"/>
      <c r="IO158" s="449"/>
      <c r="IP158" s="449"/>
      <c r="IQ158" s="449"/>
      <c r="IR158" s="449"/>
      <c r="IS158" s="449"/>
      <c r="IT158" s="449"/>
      <c r="IU158" s="449"/>
      <c r="IV158" s="449"/>
      <c r="IW158" s="449"/>
      <c r="IX158" s="449"/>
      <c r="IY158" s="449"/>
    </row>
    <row r="159" spans="3:259" s="379" customFormat="1" ht="12.75" x14ac:dyDescent="0.2">
      <c r="C159" s="392"/>
      <c r="D159" s="393"/>
      <c r="E159" s="392" t="s">
        <v>1113</v>
      </c>
      <c r="F159" s="392"/>
      <c r="G159" s="393"/>
      <c r="H159" s="393"/>
      <c r="I159" s="393"/>
      <c r="J159" s="393"/>
      <c r="K159" s="454">
        <v>15</v>
      </c>
      <c r="L159" s="454"/>
      <c r="M159" s="455">
        <f>K159*0.75</f>
        <v>11.25</v>
      </c>
      <c r="N159" s="449"/>
      <c r="O159" s="449"/>
      <c r="P159" s="449"/>
      <c r="Q159" s="449"/>
      <c r="R159" s="449"/>
      <c r="S159" s="449"/>
      <c r="T159" s="449"/>
      <c r="U159" s="449"/>
      <c r="V159" s="449"/>
      <c r="W159" s="449"/>
      <c r="X159" s="449"/>
      <c r="Y159" s="449"/>
      <c r="Z159" s="449"/>
      <c r="AA159" s="449"/>
      <c r="AB159" s="449"/>
      <c r="AC159" s="449"/>
      <c r="AD159" s="449"/>
      <c r="AE159" s="449"/>
      <c r="AF159" s="449"/>
      <c r="AG159" s="449"/>
      <c r="AH159" s="449"/>
      <c r="AI159" s="449"/>
      <c r="AJ159" s="449"/>
      <c r="AK159" s="449"/>
      <c r="AL159" s="449"/>
      <c r="AM159" s="449"/>
      <c r="AN159" s="449"/>
      <c r="AO159" s="449"/>
      <c r="AP159" s="449"/>
      <c r="AQ159" s="449"/>
      <c r="AR159" s="449"/>
      <c r="AS159" s="449"/>
      <c r="AT159" s="449"/>
      <c r="AU159" s="449"/>
      <c r="AV159" s="449"/>
      <c r="AW159" s="449"/>
      <c r="AX159" s="449"/>
      <c r="AY159" s="449"/>
      <c r="AZ159" s="449"/>
      <c r="BA159" s="449"/>
      <c r="BB159" s="449"/>
      <c r="BC159" s="449"/>
      <c r="BD159" s="449"/>
      <c r="BE159" s="449"/>
      <c r="BF159" s="449"/>
      <c r="BG159" s="449"/>
      <c r="BH159" s="449"/>
      <c r="BI159" s="449"/>
      <c r="BJ159" s="449"/>
      <c r="BK159" s="449"/>
      <c r="BL159" s="449"/>
      <c r="BM159" s="449"/>
      <c r="BN159" s="449"/>
      <c r="BO159" s="449"/>
      <c r="BP159" s="449"/>
      <c r="BQ159" s="449"/>
      <c r="BR159" s="449"/>
      <c r="BS159" s="449"/>
      <c r="BT159" s="449"/>
      <c r="BU159" s="449"/>
      <c r="BV159" s="449"/>
      <c r="BW159" s="449"/>
      <c r="BX159" s="449"/>
      <c r="BY159" s="449"/>
      <c r="BZ159" s="449"/>
      <c r="CA159" s="449"/>
      <c r="CB159" s="449"/>
      <c r="CC159" s="449"/>
      <c r="CD159" s="449"/>
      <c r="CE159" s="449"/>
      <c r="CF159" s="449"/>
      <c r="CG159" s="449"/>
      <c r="CH159" s="449"/>
      <c r="CI159" s="449"/>
      <c r="CJ159" s="449"/>
      <c r="CK159" s="449"/>
      <c r="CL159" s="449"/>
      <c r="CM159" s="449"/>
      <c r="CN159" s="449"/>
      <c r="CO159" s="449"/>
      <c r="CP159" s="449"/>
      <c r="CQ159" s="449"/>
      <c r="CR159" s="449"/>
      <c r="CS159" s="449"/>
      <c r="CT159" s="449"/>
      <c r="CU159" s="449"/>
      <c r="CV159" s="449"/>
      <c r="CW159" s="449"/>
      <c r="CX159" s="449"/>
      <c r="CY159" s="449"/>
      <c r="CZ159" s="449"/>
      <c r="DA159" s="449"/>
      <c r="DB159" s="449"/>
      <c r="DC159" s="449"/>
      <c r="DD159" s="449"/>
      <c r="DE159" s="449"/>
      <c r="DF159" s="449"/>
      <c r="DG159" s="449"/>
      <c r="DH159" s="449"/>
      <c r="DI159" s="449"/>
      <c r="DJ159" s="449"/>
      <c r="DK159" s="449"/>
      <c r="DL159" s="449"/>
      <c r="DM159" s="449"/>
      <c r="DN159" s="449"/>
      <c r="DO159" s="449"/>
      <c r="DP159" s="449"/>
      <c r="DQ159" s="449"/>
      <c r="DR159" s="449"/>
      <c r="DS159" s="449"/>
      <c r="DT159" s="449"/>
      <c r="DU159" s="449"/>
      <c r="DV159" s="449"/>
      <c r="DW159" s="449"/>
      <c r="DX159" s="449"/>
      <c r="DY159" s="449"/>
      <c r="DZ159" s="449"/>
      <c r="EA159" s="449"/>
      <c r="EB159" s="449"/>
      <c r="EC159" s="449"/>
      <c r="ED159" s="449"/>
      <c r="EE159" s="449"/>
      <c r="EF159" s="449"/>
      <c r="EG159" s="449"/>
      <c r="EH159" s="449"/>
      <c r="EI159" s="449"/>
      <c r="EJ159" s="449"/>
      <c r="EK159" s="449"/>
      <c r="EL159" s="449"/>
      <c r="EM159" s="449"/>
      <c r="EN159" s="449"/>
      <c r="EO159" s="449"/>
      <c r="EP159" s="449"/>
      <c r="EQ159" s="449"/>
      <c r="ER159" s="449"/>
      <c r="ES159" s="449"/>
      <c r="ET159" s="449"/>
      <c r="EU159" s="449"/>
      <c r="EV159" s="449"/>
      <c r="EW159" s="449"/>
      <c r="EX159" s="449"/>
      <c r="EY159" s="449"/>
      <c r="EZ159" s="449"/>
      <c r="FA159" s="449"/>
      <c r="FB159" s="449"/>
      <c r="FC159" s="449"/>
      <c r="FD159" s="449"/>
      <c r="FE159" s="449"/>
      <c r="FF159" s="449"/>
      <c r="FG159" s="449"/>
      <c r="FH159" s="449"/>
      <c r="FI159" s="449"/>
      <c r="FJ159" s="449"/>
      <c r="FK159" s="449"/>
      <c r="FL159" s="449"/>
      <c r="FM159" s="449"/>
      <c r="FN159" s="449"/>
      <c r="FO159" s="449"/>
      <c r="FP159" s="449"/>
      <c r="FQ159" s="449"/>
      <c r="FR159" s="449"/>
      <c r="FS159" s="449"/>
      <c r="FT159" s="449"/>
      <c r="FU159" s="449"/>
      <c r="FV159" s="449"/>
      <c r="FW159" s="449"/>
      <c r="FX159" s="449"/>
      <c r="FY159" s="449"/>
      <c r="FZ159" s="449"/>
      <c r="GA159" s="449"/>
      <c r="GB159" s="449"/>
      <c r="GC159" s="449"/>
      <c r="GD159" s="449"/>
      <c r="GE159" s="449"/>
      <c r="GF159" s="449"/>
      <c r="GG159" s="449"/>
      <c r="GH159" s="449"/>
      <c r="GI159" s="449"/>
      <c r="GJ159" s="449"/>
      <c r="GK159" s="449"/>
      <c r="GL159" s="449"/>
      <c r="GM159" s="449"/>
      <c r="GN159" s="449"/>
      <c r="GO159" s="449"/>
      <c r="GP159" s="449"/>
      <c r="GQ159" s="449"/>
      <c r="GR159" s="449"/>
      <c r="GS159" s="449"/>
      <c r="GT159" s="449"/>
      <c r="GU159" s="449"/>
      <c r="GV159" s="449"/>
      <c r="GW159" s="449"/>
      <c r="GX159" s="449"/>
      <c r="GY159" s="449"/>
      <c r="GZ159" s="449"/>
      <c r="HA159" s="449"/>
      <c r="HB159" s="449"/>
      <c r="HC159" s="449"/>
      <c r="HD159" s="449"/>
      <c r="HE159" s="449"/>
      <c r="HF159" s="449"/>
      <c r="HG159" s="449"/>
      <c r="HH159" s="449"/>
      <c r="HI159" s="449"/>
      <c r="HJ159" s="449"/>
      <c r="HK159" s="449"/>
      <c r="HL159" s="449"/>
      <c r="HM159" s="449"/>
      <c r="HN159" s="449"/>
      <c r="HO159" s="449"/>
      <c r="HP159" s="449"/>
      <c r="HQ159" s="449"/>
      <c r="HR159" s="449"/>
      <c r="HS159" s="449"/>
      <c r="HT159" s="449"/>
      <c r="HU159" s="449"/>
      <c r="HV159" s="449"/>
      <c r="HW159" s="449"/>
      <c r="HX159" s="449"/>
      <c r="HY159" s="449"/>
      <c r="HZ159" s="449"/>
      <c r="IA159" s="449"/>
      <c r="IB159" s="449"/>
      <c r="IC159" s="449"/>
      <c r="ID159" s="449"/>
      <c r="IE159" s="449"/>
      <c r="IF159" s="449"/>
      <c r="IG159" s="449"/>
      <c r="IH159" s="449"/>
      <c r="II159" s="449"/>
      <c r="IJ159" s="449"/>
      <c r="IK159" s="449"/>
      <c r="IL159" s="449"/>
      <c r="IM159" s="449"/>
      <c r="IN159" s="449"/>
      <c r="IO159" s="449"/>
      <c r="IP159" s="449"/>
      <c r="IQ159" s="449"/>
      <c r="IR159" s="449"/>
      <c r="IS159" s="449"/>
      <c r="IT159" s="449"/>
      <c r="IU159" s="449"/>
      <c r="IV159" s="449"/>
      <c r="IW159" s="449"/>
      <c r="IX159" s="449"/>
      <c r="IY159" s="449"/>
    </row>
    <row r="160" spans="3:259" s="379" customFormat="1" ht="12.75" x14ac:dyDescent="0.2">
      <c r="C160" s="392"/>
      <c r="D160" s="393"/>
      <c r="E160" s="392" t="s">
        <v>1114</v>
      </c>
      <c r="F160" s="392"/>
      <c r="G160" s="393"/>
      <c r="H160" s="393"/>
      <c r="I160" s="393"/>
      <c r="J160" s="393"/>
      <c r="K160" s="454">
        <v>15</v>
      </c>
      <c r="L160" s="454"/>
      <c r="M160" s="455">
        <f>K160*0.75</f>
        <v>11.25</v>
      </c>
      <c r="N160" s="449"/>
      <c r="O160" s="449"/>
      <c r="P160" s="449"/>
      <c r="Q160" s="449"/>
      <c r="R160" s="449"/>
      <c r="S160" s="449"/>
      <c r="T160" s="449"/>
      <c r="U160" s="449"/>
      <c r="V160" s="449"/>
      <c r="W160" s="449"/>
      <c r="X160" s="449"/>
      <c r="Y160" s="449"/>
      <c r="Z160" s="449"/>
      <c r="AA160" s="449"/>
      <c r="AB160" s="449"/>
      <c r="AC160" s="449"/>
      <c r="AD160" s="449"/>
      <c r="AE160" s="449"/>
      <c r="AF160" s="449"/>
      <c r="AG160" s="449"/>
      <c r="AH160" s="449"/>
      <c r="AI160" s="449"/>
      <c r="AJ160" s="449"/>
      <c r="AK160" s="449"/>
      <c r="AL160" s="449"/>
      <c r="AM160" s="449"/>
      <c r="AN160" s="449"/>
      <c r="AO160" s="449"/>
      <c r="AP160" s="449"/>
      <c r="AQ160" s="449"/>
      <c r="AR160" s="449"/>
      <c r="AS160" s="449"/>
      <c r="AT160" s="449"/>
      <c r="AU160" s="449"/>
      <c r="AV160" s="449"/>
      <c r="AW160" s="449"/>
      <c r="AX160" s="449"/>
      <c r="AY160" s="449"/>
      <c r="AZ160" s="449"/>
      <c r="BA160" s="449"/>
      <c r="BB160" s="449"/>
      <c r="BC160" s="449"/>
      <c r="BD160" s="449"/>
      <c r="BE160" s="449"/>
      <c r="BF160" s="449"/>
      <c r="BG160" s="449"/>
      <c r="BH160" s="449"/>
      <c r="BI160" s="449"/>
      <c r="BJ160" s="449"/>
      <c r="BK160" s="449"/>
      <c r="BL160" s="449"/>
      <c r="BM160" s="449"/>
      <c r="BN160" s="449"/>
      <c r="BO160" s="449"/>
      <c r="BP160" s="449"/>
      <c r="BQ160" s="449"/>
      <c r="BR160" s="449"/>
      <c r="BS160" s="449"/>
      <c r="BT160" s="449"/>
      <c r="BU160" s="449"/>
      <c r="BV160" s="449"/>
      <c r="BW160" s="449"/>
      <c r="BX160" s="449"/>
      <c r="BY160" s="449"/>
      <c r="BZ160" s="449"/>
      <c r="CA160" s="449"/>
      <c r="CB160" s="449"/>
      <c r="CC160" s="449"/>
      <c r="CD160" s="449"/>
      <c r="CE160" s="449"/>
      <c r="CF160" s="449"/>
      <c r="CG160" s="449"/>
      <c r="CH160" s="449"/>
      <c r="CI160" s="449"/>
      <c r="CJ160" s="449"/>
      <c r="CK160" s="449"/>
      <c r="CL160" s="449"/>
      <c r="CM160" s="449"/>
      <c r="CN160" s="449"/>
      <c r="CO160" s="449"/>
      <c r="CP160" s="449"/>
      <c r="CQ160" s="449"/>
      <c r="CR160" s="449"/>
      <c r="CS160" s="449"/>
      <c r="CT160" s="449"/>
      <c r="CU160" s="449"/>
      <c r="CV160" s="449"/>
      <c r="CW160" s="449"/>
      <c r="CX160" s="449"/>
      <c r="CY160" s="449"/>
      <c r="CZ160" s="449"/>
      <c r="DA160" s="449"/>
      <c r="DB160" s="449"/>
      <c r="DC160" s="449"/>
      <c r="DD160" s="449"/>
      <c r="DE160" s="449"/>
      <c r="DF160" s="449"/>
      <c r="DG160" s="449"/>
      <c r="DH160" s="449"/>
      <c r="DI160" s="449"/>
      <c r="DJ160" s="449"/>
      <c r="DK160" s="449"/>
      <c r="DL160" s="449"/>
      <c r="DM160" s="449"/>
      <c r="DN160" s="449"/>
      <c r="DO160" s="449"/>
      <c r="DP160" s="449"/>
      <c r="DQ160" s="449"/>
      <c r="DR160" s="449"/>
      <c r="DS160" s="449"/>
      <c r="DT160" s="449"/>
      <c r="DU160" s="449"/>
      <c r="DV160" s="449"/>
      <c r="DW160" s="449"/>
      <c r="DX160" s="449"/>
      <c r="DY160" s="449"/>
      <c r="DZ160" s="449"/>
      <c r="EA160" s="449"/>
      <c r="EB160" s="449"/>
      <c r="EC160" s="449"/>
      <c r="ED160" s="449"/>
      <c r="EE160" s="449"/>
      <c r="EF160" s="449"/>
      <c r="EG160" s="449"/>
      <c r="EH160" s="449"/>
      <c r="EI160" s="449"/>
      <c r="EJ160" s="449"/>
      <c r="EK160" s="449"/>
      <c r="EL160" s="449"/>
      <c r="EM160" s="449"/>
      <c r="EN160" s="449"/>
      <c r="EO160" s="449"/>
      <c r="EP160" s="449"/>
      <c r="EQ160" s="449"/>
      <c r="ER160" s="449"/>
      <c r="ES160" s="449"/>
      <c r="ET160" s="449"/>
      <c r="EU160" s="449"/>
      <c r="EV160" s="449"/>
      <c r="EW160" s="449"/>
      <c r="EX160" s="449"/>
      <c r="EY160" s="449"/>
      <c r="EZ160" s="449"/>
      <c r="FA160" s="449"/>
      <c r="FB160" s="449"/>
      <c r="FC160" s="449"/>
      <c r="FD160" s="449"/>
      <c r="FE160" s="449"/>
      <c r="FF160" s="449"/>
      <c r="FG160" s="449"/>
      <c r="FH160" s="449"/>
      <c r="FI160" s="449"/>
      <c r="FJ160" s="449"/>
      <c r="FK160" s="449"/>
      <c r="FL160" s="449"/>
      <c r="FM160" s="449"/>
      <c r="FN160" s="449"/>
      <c r="FO160" s="449"/>
      <c r="FP160" s="449"/>
      <c r="FQ160" s="449"/>
      <c r="FR160" s="449"/>
      <c r="FS160" s="449"/>
      <c r="FT160" s="449"/>
      <c r="FU160" s="449"/>
      <c r="FV160" s="449"/>
      <c r="FW160" s="449"/>
      <c r="FX160" s="449"/>
      <c r="FY160" s="449"/>
      <c r="FZ160" s="449"/>
      <c r="GA160" s="449"/>
      <c r="GB160" s="449"/>
      <c r="GC160" s="449"/>
      <c r="GD160" s="449"/>
      <c r="GE160" s="449"/>
      <c r="GF160" s="449"/>
      <c r="GG160" s="449"/>
      <c r="GH160" s="449"/>
      <c r="GI160" s="449"/>
      <c r="GJ160" s="449"/>
      <c r="GK160" s="449"/>
      <c r="GL160" s="449"/>
      <c r="GM160" s="449"/>
      <c r="GN160" s="449"/>
      <c r="GO160" s="449"/>
      <c r="GP160" s="449"/>
      <c r="GQ160" s="449"/>
      <c r="GR160" s="449"/>
      <c r="GS160" s="449"/>
      <c r="GT160" s="449"/>
      <c r="GU160" s="449"/>
      <c r="GV160" s="449"/>
      <c r="GW160" s="449"/>
      <c r="GX160" s="449"/>
      <c r="GY160" s="449"/>
      <c r="GZ160" s="449"/>
      <c r="HA160" s="449"/>
      <c r="HB160" s="449"/>
      <c r="HC160" s="449"/>
      <c r="HD160" s="449"/>
      <c r="HE160" s="449"/>
      <c r="HF160" s="449"/>
      <c r="HG160" s="449"/>
      <c r="HH160" s="449"/>
      <c r="HI160" s="449"/>
      <c r="HJ160" s="449"/>
      <c r="HK160" s="449"/>
      <c r="HL160" s="449"/>
      <c r="HM160" s="449"/>
      <c r="HN160" s="449"/>
      <c r="HO160" s="449"/>
      <c r="HP160" s="449"/>
      <c r="HQ160" s="449"/>
      <c r="HR160" s="449"/>
      <c r="HS160" s="449"/>
      <c r="HT160" s="449"/>
      <c r="HU160" s="449"/>
      <c r="HV160" s="449"/>
      <c r="HW160" s="449"/>
      <c r="HX160" s="449"/>
      <c r="HY160" s="449"/>
      <c r="HZ160" s="449"/>
      <c r="IA160" s="449"/>
      <c r="IB160" s="449"/>
      <c r="IC160" s="449"/>
      <c r="ID160" s="449"/>
      <c r="IE160" s="449"/>
      <c r="IF160" s="449"/>
      <c r="IG160" s="449"/>
      <c r="IH160" s="449"/>
      <c r="II160" s="449"/>
      <c r="IJ160" s="449"/>
      <c r="IK160" s="449"/>
      <c r="IL160" s="449"/>
      <c r="IM160" s="449"/>
      <c r="IN160" s="449"/>
      <c r="IO160" s="449"/>
      <c r="IP160" s="449"/>
      <c r="IQ160" s="449"/>
      <c r="IR160" s="449"/>
      <c r="IS160" s="449"/>
      <c r="IT160" s="449"/>
      <c r="IU160" s="449"/>
      <c r="IV160" s="449"/>
      <c r="IW160" s="449"/>
      <c r="IX160" s="449"/>
      <c r="IY160" s="449"/>
    </row>
    <row r="161" spans="3:259" s="379" customFormat="1" ht="12.75" x14ac:dyDescent="0.2">
      <c r="C161" s="384" t="s">
        <v>1010</v>
      </c>
      <c r="D161" s="385"/>
      <c r="E161" s="385"/>
      <c r="F161" s="385"/>
      <c r="G161" s="385"/>
      <c r="H161" s="385"/>
      <c r="I161" s="385"/>
      <c r="J161" s="385"/>
      <c r="K161" s="386"/>
      <c r="L161" s="386"/>
      <c r="M161" s="387" t="str">
        <f>IFERROR(K161/#REF!-1,"")</f>
        <v/>
      </c>
      <c r="N161" s="449"/>
      <c r="O161" s="449"/>
      <c r="P161" s="449"/>
      <c r="Q161" s="449"/>
      <c r="R161" s="449"/>
      <c r="S161" s="449"/>
      <c r="T161" s="449"/>
      <c r="U161" s="449"/>
      <c r="V161" s="449"/>
      <c r="W161" s="449"/>
      <c r="X161" s="449"/>
      <c r="Y161" s="449"/>
      <c r="Z161" s="449"/>
      <c r="AA161" s="449"/>
      <c r="AB161" s="449"/>
      <c r="AC161" s="449"/>
      <c r="AD161" s="449"/>
      <c r="AE161" s="449"/>
      <c r="AF161" s="449"/>
      <c r="AG161" s="449"/>
      <c r="AH161" s="449"/>
      <c r="AI161" s="449"/>
      <c r="AJ161" s="449"/>
      <c r="AK161" s="449"/>
      <c r="AL161" s="449"/>
      <c r="AM161" s="449"/>
      <c r="AN161" s="449"/>
      <c r="AO161" s="449"/>
      <c r="AP161" s="449"/>
      <c r="AQ161" s="449"/>
      <c r="AR161" s="449"/>
      <c r="AS161" s="449"/>
      <c r="AT161" s="449"/>
      <c r="AU161" s="449"/>
      <c r="AV161" s="449"/>
      <c r="AW161" s="449"/>
      <c r="AX161" s="449"/>
      <c r="AY161" s="449"/>
      <c r="AZ161" s="449"/>
      <c r="BA161" s="449"/>
      <c r="BB161" s="449"/>
      <c r="BC161" s="449"/>
      <c r="BD161" s="449"/>
      <c r="BE161" s="449"/>
      <c r="BF161" s="449"/>
      <c r="BG161" s="449"/>
      <c r="BH161" s="449"/>
      <c r="BI161" s="449"/>
      <c r="BJ161" s="449"/>
      <c r="BK161" s="449"/>
      <c r="BL161" s="449"/>
      <c r="BM161" s="449"/>
      <c r="BN161" s="449"/>
      <c r="BO161" s="449"/>
      <c r="BP161" s="449"/>
      <c r="BQ161" s="449"/>
      <c r="BR161" s="449"/>
      <c r="BS161" s="449"/>
      <c r="BT161" s="449"/>
      <c r="BU161" s="449"/>
      <c r="BV161" s="449"/>
      <c r="BW161" s="449"/>
      <c r="BX161" s="449"/>
      <c r="BY161" s="449"/>
      <c r="BZ161" s="449"/>
      <c r="CA161" s="449"/>
      <c r="CB161" s="449"/>
      <c r="CC161" s="449"/>
      <c r="CD161" s="449"/>
      <c r="CE161" s="449"/>
      <c r="CF161" s="449"/>
      <c r="CG161" s="449"/>
      <c r="CH161" s="449"/>
      <c r="CI161" s="449"/>
      <c r="CJ161" s="449"/>
      <c r="CK161" s="449"/>
      <c r="CL161" s="449"/>
      <c r="CM161" s="449"/>
      <c r="CN161" s="449"/>
      <c r="CO161" s="449"/>
      <c r="CP161" s="449"/>
      <c r="CQ161" s="449"/>
      <c r="CR161" s="449"/>
      <c r="CS161" s="449"/>
      <c r="CT161" s="449"/>
      <c r="CU161" s="449"/>
      <c r="CV161" s="449"/>
      <c r="CW161" s="449"/>
      <c r="CX161" s="449"/>
      <c r="CY161" s="449"/>
      <c r="CZ161" s="449"/>
      <c r="DA161" s="449"/>
      <c r="DB161" s="449"/>
      <c r="DC161" s="449"/>
      <c r="DD161" s="449"/>
      <c r="DE161" s="449"/>
      <c r="DF161" s="449"/>
      <c r="DG161" s="449"/>
      <c r="DH161" s="449"/>
      <c r="DI161" s="449"/>
      <c r="DJ161" s="449"/>
      <c r="DK161" s="449"/>
      <c r="DL161" s="449"/>
      <c r="DM161" s="449"/>
      <c r="DN161" s="449"/>
      <c r="DO161" s="449"/>
      <c r="DP161" s="449"/>
      <c r="DQ161" s="449"/>
      <c r="DR161" s="449"/>
      <c r="DS161" s="449"/>
      <c r="DT161" s="449"/>
      <c r="DU161" s="449"/>
      <c r="DV161" s="449"/>
      <c r="DW161" s="449"/>
      <c r="DX161" s="449"/>
      <c r="DY161" s="449"/>
      <c r="DZ161" s="449"/>
      <c r="EA161" s="449"/>
      <c r="EB161" s="449"/>
      <c r="EC161" s="449"/>
      <c r="ED161" s="449"/>
      <c r="EE161" s="449"/>
      <c r="EF161" s="449"/>
      <c r="EG161" s="449"/>
      <c r="EH161" s="449"/>
      <c r="EI161" s="449"/>
      <c r="EJ161" s="449"/>
      <c r="EK161" s="449"/>
      <c r="EL161" s="449"/>
      <c r="EM161" s="449"/>
      <c r="EN161" s="449"/>
      <c r="EO161" s="449"/>
      <c r="EP161" s="449"/>
      <c r="EQ161" s="449"/>
      <c r="ER161" s="449"/>
      <c r="ES161" s="449"/>
      <c r="ET161" s="449"/>
      <c r="EU161" s="449"/>
      <c r="EV161" s="449"/>
      <c r="EW161" s="449"/>
      <c r="EX161" s="449"/>
      <c r="EY161" s="449"/>
      <c r="EZ161" s="449"/>
      <c r="FA161" s="449"/>
      <c r="FB161" s="449"/>
      <c r="FC161" s="449"/>
      <c r="FD161" s="449"/>
      <c r="FE161" s="449"/>
      <c r="FF161" s="449"/>
      <c r="FG161" s="449"/>
      <c r="FH161" s="449"/>
      <c r="FI161" s="449"/>
      <c r="FJ161" s="449"/>
      <c r="FK161" s="449"/>
      <c r="FL161" s="449"/>
      <c r="FM161" s="449"/>
      <c r="FN161" s="449"/>
      <c r="FO161" s="449"/>
      <c r="FP161" s="449"/>
      <c r="FQ161" s="449"/>
      <c r="FR161" s="449"/>
      <c r="FS161" s="449"/>
      <c r="FT161" s="449"/>
      <c r="FU161" s="449"/>
      <c r="FV161" s="449"/>
      <c r="FW161" s="449"/>
      <c r="FX161" s="449"/>
      <c r="FY161" s="449"/>
      <c r="FZ161" s="449"/>
      <c r="GA161" s="449"/>
      <c r="GB161" s="449"/>
      <c r="GC161" s="449"/>
      <c r="GD161" s="449"/>
      <c r="GE161" s="449"/>
      <c r="GF161" s="449"/>
      <c r="GG161" s="449"/>
      <c r="GH161" s="449"/>
      <c r="GI161" s="449"/>
      <c r="GJ161" s="449"/>
      <c r="GK161" s="449"/>
      <c r="GL161" s="449"/>
      <c r="GM161" s="449"/>
      <c r="GN161" s="449"/>
      <c r="GO161" s="449"/>
      <c r="GP161" s="449"/>
      <c r="GQ161" s="449"/>
      <c r="GR161" s="449"/>
      <c r="GS161" s="449"/>
      <c r="GT161" s="449"/>
      <c r="GU161" s="449"/>
      <c r="GV161" s="449"/>
      <c r="GW161" s="449"/>
      <c r="GX161" s="449"/>
      <c r="GY161" s="449"/>
      <c r="GZ161" s="449"/>
      <c r="HA161" s="449"/>
      <c r="HB161" s="449"/>
      <c r="HC161" s="449"/>
      <c r="HD161" s="449"/>
      <c r="HE161" s="449"/>
      <c r="HF161" s="449"/>
      <c r="HG161" s="449"/>
      <c r="HH161" s="449"/>
      <c r="HI161" s="449"/>
      <c r="HJ161" s="449"/>
      <c r="HK161" s="449"/>
      <c r="HL161" s="449"/>
      <c r="HM161" s="449"/>
      <c r="HN161" s="449"/>
      <c r="HO161" s="449"/>
      <c r="HP161" s="449"/>
      <c r="HQ161" s="449"/>
      <c r="HR161" s="449"/>
      <c r="HS161" s="449"/>
      <c r="HT161" s="449"/>
      <c r="HU161" s="449"/>
      <c r="HV161" s="449"/>
      <c r="HW161" s="449"/>
      <c r="HX161" s="449"/>
      <c r="HY161" s="449"/>
      <c r="HZ161" s="449"/>
      <c r="IA161" s="449"/>
      <c r="IB161" s="449"/>
      <c r="IC161" s="449"/>
      <c r="ID161" s="449"/>
      <c r="IE161" s="449"/>
      <c r="IF161" s="449"/>
      <c r="IG161" s="449"/>
      <c r="IH161" s="449"/>
      <c r="II161" s="449"/>
      <c r="IJ161" s="449"/>
      <c r="IK161" s="449"/>
      <c r="IL161" s="449"/>
      <c r="IM161" s="449"/>
      <c r="IN161" s="449"/>
      <c r="IO161" s="449"/>
      <c r="IP161" s="449"/>
      <c r="IQ161" s="449"/>
      <c r="IR161" s="449"/>
      <c r="IS161" s="449"/>
      <c r="IT161" s="449"/>
      <c r="IU161" s="449"/>
      <c r="IV161" s="449"/>
      <c r="IW161" s="449"/>
      <c r="IX161" s="449"/>
      <c r="IY161" s="449"/>
    </row>
    <row r="162" spans="3:259" s="379" customFormat="1" ht="12.75" x14ac:dyDescent="0.2">
      <c r="C162" s="388" t="s">
        <v>1115</v>
      </c>
      <c r="D162" s="389"/>
      <c r="E162" s="389"/>
      <c r="F162" s="389"/>
      <c r="G162" s="389"/>
      <c r="H162" s="389"/>
      <c r="I162" s="389"/>
      <c r="J162" s="389"/>
      <c r="K162" s="390"/>
      <c r="L162" s="390"/>
      <c r="M162" s="391" t="str">
        <f>IFERROR(K162/#REF!-1,"")</f>
        <v/>
      </c>
      <c r="N162" s="449"/>
      <c r="O162" s="449"/>
      <c r="P162" s="449"/>
      <c r="Q162" s="449"/>
      <c r="R162" s="449"/>
      <c r="S162" s="449"/>
      <c r="T162" s="449"/>
      <c r="U162" s="449"/>
      <c r="V162" s="449"/>
      <c r="W162" s="449"/>
      <c r="X162" s="449"/>
      <c r="Y162" s="449"/>
      <c r="Z162" s="449"/>
      <c r="AA162" s="449"/>
      <c r="AB162" s="449"/>
      <c r="AC162" s="449"/>
      <c r="AD162" s="449"/>
      <c r="AE162" s="449"/>
      <c r="AF162" s="449"/>
      <c r="AG162" s="449"/>
      <c r="AH162" s="449"/>
      <c r="AI162" s="449"/>
      <c r="AJ162" s="449"/>
      <c r="AK162" s="449"/>
      <c r="AL162" s="449"/>
      <c r="AM162" s="449"/>
      <c r="AN162" s="449"/>
      <c r="AO162" s="449"/>
      <c r="AP162" s="449"/>
      <c r="AQ162" s="449"/>
      <c r="AR162" s="449"/>
      <c r="AS162" s="449"/>
      <c r="AT162" s="449"/>
      <c r="AU162" s="449"/>
      <c r="AV162" s="449"/>
      <c r="AW162" s="449"/>
      <c r="AX162" s="449"/>
      <c r="AY162" s="449"/>
      <c r="AZ162" s="449"/>
      <c r="BA162" s="449"/>
      <c r="BB162" s="449"/>
      <c r="BC162" s="449"/>
      <c r="BD162" s="449"/>
      <c r="BE162" s="449"/>
      <c r="BF162" s="449"/>
      <c r="BG162" s="449"/>
      <c r="BH162" s="449"/>
      <c r="BI162" s="449"/>
      <c r="BJ162" s="449"/>
      <c r="BK162" s="449"/>
      <c r="BL162" s="449"/>
      <c r="BM162" s="449"/>
      <c r="BN162" s="449"/>
      <c r="BO162" s="449"/>
      <c r="BP162" s="449"/>
      <c r="BQ162" s="449"/>
      <c r="BR162" s="449"/>
      <c r="BS162" s="449"/>
      <c r="BT162" s="449"/>
      <c r="BU162" s="449"/>
      <c r="BV162" s="449"/>
      <c r="BW162" s="449"/>
      <c r="BX162" s="449"/>
      <c r="BY162" s="449"/>
      <c r="BZ162" s="449"/>
      <c r="CA162" s="449"/>
      <c r="CB162" s="449"/>
      <c r="CC162" s="449"/>
      <c r="CD162" s="449"/>
      <c r="CE162" s="449"/>
      <c r="CF162" s="449"/>
      <c r="CG162" s="449"/>
      <c r="CH162" s="449"/>
      <c r="CI162" s="449"/>
      <c r="CJ162" s="449"/>
      <c r="CK162" s="449"/>
      <c r="CL162" s="449"/>
      <c r="CM162" s="449"/>
      <c r="CN162" s="449"/>
      <c r="CO162" s="449"/>
      <c r="CP162" s="449"/>
      <c r="CQ162" s="449"/>
      <c r="CR162" s="449"/>
      <c r="CS162" s="449"/>
      <c r="CT162" s="449"/>
      <c r="CU162" s="449"/>
      <c r="CV162" s="449"/>
      <c r="CW162" s="449"/>
      <c r="CX162" s="449"/>
      <c r="CY162" s="449"/>
      <c r="CZ162" s="449"/>
      <c r="DA162" s="449"/>
      <c r="DB162" s="449"/>
      <c r="DC162" s="449"/>
      <c r="DD162" s="449"/>
      <c r="DE162" s="449"/>
      <c r="DF162" s="449"/>
      <c r="DG162" s="449"/>
      <c r="DH162" s="449"/>
      <c r="DI162" s="449"/>
      <c r="DJ162" s="449"/>
      <c r="DK162" s="449"/>
      <c r="DL162" s="449"/>
      <c r="DM162" s="449"/>
      <c r="DN162" s="449"/>
      <c r="DO162" s="449"/>
      <c r="DP162" s="449"/>
      <c r="DQ162" s="449"/>
      <c r="DR162" s="449"/>
      <c r="DS162" s="449"/>
      <c r="DT162" s="449"/>
      <c r="DU162" s="449"/>
      <c r="DV162" s="449"/>
      <c r="DW162" s="449"/>
      <c r="DX162" s="449"/>
      <c r="DY162" s="449"/>
      <c r="DZ162" s="449"/>
      <c r="EA162" s="449"/>
      <c r="EB162" s="449"/>
      <c r="EC162" s="449"/>
      <c r="ED162" s="449"/>
      <c r="EE162" s="449"/>
      <c r="EF162" s="449"/>
      <c r="EG162" s="449"/>
      <c r="EH162" s="449"/>
      <c r="EI162" s="449"/>
      <c r="EJ162" s="449"/>
      <c r="EK162" s="449"/>
      <c r="EL162" s="449"/>
      <c r="EM162" s="449"/>
      <c r="EN162" s="449"/>
      <c r="EO162" s="449"/>
      <c r="EP162" s="449"/>
      <c r="EQ162" s="449"/>
      <c r="ER162" s="449"/>
      <c r="ES162" s="449"/>
      <c r="ET162" s="449"/>
      <c r="EU162" s="449"/>
      <c r="EV162" s="449"/>
      <c r="EW162" s="449"/>
      <c r="EX162" s="449"/>
      <c r="EY162" s="449"/>
      <c r="EZ162" s="449"/>
      <c r="FA162" s="449"/>
      <c r="FB162" s="449"/>
      <c r="FC162" s="449"/>
      <c r="FD162" s="449"/>
      <c r="FE162" s="449"/>
      <c r="FF162" s="449"/>
      <c r="FG162" s="449"/>
      <c r="FH162" s="449"/>
      <c r="FI162" s="449"/>
      <c r="FJ162" s="449"/>
      <c r="FK162" s="449"/>
      <c r="FL162" s="449"/>
      <c r="FM162" s="449"/>
      <c r="FN162" s="449"/>
      <c r="FO162" s="449"/>
      <c r="FP162" s="449"/>
      <c r="FQ162" s="449"/>
      <c r="FR162" s="449"/>
      <c r="FS162" s="449"/>
      <c r="FT162" s="449"/>
      <c r="FU162" s="449"/>
      <c r="FV162" s="449"/>
      <c r="FW162" s="449"/>
      <c r="FX162" s="449"/>
      <c r="FY162" s="449"/>
      <c r="FZ162" s="449"/>
      <c r="GA162" s="449"/>
      <c r="GB162" s="449"/>
      <c r="GC162" s="449"/>
      <c r="GD162" s="449"/>
      <c r="GE162" s="449"/>
      <c r="GF162" s="449"/>
      <c r="GG162" s="449"/>
      <c r="GH162" s="449"/>
      <c r="GI162" s="449"/>
      <c r="GJ162" s="449"/>
      <c r="GK162" s="449"/>
      <c r="GL162" s="449"/>
      <c r="GM162" s="449"/>
      <c r="GN162" s="449"/>
      <c r="GO162" s="449"/>
      <c r="GP162" s="449"/>
      <c r="GQ162" s="449"/>
      <c r="GR162" s="449"/>
      <c r="GS162" s="449"/>
      <c r="GT162" s="449"/>
      <c r="GU162" s="449"/>
      <c r="GV162" s="449"/>
      <c r="GW162" s="449"/>
      <c r="GX162" s="449"/>
      <c r="GY162" s="449"/>
      <c r="GZ162" s="449"/>
      <c r="HA162" s="449"/>
      <c r="HB162" s="449"/>
      <c r="HC162" s="449"/>
      <c r="HD162" s="449"/>
      <c r="HE162" s="449"/>
      <c r="HF162" s="449"/>
      <c r="HG162" s="449"/>
      <c r="HH162" s="449"/>
      <c r="HI162" s="449"/>
      <c r="HJ162" s="449"/>
      <c r="HK162" s="449"/>
      <c r="HL162" s="449"/>
      <c r="HM162" s="449"/>
      <c r="HN162" s="449"/>
      <c r="HO162" s="449"/>
      <c r="HP162" s="449"/>
      <c r="HQ162" s="449"/>
      <c r="HR162" s="449"/>
      <c r="HS162" s="449"/>
      <c r="HT162" s="449"/>
      <c r="HU162" s="449"/>
      <c r="HV162" s="449"/>
      <c r="HW162" s="449"/>
      <c r="HX162" s="449"/>
      <c r="HY162" s="449"/>
      <c r="HZ162" s="449"/>
      <c r="IA162" s="449"/>
      <c r="IB162" s="449"/>
      <c r="IC162" s="449"/>
      <c r="ID162" s="449"/>
      <c r="IE162" s="449"/>
      <c r="IF162" s="449"/>
      <c r="IG162" s="449"/>
      <c r="IH162" s="449"/>
      <c r="II162" s="449"/>
      <c r="IJ162" s="449"/>
      <c r="IK162" s="449"/>
      <c r="IL162" s="449"/>
      <c r="IM162" s="449"/>
      <c r="IN162" s="449"/>
      <c r="IO162" s="449"/>
      <c r="IP162" s="449"/>
      <c r="IQ162" s="449"/>
      <c r="IR162" s="449"/>
      <c r="IS162" s="449"/>
      <c r="IT162" s="449"/>
      <c r="IU162" s="449"/>
      <c r="IV162" s="449"/>
      <c r="IW162" s="449"/>
      <c r="IX162" s="449"/>
      <c r="IY162" s="449"/>
    </row>
    <row r="163" spans="3:259" s="379" customFormat="1" ht="12.75" x14ac:dyDescent="0.2">
      <c r="C163" s="410" t="s">
        <v>1116</v>
      </c>
      <c r="D163" s="393" t="s">
        <v>877</v>
      </c>
      <c r="E163" s="410" t="s">
        <v>1117</v>
      </c>
      <c r="F163" s="410"/>
      <c r="G163" s="393">
        <v>1000</v>
      </c>
      <c r="H163" s="393">
        <v>260</v>
      </c>
      <c r="I163" s="393">
        <v>100</v>
      </c>
      <c r="J163" s="393"/>
      <c r="K163" s="397">
        <v>9119</v>
      </c>
      <c r="L163" s="397"/>
      <c r="M163" s="398">
        <f>K163*0.7</f>
        <v>6383.2999999999993</v>
      </c>
      <c r="N163" s="449"/>
      <c r="O163" s="449"/>
      <c r="P163" s="449"/>
      <c r="Q163" s="449"/>
      <c r="R163" s="449"/>
      <c r="S163" s="449"/>
      <c r="T163" s="449"/>
      <c r="U163" s="449"/>
      <c r="V163" s="449"/>
      <c r="W163" s="449"/>
      <c r="X163" s="449"/>
      <c r="Y163" s="449"/>
      <c r="Z163" s="449"/>
      <c r="AA163" s="449"/>
      <c r="AB163" s="449"/>
      <c r="AC163" s="449"/>
      <c r="AD163" s="449"/>
      <c r="AE163" s="449"/>
      <c r="AF163" s="449"/>
      <c r="AG163" s="449"/>
      <c r="AH163" s="449"/>
      <c r="AI163" s="449"/>
      <c r="AJ163" s="449"/>
      <c r="AK163" s="449"/>
      <c r="AL163" s="449"/>
      <c r="AM163" s="449"/>
      <c r="AN163" s="449"/>
      <c r="AO163" s="449"/>
      <c r="AP163" s="449"/>
      <c r="AQ163" s="449"/>
      <c r="AR163" s="449"/>
      <c r="AS163" s="449"/>
      <c r="AT163" s="449"/>
      <c r="AU163" s="449"/>
      <c r="AV163" s="449"/>
      <c r="AW163" s="449"/>
      <c r="AX163" s="449"/>
      <c r="AY163" s="449"/>
      <c r="AZ163" s="449"/>
      <c r="BA163" s="449"/>
      <c r="BB163" s="449"/>
      <c r="BC163" s="449"/>
      <c r="BD163" s="449"/>
      <c r="BE163" s="449"/>
      <c r="BF163" s="449"/>
      <c r="BG163" s="449"/>
      <c r="BH163" s="449"/>
      <c r="BI163" s="449"/>
      <c r="BJ163" s="449"/>
      <c r="BK163" s="449"/>
      <c r="BL163" s="449"/>
      <c r="BM163" s="449"/>
      <c r="BN163" s="449"/>
      <c r="BO163" s="449"/>
      <c r="BP163" s="449"/>
      <c r="BQ163" s="449"/>
      <c r="BR163" s="449"/>
      <c r="BS163" s="449"/>
      <c r="BT163" s="449"/>
      <c r="BU163" s="449"/>
      <c r="BV163" s="449"/>
      <c r="BW163" s="449"/>
      <c r="BX163" s="449"/>
      <c r="BY163" s="449"/>
      <c r="BZ163" s="449"/>
      <c r="CA163" s="449"/>
      <c r="CB163" s="449"/>
      <c r="CC163" s="449"/>
      <c r="CD163" s="449"/>
      <c r="CE163" s="449"/>
      <c r="CF163" s="449"/>
      <c r="CG163" s="449"/>
      <c r="CH163" s="449"/>
      <c r="CI163" s="449"/>
      <c r="CJ163" s="449"/>
      <c r="CK163" s="449"/>
      <c r="CL163" s="449"/>
      <c r="CM163" s="449"/>
      <c r="CN163" s="449"/>
      <c r="CO163" s="449"/>
      <c r="CP163" s="449"/>
      <c r="CQ163" s="449"/>
      <c r="CR163" s="449"/>
      <c r="CS163" s="449"/>
      <c r="CT163" s="449"/>
      <c r="CU163" s="449"/>
      <c r="CV163" s="449"/>
      <c r="CW163" s="449"/>
      <c r="CX163" s="449"/>
      <c r="CY163" s="449"/>
      <c r="CZ163" s="449"/>
      <c r="DA163" s="449"/>
      <c r="DB163" s="449"/>
      <c r="DC163" s="449"/>
      <c r="DD163" s="449"/>
      <c r="DE163" s="449"/>
      <c r="DF163" s="449"/>
      <c r="DG163" s="449"/>
      <c r="DH163" s="449"/>
      <c r="DI163" s="449"/>
      <c r="DJ163" s="449"/>
      <c r="DK163" s="449"/>
      <c r="DL163" s="449"/>
      <c r="DM163" s="449"/>
      <c r="DN163" s="449"/>
      <c r="DO163" s="449"/>
      <c r="DP163" s="449"/>
      <c r="DQ163" s="449"/>
      <c r="DR163" s="449"/>
      <c r="DS163" s="449"/>
      <c r="DT163" s="449"/>
      <c r="DU163" s="449"/>
      <c r="DV163" s="449"/>
      <c r="DW163" s="449"/>
      <c r="DX163" s="449"/>
      <c r="DY163" s="449"/>
      <c r="DZ163" s="449"/>
      <c r="EA163" s="449"/>
      <c r="EB163" s="449"/>
      <c r="EC163" s="449"/>
      <c r="ED163" s="449"/>
      <c r="EE163" s="449"/>
      <c r="EF163" s="449"/>
      <c r="EG163" s="449"/>
      <c r="EH163" s="449"/>
      <c r="EI163" s="449"/>
      <c r="EJ163" s="449"/>
      <c r="EK163" s="449"/>
      <c r="EL163" s="449"/>
      <c r="EM163" s="449"/>
      <c r="EN163" s="449"/>
      <c r="EO163" s="449"/>
      <c r="EP163" s="449"/>
      <c r="EQ163" s="449"/>
      <c r="ER163" s="449"/>
      <c r="ES163" s="449"/>
      <c r="ET163" s="449"/>
      <c r="EU163" s="449"/>
      <c r="EV163" s="449"/>
      <c r="EW163" s="449"/>
      <c r="EX163" s="449"/>
      <c r="EY163" s="449"/>
      <c r="EZ163" s="449"/>
      <c r="FA163" s="449"/>
      <c r="FB163" s="449"/>
      <c r="FC163" s="449"/>
      <c r="FD163" s="449"/>
      <c r="FE163" s="449"/>
      <c r="FF163" s="449"/>
      <c r="FG163" s="449"/>
      <c r="FH163" s="449"/>
      <c r="FI163" s="449"/>
      <c r="FJ163" s="449"/>
      <c r="FK163" s="449"/>
      <c r="FL163" s="449"/>
      <c r="FM163" s="449"/>
      <c r="FN163" s="449"/>
      <c r="FO163" s="449"/>
      <c r="FP163" s="449"/>
      <c r="FQ163" s="449"/>
      <c r="FR163" s="449"/>
      <c r="FS163" s="449"/>
      <c r="FT163" s="449"/>
      <c r="FU163" s="449"/>
      <c r="FV163" s="449"/>
      <c r="FW163" s="449"/>
      <c r="FX163" s="449"/>
      <c r="FY163" s="449"/>
      <c r="FZ163" s="449"/>
      <c r="GA163" s="449"/>
      <c r="GB163" s="449"/>
      <c r="GC163" s="449"/>
      <c r="GD163" s="449"/>
      <c r="GE163" s="449"/>
      <c r="GF163" s="449"/>
      <c r="GG163" s="449"/>
      <c r="GH163" s="449"/>
      <c r="GI163" s="449"/>
      <c r="GJ163" s="449"/>
      <c r="GK163" s="449"/>
      <c r="GL163" s="449"/>
      <c r="GM163" s="449"/>
      <c r="GN163" s="449"/>
      <c r="GO163" s="449"/>
      <c r="GP163" s="449"/>
      <c r="GQ163" s="449"/>
      <c r="GR163" s="449"/>
      <c r="GS163" s="449"/>
      <c r="GT163" s="449"/>
      <c r="GU163" s="449"/>
      <c r="GV163" s="449"/>
      <c r="GW163" s="449"/>
      <c r="GX163" s="449"/>
      <c r="GY163" s="449"/>
      <c r="GZ163" s="449"/>
      <c r="HA163" s="449"/>
      <c r="HB163" s="449"/>
      <c r="HC163" s="449"/>
      <c r="HD163" s="449"/>
      <c r="HE163" s="449"/>
      <c r="HF163" s="449"/>
      <c r="HG163" s="449"/>
      <c r="HH163" s="449"/>
      <c r="HI163" s="449"/>
      <c r="HJ163" s="449"/>
      <c r="HK163" s="449"/>
      <c r="HL163" s="449"/>
      <c r="HM163" s="449"/>
      <c r="HN163" s="449"/>
      <c r="HO163" s="449"/>
      <c r="HP163" s="449"/>
      <c r="HQ163" s="449"/>
      <c r="HR163" s="449"/>
      <c r="HS163" s="449"/>
      <c r="HT163" s="449"/>
      <c r="HU163" s="449"/>
      <c r="HV163" s="449"/>
      <c r="HW163" s="449"/>
      <c r="HX163" s="449"/>
      <c r="HY163" s="449"/>
      <c r="HZ163" s="449"/>
      <c r="IA163" s="449"/>
      <c r="IB163" s="449"/>
      <c r="IC163" s="449"/>
      <c r="ID163" s="449"/>
      <c r="IE163" s="449"/>
      <c r="IF163" s="449"/>
      <c r="IG163" s="449"/>
      <c r="IH163" s="449"/>
      <c r="II163" s="449"/>
      <c r="IJ163" s="449"/>
      <c r="IK163" s="449"/>
      <c r="IL163" s="449"/>
      <c r="IM163" s="449"/>
      <c r="IN163" s="449"/>
      <c r="IO163" s="449"/>
      <c r="IP163" s="449"/>
      <c r="IQ163" s="449"/>
      <c r="IR163" s="449"/>
      <c r="IS163" s="449"/>
      <c r="IT163" s="449"/>
      <c r="IU163" s="449"/>
      <c r="IV163" s="449"/>
      <c r="IW163" s="449"/>
      <c r="IX163" s="449"/>
      <c r="IY163" s="449"/>
    </row>
    <row r="164" spans="3:259" s="379" customFormat="1" ht="12.75" x14ac:dyDescent="0.2">
      <c r="C164" s="410" t="s">
        <v>1118</v>
      </c>
      <c r="D164" s="393" t="s">
        <v>877</v>
      </c>
      <c r="E164" s="410" t="s">
        <v>1119</v>
      </c>
      <c r="F164" s="410"/>
      <c r="G164" s="393">
        <v>1000</v>
      </c>
      <c r="H164" s="393">
        <v>260</v>
      </c>
      <c r="I164" s="393">
        <v>210</v>
      </c>
      <c r="J164" s="393">
        <v>35.86</v>
      </c>
      <c r="K164" s="397">
        <v>10270</v>
      </c>
      <c r="L164" s="397"/>
      <c r="M164" s="398">
        <f>K164*0.7</f>
        <v>7188.9999999999991</v>
      </c>
      <c r="N164" s="449"/>
      <c r="O164" s="449"/>
      <c r="P164" s="449"/>
      <c r="Q164" s="449"/>
      <c r="R164" s="449"/>
      <c r="S164" s="449"/>
      <c r="T164" s="449"/>
      <c r="U164" s="449"/>
      <c r="V164" s="449"/>
      <c r="W164" s="449"/>
      <c r="X164" s="449"/>
      <c r="Y164" s="449"/>
      <c r="Z164" s="449"/>
      <c r="AA164" s="449"/>
      <c r="AB164" s="449"/>
      <c r="AC164" s="449"/>
      <c r="AD164" s="449"/>
      <c r="AE164" s="449"/>
      <c r="AF164" s="449"/>
      <c r="AG164" s="449"/>
      <c r="AH164" s="449"/>
      <c r="AI164" s="449"/>
      <c r="AJ164" s="449"/>
      <c r="AK164" s="449"/>
      <c r="AL164" s="449"/>
      <c r="AM164" s="449"/>
      <c r="AN164" s="449"/>
      <c r="AO164" s="449"/>
      <c r="AP164" s="449"/>
      <c r="AQ164" s="449"/>
      <c r="AR164" s="449"/>
      <c r="AS164" s="449"/>
      <c r="AT164" s="449"/>
      <c r="AU164" s="449"/>
      <c r="AV164" s="449"/>
      <c r="AW164" s="449"/>
      <c r="AX164" s="449"/>
      <c r="AY164" s="449"/>
      <c r="AZ164" s="449"/>
      <c r="BA164" s="449"/>
      <c r="BB164" s="449"/>
      <c r="BC164" s="449"/>
      <c r="BD164" s="449"/>
      <c r="BE164" s="449"/>
      <c r="BF164" s="449"/>
      <c r="BG164" s="449"/>
      <c r="BH164" s="449"/>
      <c r="BI164" s="449"/>
      <c r="BJ164" s="449"/>
      <c r="BK164" s="449"/>
      <c r="BL164" s="449"/>
      <c r="BM164" s="449"/>
      <c r="BN164" s="449"/>
      <c r="BO164" s="449"/>
      <c r="BP164" s="449"/>
      <c r="BQ164" s="449"/>
      <c r="BR164" s="449"/>
      <c r="BS164" s="449"/>
      <c r="BT164" s="449"/>
      <c r="BU164" s="449"/>
      <c r="BV164" s="449"/>
      <c r="BW164" s="449"/>
      <c r="BX164" s="449"/>
      <c r="BY164" s="449"/>
      <c r="BZ164" s="449"/>
      <c r="CA164" s="449"/>
      <c r="CB164" s="449"/>
      <c r="CC164" s="449"/>
      <c r="CD164" s="449"/>
      <c r="CE164" s="449"/>
      <c r="CF164" s="449"/>
      <c r="CG164" s="449"/>
      <c r="CH164" s="449"/>
      <c r="CI164" s="449"/>
      <c r="CJ164" s="449"/>
      <c r="CK164" s="449"/>
      <c r="CL164" s="449"/>
      <c r="CM164" s="449"/>
      <c r="CN164" s="449"/>
      <c r="CO164" s="449"/>
      <c r="CP164" s="449"/>
      <c r="CQ164" s="449"/>
      <c r="CR164" s="449"/>
      <c r="CS164" s="449"/>
      <c r="CT164" s="449"/>
      <c r="CU164" s="449"/>
      <c r="CV164" s="449"/>
      <c r="CW164" s="449"/>
      <c r="CX164" s="449"/>
      <c r="CY164" s="449"/>
      <c r="CZ164" s="449"/>
      <c r="DA164" s="449"/>
      <c r="DB164" s="449"/>
      <c r="DC164" s="449"/>
      <c r="DD164" s="449"/>
      <c r="DE164" s="449"/>
      <c r="DF164" s="449"/>
      <c r="DG164" s="449"/>
      <c r="DH164" s="449"/>
      <c r="DI164" s="449"/>
      <c r="DJ164" s="449"/>
      <c r="DK164" s="449"/>
      <c r="DL164" s="449"/>
      <c r="DM164" s="449"/>
      <c r="DN164" s="449"/>
      <c r="DO164" s="449"/>
      <c r="DP164" s="449"/>
      <c r="DQ164" s="449"/>
      <c r="DR164" s="449"/>
      <c r="DS164" s="449"/>
      <c r="DT164" s="449"/>
      <c r="DU164" s="449"/>
      <c r="DV164" s="449"/>
      <c r="DW164" s="449"/>
      <c r="DX164" s="449"/>
      <c r="DY164" s="449"/>
      <c r="DZ164" s="449"/>
      <c r="EA164" s="449"/>
      <c r="EB164" s="449"/>
      <c r="EC164" s="449"/>
      <c r="ED164" s="449"/>
      <c r="EE164" s="449"/>
      <c r="EF164" s="449"/>
      <c r="EG164" s="449"/>
      <c r="EH164" s="449"/>
      <c r="EI164" s="449"/>
      <c r="EJ164" s="449"/>
      <c r="EK164" s="449"/>
      <c r="EL164" s="449"/>
      <c r="EM164" s="449"/>
      <c r="EN164" s="449"/>
      <c r="EO164" s="449"/>
      <c r="EP164" s="449"/>
      <c r="EQ164" s="449"/>
      <c r="ER164" s="449"/>
      <c r="ES164" s="449"/>
      <c r="ET164" s="449"/>
      <c r="EU164" s="449"/>
      <c r="EV164" s="449"/>
      <c r="EW164" s="449"/>
      <c r="EX164" s="449"/>
      <c r="EY164" s="449"/>
      <c r="EZ164" s="449"/>
      <c r="FA164" s="449"/>
      <c r="FB164" s="449"/>
      <c r="FC164" s="449"/>
      <c r="FD164" s="449"/>
      <c r="FE164" s="449"/>
      <c r="FF164" s="449"/>
      <c r="FG164" s="449"/>
      <c r="FH164" s="449"/>
      <c r="FI164" s="449"/>
      <c r="FJ164" s="449"/>
      <c r="FK164" s="449"/>
      <c r="FL164" s="449"/>
      <c r="FM164" s="449"/>
      <c r="FN164" s="449"/>
      <c r="FO164" s="449"/>
      <c r="FP164" s="449"/>
      <c r="FQ164" s="449"/>
      <c r="FR164" s="449"/>
      <c r="FS164" s="449"/>
      <c r="FT164" s="449"/>
      <c r="FU164" s="449"/>
      <c r="FV164" s="449"/>
      <c r="FW164" s="449"/>
      <c r="FX164" s="449"/>
      <c r="FY164" s="449"/>
      <c r="FZ164" s="449"/>
      <c r="GA164" s="449"/>
      <c r="GB164" s="449"/>
      <c r="GC164" s="449"/>
      <c r="GD164" s="449"/>
      <c r="GE164" s="449"/>
      <c r="GF164" s="449"/>
      <c r="GG164" s="449"/>
      <c r="GH164" s="449"/>
      <c r="GI164" s="449"/>
      <c r="GJ164" s="449"/>
      <c r="GK164" s="449"/>
      <c r="GL164" s="449"/>
      <c r="GM164" s="449"/>
      <c r="GN164" s="449"/>
      <c r="GO164" s="449"/>
      <c r="GP164" s="449"/>
      <c r="GQ164" s="449"/>
      <c r="GR164" s="449"/>
      <c r="GS164" s="449"/>
      <c r="GT164" s="449"/>
      <c r="GU164" s="449"/>
      <c r="GV164" s="449"/>
      <c r="GW164" s="449"/>
      <c r="GX164" s="449"/>
      <c r="GY164" s="449"/>
      <c r="GZ164" s="449"/>
      <c r="HA164" s="449"/>
      <c r="HB164" s="449"/>
      <c r="HC164" s="449"/>
      <c r="HD164" s="449"/>
      <c r="HE164" s="449"/>
      <c r="HF164" s="449"/>
      <c r="HG164" s="449"/>
      <c r="HH164" s="449"/>
      <c r="HI164" s="449"/>
      <c r="HJ164" s="449"/>
      <c r="HK164" s="449"/>
      <c r="HL164" s="449"/>
      <c r="HM164" s="449"/>
      <c r="HN164" s="449"/>
      <c r="HO164" s="449"/>
      <c r="HP164" s="449"/>
      <c r="HQ164" s="449"/>
      <c r="HR164" s="449"/>
      <c r="HS164" s="449"/>
      <c r="HT164" s="449"/>
      <c r="HU164" s="449"/>
      <c r="HV164" s="449"/>
      <c r="HW164" s="449"/>
      <c r="HX164" s="449"/>
      <c r="HY164" s="449"/>
      <c r="HZ164" s="449"/>
      <c r="IA164" s="449"/>
      <c r="IB164" s="449"/>
      <c r="IC164" s="449"/>
      <c r="ID164" s="449"/>
      <c r="IE164" s="449"/>
      <c r="IF164" s="449"/>
      <c r="IG164" s="449"/>
      <c r="IH164" s="449"/>
      <c r="II164" s="449"/>
      <c r="IJ164" s="449"/>
      <c r="IK164" s="449"/>
      <c r="IL164" s="449"/>
      <c r="IM164" s="449"/>
      <c r="IN164" s="449"/>
      <c r="IO164" s="449"/>
      <c r="IP164" s="449"/>
      <c r="IQ164" s="449"/>
      <c r="IR164" s="449"/>
      <c r="IS164" s="449"/>
      <c r="IT164" s="449"/>
      <c r="IU164" s="449"/>
      <c r="IV164" s="449"/>
      <c r="IW164" s="449"/>
      <c r="IX164" s="449"/>
      <c r="IY164" s="449"/>
    </row>
    <row r="165" spans="3:259" s="379" customFormat="1" ht="12.75" x14ac:dyDescent="0.2">
      <c r="C165" s="410" t="s">
        <v>1120</v>
      </c>
      <c r="D165" s="393" t="s">
        <v>877</v>
      </c>
      <c r="E165" s="410" t="s">
        <v>1121</v>
      </c>
      <c r="F165" s="410"/>
      <c r="G165" s="393">
        <v>1000</v>
      </c>
      <c r="H165" s="393">
        <v>260</v>
      </c>
      <c r="I165" s="393">
        <v>260</v>
      </c>
      <c r="J165" s="393">
        <v>39.99</v>
      </c>
      <c r="K165" s="397">
        <v>11032</v>
      </c>
      <c r="L165" s="397"/>
      <c r="M165" s="398">
        <f>K165*0.7</f>
        <v>7722.4</v>
      </c>
      <c r="N165" s="449"/>
      <c r="O165" s="449"/>
      <c r="P165" s="449"/>
      <c r="Q165" s="449"/>
      <c r="R165" s="449"/>
      <c r="S165" s="449"/>
      <c r="T165" s="449"/>
      <c r="U165" s="449"/>
      <c r="V165" s="449"/>
      <c r="W165" s="449"/>
      <c r="X165" s="449"/>
      <c r="Y165" s="449"/>
      <c r="Z165" s="449"/>
      <c r="AA165" s="449"/>
      <c r="AB165" s="449"/>
      <c r="AC165" s="449"/>
      <c r="AD165" s="449"/>
      <c r="AE165" s="449"/>
      <c r="AF165" s="449"/>
      <c r="AG165" s="449"/>
      <c r="AH165" s="449"/>
      <c r="AI165" s="449"/>
      <c r="AJ165" s="449"/>
      <c r="AK165" s="449"/>
      <c r="AL165" s="449"/>
      <c r="AM165" s="449"/>
      <c r="AN165" s="449"/>
      <c r="AO165" s="449"/>
      <c r="AP165" s="449"/>
      <c r="AQ165" s="449"/>
      <c r="AR165" s="449"/>
      <c r="AS165" s="449"/>
      <c r="AT165" s="449"/>
      <c r="AU165" s="449"/>
      <c r="AV165" s="449"/>
      <c r="AW165" s="449"/>
      <c r="AX165" s="449"/>
      <c r="AY165" s="449"/>
      <c r="AZ165" s="449"/>
      <c r="BA165" s="449"/>
      <c r="BB165" s="449"/>
      <c r="BC165" s="449"/>
      <c r="BD165" s="449"/>
      <c r="BE165" s="449"/>
      <c r="BF165" s="449"/>
      <c r="BG165" s="449"/>
      <c r="BH165" s="449"/>
      <c r="BI165" s="449"/>
      <c r="BJ165" s="449"/>
      <c r="BK165" s="449"/>
      <c r="BL165" s="449"/>
      <c r="BM165" s="449"/>
      <c r="BN165" s="449"/>
      <c r="BO165" s="449"/>
      <c r="BP165" s="449"/>
      <c r="BQ165" s="449"/>
      <c r="BR165" s="449"/>
      <c r="BS165" s="449"/>
      <c r="BT165" s="449"/>
      <c r="BU165" s="449"/>
      <c r="BV165" s="449"/>
      <c r="BW165" s="449"/>
      <c r="BX165" s="449"/>
      <c r="BY165" s="449"/>
      <c r="BZ165" s="449"/>
      <c r="CA165" s="449"/>
      <c r="CB165" s="449"/>
      <c r="CC165" s="449"/>
      <c r="CD165" s="449"/>
      <c r="CE165" s="449"/>
      <c r="CF165" s="449"/>
      <c r="CG165" s="449"/>
      <c r="CH165" s="449"/>
      <c r="CI165" s="449"/>
      <c r="CJ165" s="449"/>
      <c r="CK165" s="449"/>
      <c r="CL165" s="449"/>
      <c r="CM165" s="449"/>
      <c r="CN165" s="449"/>
      <c r="CO165" s="449"/>
      <c r="CP165" s="449"/>
      <c r="CQ165" s="449"/>
      <c r="CR165" s="449"/>
      <c r="CS165" s="449"/>
      <c r="CT165" s="449"/>
      <c r="CU165" s="449"/>
      <c r="CV165" s="449"/>
      <c r="CW165" s="449"/>
      <c r="CX165" s="449"/>
      <c r="CY165" s="449"/>
      <c r="CZ165" s="449"/>
      <c r="DA165" s="449"/>
      <c r="DB165" s="449"/>
      <c r="DC165" s="449"/>
      <c r="DD165" s="449"/>
      <c r="DE165" s="449"/>
      <c r="DF165" s="449"/>
      <c r="DG165" s="449"/>
      <c r="DH165" s="449"/>
      <c r="DI165" s="449"/>
      <c r="DJ165" s="449"/>
      <c r="DK165" s="449"/>
      <c r="DL165" s="449"/>
      <c r="DM165" s="449"/>
      <c r="DN165" s="449"/>
      <c r="DO165" s="449"/>
      <c r="DP165" s="449"/>
      <c r="DQ165" s="449"/>
      <c r="DR165" s="449"/>
      <c r="DS165" s="449"/>
      <c r="DT165" s="449"/>
      <c r="DU165" s="449"/>
      <c r="DV165" s="449"/>
      <c r="DW165" s="449"/>
      <c r="DX165" s="449"/>
      <c r="DY165" s="449"/>
      <c r="DZ165" s="449"/>
      <c r="EA165" s="449"/>
      <c r="EB165" s="449"/>
      <c r="EC165" s="449"/>
      <c r="ED165" s="449"/>
      <c r="EE165" s="449"/>
      <c r="EF165" s="449"/>
      <c r="EG165" s="449"/>
      <c r="EH165" s="449"/>
      <c r="EI165" s="449"/>
      <c r="EJ165" s="449"/>
      <c r="EK165" s="449"/>
      <c r="EL165" s="449"/>
      <c r="EM165" s="449"/>
      <c r="EN165" s="449"/>
      <c r="EO165" s="449"/>
      <c r="EP165" s="449"/>
      <c r="EQ165" s="449"/>
      <c r="ER165" s="449"/>
      <c r="ES165" s="449"/>
      <c r="ET165" s="449"/>
      <c r="EU165" s="449"/>
      <c r="EV165" s="449"/>
      <c r="EW165" s="449"/>
      <c r="EX165" s="449"/>
      <c r="EY165" s="449"/>
      <c r="EZ165" s="449"/>
      <c r="FA165" s="449"/>
      <c r="FB165" s="449"/>
      <c r="FC165" s="449"/>
      <c r="FD165" s="449"/>
      <c r="FE165" s="449"/>
      <c r="FF165" s="449"/>
      <c r="FG165" s="449"/>
      <c r="FH165" s="449"/>
      <c r="FI165" s="449"/>
      <c r="FJ165" s="449"/>
      <c r="FK165" s="449"/>
      <c r="FL165" s="449"/>
      <c r="FM165" s="449"/>
      <c r="FN165" s="449"/>
      <c r="FO165" s="449"/>
      <c r="FP165" s="449"/>
      <c r="FQ165" s="449"/>
      <c r="FR165" s="449"/>
      <c r="FS165" s="449"/>
      <c r="FT165" s="449"/>
      <c r="FU165" s="449"/>
      <c r="FV165" s="449"/>
      <c r="FW165" s="449"/>
      <c r="FX165" s="449"/>
      <c r="FY165" s="449"/>
      <c r="FZ165" s="449"/>
      <c r="GA165" s="449"/>
      <c r="GB165" s="449"/>
      <c r="GC165" s="449"/>
      <c r="GD165" s="449"/>
      <c r="GE165" s="449"/>
      <c r="GF165" s="449"/>
      <c r="GG165" s="449"/>
      <c r="GH165" s="449"/>
      <c r="GI165" s="449"/>
      <c r="GJ165" s="449"/>
      <c r="GK165" s="449"/>
      <c r="GL165" s="449"/>
      <c r="GM165" s="449"/>
      <c r="GN165" s="449"/>
      <c r="GO165" s="449"/>
      <c r="GP165" s="449"/>
      <c r="GQ165" s="449"/>
      <c r="GR165" s="449"/>
      <c r="GS165" s="449"/>
      <c r="GT165" s="449"/>
      <c r="GU165" s="449"/>
      <c r="GV165" s="449"/>
      <c r="GW165" s="449"/>
      <c r="GX165" s="449"/>
      <c r="GY165" s="449"/>
      <c r="GZ165" s="449"/>
      <c r="HA165" s="449"/>
      <c r="HB165" s="449"/>
      <c r="HC165" s="449"/>
      <c r="HD165" s="449"/>
      <c r="HE165" s="449"/>
      <c r="HF165" s="449"/>
      <c r="HG165" s="449"/>
      <c r="HH165" s="449"/>
      <c r="HI165" s="449"/>
      <c r="HJ165" s="449"/>
      <c r="HK165" s="449"/>
      <c r="HL165" s="449"/>
      <c r="HM165" s="449"/>
      <c r="HN165" s="449"/>
      <c r="HO165" s="449"/>
      <c r="HP165" s="449"/>
      <c r="HQ165" s="449"/>
      <c r="HR165" s="449"/>
      <c r="HS165" s="449"/>
      <c r="HT165" s="449"/>
      <c r="HU165" s="449"/>
      <c r="HV165" s="449"/>
      <c r="HW165" s="449"/>
      <c r="HX165" s="449"/>
      <c r="HY165" s="449"/>
      <c r="HZ165" s="449"/>
      <c r="IA165" s="449"/>
      <c r="IB165" s="449"/>
      <c r="IC165" s="449"/>
      <c r="ID165" s="449"/>
      <c r="IE165" s="449"/>
      <c r="IF165" s="449"/>
      <c r="IG165" s="449"/>
      <c r="IH165" s="449"/>
      <c r="II165" s="449"/>
      <c r="IJ165" s="449"/>
      <c r="IK165" s="449"/>
      <c r="IL165" s="449"/>
      <c r="IM165" s="449"/>
      <c r="IN165" s="449"/>
      <c r="IO165" s="449"/>
      <c r="IP165" s="449"/>
      <c r="IQ165" s="449"/>
      <c r="IR165" s="449"/>
      <c r="IS165" s="449"/>
      <c r="IT165" s="449"/>
      <c r="IU165" s="449"/>
      <c r="IV165" s="449"/>
      <c r="IW165" s="449"/>
      <c r="IX165" s="449"/>
      <c r="IY165" s="449"/>
    </row>
    <row r="166" spans="3:259" s="379" customFormat="1" ht="12.75" x14ac:dyDescent="0.2">
      <c r="C166" s="410" t="s">
        <v>1122</v>
      </c>
      <c r="D166" s="393" t="s">
        <v>877</v>
      </c>
      <c r="E166" s="410" t="s">
        <v>1123</v>
      </c>
      <c r="F166" s="410"/>
      <c r="G166" s="393">
        <v>1000</v>
      </c>
      <c r="H166" s="393">
        <v>260</v>
      </c>
      <c r="I166" s="393">
        <v>310</v>
      </c>
      <c r="J166" s="393">
        <v>58</v>
      </c>
      <c r="K166" s="397">
        <v>11475</v>
      </c>
      <c r="L166" s="397"/>
      <c r="M166" s="398">
        <f>K166*0.7</f>
        <v>8032.4999999999991</v>
      </c>
      <c r="N166" s="449"/>
      <c r="O166" s="449"/>
      <c r="P166" s="449"/>
      <c r="Q166" s="449"/>
      <c r="R166" s="449"/>
      <c r="S166" s="449"/>
      <c r="T166" s="449"/>
      <c r="U166" s="449"/>
      <c r="V166" s="449"/>
      <c r="W166" s="449"/>
      <c r="X166" s="449"/>
      <c r="Y166" s="449"/>
      <c r="Z166" s="449"/>
      <c r="AA166" s="449"/>
      <c r="AB166" s="449"/>
      <c r="AC166" s="449"/>
      <c r="AD166" s="449"/>
      <c r="AE166" s="449"/>
      <c r="AF166" s="449"/>
      <c r="AG166" s="449"/>
      <c r="AH166" s="449"/>
      <c r="AI166" s="449"/>
      <c r="AJ166" s="449"/>
      <c r="AK166" s="449"/>
      <c r="AL166" s="449"/>
      <c r="AM166" s="449"/>
      <c r="AN166" s="449"/>
      <c r="AO166" s="449"/>
      <c r="AP166" s="449"/>
      <c r="AQ166" s="449"/>
      <c r="AR166" s="449"/>
      <c r="AS166" s="449"/>
      <c r="AT166" s="449"/>
      <c r="AU166" s="449"/>
      <c r="AV166" s="449"/>
      <c r="AW166" s="449"/>
      <c r="AX166" s="449"/>
      <c r="AY166" s="449"/>
      <c r="AZ166" s="449"/>
      <c r="BA166" s="449"/>
      <c r="BB166" s="449"/>
      <c r="BC166" s="449"/>
      <c r="BD166" s="449"/>
      <c r="BE166" s="449"/>
      <c r="BF166" s="449"/>
      <c r="BG166" s="449"/>
      <c r="BH166" s="449"/>
      <c r="BI166" s="449"/>
      <c r="BJ166" s="449"/>
      <c r="BK166" s="449"/>
      <c r="BL166" s="449"/>
      <c r="BM166" s="449"/>
      <c r="BN166" s="449"/>
      <c r="BO166" s="449"/>
      <c r="BP166" s="449"/>
      <c r="BQ166" s="449"/>
      <c r="BR166" s="449"/>
      <c r="BS166" s="449"/>
      <c r="BT166" s="449"/>
      <c r="BU166" s="449"/>
      <c r="BV166" s="449"/>
      <c r="BW166" s="449"/>
      <c r="BX166" s="449"/>
      <c r="BY166" s="449"/>
      <c r="BZ166" s="449"/>
      <c r="CA166" s="449"/>
      <c r="CB166" s="449"/>
      <c r="CC166" s="449"/>
      <c r="CD166" s="449"/>
      <c r="CE166" s="449"/>
      <c r="CF166" s="449"/>
      <c r="CG166" s="449"/>
      <c r="CH166" s="449"/>
      <c r="CI166" s="449"/>
      <c r="CJ166" s="449"/>
      <c r="CK166" s="449"/>
      <c r="CL166" s="449"/>
      <c r="CM166" s="449"/>
      <c r="CN166" s="449"/>
      <c r="CO166" s="449"/>
      <c r="CP166" s="449"/>
      <c r="CQ166" s="449"/>
      <c r="CR166" s="449"/>
      <c r="CS166" s="449"/>
      <c r="CT166" s="449"/>
      <c r="CU166" s="449"/>
      <c r="CV166" s="449"/>
      <c r="CW166" s="449"/>
      <c r="CX166" s="449"/>
      <c r="CY166" s="449"/>
      <c r="CZ166" s="449"/>
      <c r="DA166" s="449"/>
      <c r="DB166" s="449"/>
      <c r="DC166" s="449"/>
      <c r="DD166" s="449"/>
      <c r="DE166" s="449"/>
      <c r="DF166" s="449"/>
      <c r="DG166" s="449"/>
      <c r="DH166" s="449"/>
      <c r="DI166" s="449"/>
      <c r="DJ166" s="449"/>
      <c r="DK166" s="449"/>
      <c r="DL166" s="449"/>
      <c r="DM166" s="449"/>
      <c r="DN166" s="449"/>
      <c r="DO166" s="449"/>
      <c r="DP166" s="449"/>
      <c r="DQ166" s="449"/>
      <c r="DR166" s="449"/>
      <c r="DS166" s="449"/>
      <c r="DT166" s="449"/>
      <c r="DU166" s="449"/>
      <c r="DV166" s="449"/>
      <c r="DW166" s="449"/>
      <c r="DX166" s="449"/>
      <c r="DY166" s="449"/>
      <c r="DZ166" s="449"/>
      <c r="EA166" s="449"/>
      <c r="EB166" s="449"/>
      <c r="EC166" s="449"/>
      <c r="ED166" s="449"/>
      <c r="EE166" s="449"/>
      <c r="EF166" s="449"/>
      <c r="EG166" s="449"/>
      <c r="EH166" s="449"/>
      <c r="EI166" s="449"/>
      <c r="EJ166" s="449"/>
      <c r="EK166" s="449"/>
      <c r="EL166" s="449"/>
      <c r="EM166" s="449"/>
      <c r="EN166" s="449"/>
      <c r="EO166" s="449"/>
      <c r="EP166" s="449"/>
      <c r="EQ166" s="449"/>
      <c r="ER166" s="449"/>
      <c r="ES166" s="449"/>
      <c r="ET166" s="449"/>
      <c r="EU166" s="449"/>
      <c r="EV166" s="449"/>
      <c r="EW166" s="449"/>
      <c r="EX166" s="449"/>
      <c r="EY166" s="449"/>
      <c r="EZ166" s="449"/>
      <c r="FA166" s="449"/>
      <c r="FB166" s="449"/>
      <c r="FC166" s="449"/>
      <c r="FD166" s="449"/>
      <c r="FE166" s="449"/>
      <c r="FF166" s="449"/>
      <c r="FG166" s="449"/>
      <c r="FH166" s="449"/>
      <c r="FI166" s="449"/>
      <c r="FJ166" s="449"/>
      <c r="FK166" s="449"/>
      <c r="FL166" s="449"/>
      <c r="FM166" s="449"/>
      <c r="FN166" s="449"/>
      <c r="FO166" s="449"/>
      <c r="FP166" s="449"/>
      <c r="FQ166" s="449"/>
      <c r="FR166" s="449"/>
      <c r="FS166" s="449"/>
      <c r="FT166" s="449"/>
      <c r="FU166" s="449"/>
      <c r="FV166" s="449"/>
      <c r="FW166" s="449"/>
      <c r="FX166" s="449"/>
      <c r="FY166" s="449"/>
      <c r="FZ166" s="449"/>
      <c r="GA166" s="449"/>
      <c r="GB166" s="449"/>
      <c r="GC166" s="449"/>
      <c r="GD166" s="449"/>
      <c r="GE166" s="449"/>
      <c r="GF166" s="449"/>
      <c r="GG166" s="449"/>
      <c r="GH166" s="449"/>
      <c r="GI166" s="449"/>
      <c r="GJ166" s="449"/>
      <c r="GK166" s="449"/>
      <c r="GL166" s="449"/>
      <c r="GM166" s="449"/>
      <c r="GN166" s="449"/>
      <c r="GO166" s="449"/>
      <c r="GP166" s="449"/>
      <c r="GQ166" s="449"/>
      <c r="GR166" s="449"/>
      <c r="GS166" s="449"/>
      <c r="GT166" s="449"/>
      <c r="GU166" s="449"/>
      <c r="GV166" s="449"/>
      <c r="GW166" s="449"/>
      <c r="GX166" s="449"/>
      <c r="GY166" s="449"/>
      <c r="GZ166" s="449"/>
      <c r="HA166" s="449"/>
      <c r="HB166" s="449"/>
      <c r="HC166" s="449"/>
      <c r="HD166" s="449"/>
      <c r="HE166" s="449"/>
      <c r="HF166" s="449"/>
      <c r="HG166" s="449"/>
      <c r="HH166" s="449"/>
      <c r="HI166" s="449"/>
      <c r="HJ166" s="449"/>
      <c r="HK166" s="449"/>
      <c r="HL166" s="449"/>
      <c r="HM166" s="449"/>
      <c r="HN166" s="449"/>
      <c r="HO166" s="449"/>
      <c r="HP166" s="449"/>
      <c r="HQ166" s="449"/>
      <c r="HR166" s="449"/>
      <c r="HS166" s="449"/>
      <c r="HT166" s="449"/>
      <c r="HU166" s="449"/>
      <c r="HV166" s="449"/>
      <c r="HW166" s="449"/>
      <c r="HX166" s="449"/>
      <c r="HY166" s="449"/>
      <c r="HZ166" s="449"/>
      <c r="IA166" s="449"/>
      <c r="IB166" s="449"/>
      <c r="IC166" s="449"/>
      <c r="ID166" s="449"/>
      <c r="IE166" s="449"/>
      <c r="IF166" s="449"/>
      <c r="IG166" s="449"/>
      <c r="IH166" s="449"/>
      <c r="II166" s="449"/>
      <c r="IJ166" s="449"/>
      <c r="IK166" s="449"/>
      <c r="IL166" s="449"/>
      <c r="IM166" s="449"/>
      <c r="IN166" s="449"/>
      <c r="IO166" s="449"/>
      <c r="IP166" s="449"/>
      <c r="IQ166" s="449"/>
      <c r="IR166" s="449"/>
      <c r="IS166" s="449"/>
      <c r="IT166" s="449"/>
      <c r="IU166" s="449"/>
      <c r="IV166" s="449"/>
      <c r="IW166" s="449"/>
      <c r="IX166" s="449"/>
      <c r="IY166" s="449"/>
    </row>
    <row r="167" spans="3:259" s="379" customFormat="1" ht="12.75" x14ac:dyDescent="0.2">
      <c r="C167" s="410" t="s">
        <v>1124</v>
      </c>
      <c r="D167" s="393" t="s">
        <v>877</v>
      </c>
      <c r="E167" s="410" t="s">
        <v>1125</v>
      </c>
      <c r="F167" s="410"/>
      <c r="G167" s="393">
        <v>1000</v>
      </c>
      <c r="H167" s="393">
        <v>260</v>
      </c>
      <c r="I167" s="393">
        <v>360</v>
      </c>
      <c r="J167" s="393">
        <v>49.17</v>
      </c>
      <c r="K167" s="397">
        <v>12190</v>
      </c>
      <c r="L167" s="397"/>
      <c r="M167" s="398">
        <f>K167*0.7</f>
        <v>8533</v>
      </c>
      <c r="N167" s="449"/>
      <c r="O167" s="449"/>
      <c r="P167" s="449"/>
      <c r="Q167" s="449"/>
      <c r="R167" s="449"/>
      <c r="S167" s="449"/>
      <c r="T167" s="449"/>
      <c r="U167" s="449"/>
      <c r="V167" s="449"/>
      <c r="W167" s="449"/>
      <c r="X167" s="449"/>
      <c r="Y167" s="449"/>
      <c r="Z167" s="449"/>
      <c r="AA167" s="449"/>
      <c r="AB167" s="449"/>
      <c r="AC167" s="449"/>
      <c r="AD167" s="449"/>
      <c r="AE167" s="449"/>
      <c r="AF167" s="449"/>
      <c r="AG167" s="449"/>
      <c r="AH167" s="449"/>
      <c r="AI167" s="449"/>
      <c r="AJ167" s="449"/>
      <c r="AK167" s="449"/>
      <c r="AL167" s="449"/>
      <c r="AM167" s="449"/>
      <c r="AN167" s="449"/>
      <c r="AO167" s="449"/>
      <c r="AP167" s="449"/>
      <c r="AQ167" s="449"/>
      <c r="AR167" s="449"/>
      <c r="AS167" s="449"/>
      <c r="AT167" s="449"/>
      <c r="AU167" s="449"/>
      <c r="AV167" s="449"/>
      <c r="AW167" s="449"/>
      <c r="AX167" s="449"/>
      <c r="AY167" s="449"/>
      <c r="AZ167" s="449"/>
      <c r="BA167" s="449"/>
      <c r="BB167" s="449"/>
      <c r="BC167" s="449"/>
      <c r="BD167" s="449"/>
      <c r="BE167" s="449"/>
      <c r="BF167" s="449"/>
      <c r="BG167" s="449"/>
      <c r="BH167" s="449"/>
      <c r="BI167" s="449"/>
      <c r="BJ167" s="449"/>
      <c r="BK167" s="449"/>
      <c r="BL167" s="449"/>
      <c r="BM167" s="449"/>
      <c r="BN167" s="449"/>
      <c r="BO167" s="449"/>
      <c r="BP167" s="449"/>
      <c r="BQ167" s="449"/>
      <c r="BR167" s="449"/>
      <c r="BS167" s="449"/>
      <c r="BT167" s="449"/>
      <c r="BU167" s="449"/>
      <c r="BV167" s="449"/>
      <c r="BW167" s="449"/>
      <c r="BX167" s="449"/>
      <c r="BY167" s="449"/>
      <c r="BZ167" s="449"/>
      <c r="CA167" s="449"/>
      <c r="CB167" s="449"/>
      <c r="CC167" s="449"/>
      <c r="CD167" s="449"/>
      <c r="CE167" s="449"/>
      <c r="CF167" s="449"/>
      <c r="CG167" s="449"/>
      <c r="CH167" s="449"/>
      <c r="CI167" s="449"/>
      <c r="CJ167" s="449"/>
      <c r="CK167" s="449"/>
      <c r="CL167" s="449"/>
      <c r="CM167" s="449"/>
      <c r="CN167" s="449"/>
      <c r="CO167" s="449"/>
      <c r="CP167" s="449"/>
      <c r="CQ167" s="449"/>
      <c r="CR167" s="449"/>
      <c r="CS167" s="449"/>
      <c r="CT167" s="449"/>
      <c r="CU167" s="449"/>
      <c r="CV167" s="449"/>
      <c r="CW167" s="449"/>
      <c r="CX167" s="449"/>
      <c r="CY167" s="449"/>
      <c r="CZ167" s="449"/>
      <c r="DA167" s="449"/>
      <c r="DB167" s="449"/>
      <c r="DC167" s="449"/>
      <c r="DD167" s="449"/>
      <c r="DE167" s="449"/>
      <c r="DF167" s="449"/>
      <c r="DG167" s="449"/>
      <c r="DH167" s="449"/>
      <c r="DI167" s="449"/>
      <c r="DJ167" s="449"/>
      <c r="DK167" s="449"/>
      <c r="DL167" s="449"/>
      <c r="DM167" s="449"/>
      <c r="DN167" s="449"/>
      <c r="DO167" s="449"/>
      <c r="DP167" s="449"/>
      <c r="DQ167" s="449"/>
      <c r="DR167" s="449"/>
      <c r="DS167" s="449"/>
      <c r="DT167" s="449"/>
      <c r="DU167" s="449"/>
      <c r="DV167" s="449"/>
      <c r="DW167" s="449"/>
      <c r="DX167" s="449"/>
      <c r="DY167" s="449"/>
      <c r="DZ167" s="449"/>
      <c r="EA167" s="449"/>
      <c r="EB167" s="449"/>
      <c r="EC167" s="449"/>
      <c r="ED167" s="449"/>
      <c r="EE167" s="449"/>
      <c r="EF167" s="449"/>
      <c r="EG167" s="449"/>
      <c r="EH167" s="449"/>
      <c r="EI167" s="449"/>
      <c r="EJ167" s="449"/>
      <c r="EK167" s="449"/>
      <c r="EL167" s="449"/>
      <c r="EM167" s="449"/>
      <c r="EN167" s="449"/>
      <c r="EO167" s="449"/>
      <c r="EP167" s="449"/>
      <c r="EQ167" s="449"/>
      <c r="ER167" s="449"/>
      <c r="ES167" s="449"/>
      <c r="ET167" s="449"/>
      <c r="EU167" s="449"/>
      <c r="EV167" s="449"/>
      <c r="EW167" s="449"/>
      <c r="EX167" s="449"/>
      <c r="EY167" s="449"/>
      <c r="EZ167" s="449"/>
      <c r="FA167" s="449"/>
      <c r="FB167" s="449"/>
      <c r="FC167" s="449"/>
      <c r="FD167" s="449"/>
      <c r="FE167" s="449"/>
      <c r="FF167" s="449"/>
      <c r="FG167" s="449"/>
      <c r="FH167" s="449"/>
      <c r="FI167" s="449"/>
      <c r="FJ167" s="449"/>
      <c r="FK167" s="449"/>
      <c r="FL167" s="449"/>
      <c r="FM167" s="449"/>
      <c r="FN167" s="449"/>
      <c r="FO167" s="449"/>
      <c r="FP167" s="449"/>
      <c r="FQ167" s="449"/>
      <c r="FR167" s="449"/>
      <c r="FS167" s="449"/>
      <c r="FT167" s="449"/>
      <c r="FU167" s="449"/>
      <c r="FV167" s="449"/>
      <c r="FW167" s="449"/>
      <c r="FX167" s="449"/>
      <c r="FY167" s="449"/>
      <c r="FZ167" s="449"/>
      <c r="GA167" s="449"/>
      <c r="GB167" s="449"/>
      <c r="GC167" s="449"/>
      <c r="GD167" s="449"/>
      <c r="GE167" s="449"/>
      <c r="GF167" s="449"/>
      <c r="GG167" s="449"/>
      <c r="GH167" s="449"/>
      <c r="GI167" s="449"/>
      <c r="GJ167" s="449"/>
      <c r="GK167" s="449"/>
      <c r="GL167" s="449"/>
      <c r="GM167" s="449"/>
      <c r="GN167" s="449"/>
      <c r="GO167" s="449"/>
      <c r="GP167" s="449"/>
      <c r="GQ167" s="449"/>
      <c r="GR167" s="449"/>
      <c r="GS167" s="449"/>
      <c r="GT167" s="449"/>
      <c r="GU167" s="449"/>
      <c r="GV167" s="449"/>
      <c r="GW167" s="449"/>
      <c r="GX167" s="449"/>
      <c r="GY167" s="449"/>
      <c r="GZ167" s="449"/>
      <c r="HA167" s="449"/>
      <c r="HB167" s="449"/>
      <c r="HC167" s="449"/>
      <c r="HD167" s="449"/>
      <c r="HE167" s="449"/>
      <c r="HF167" s="449"/>
      <c r="HG167" s="449"/>
      <c r="HH167" s="449"/>
      <c r="HI167" s="449"/>
      <c r="HJ167" s="449"/>
      <c r="HK167" s="449"/>
      <c r="HL167" s="449"/>
      <c r="HM167" s="449"/>
      <c r="HN167" s="449"/>
      <c r="HO167" s="449"/>
      <c r="HP167" s="449"/>
      <c r="HQ167" s="449"/>
      <c r="HR167" s="449"/>
      <c r="HS167" s="449"/>
      <c r="HT167" s="449"/>
      <c r="HU167" s="449"/>
      <c r="HV167" s="449"/>
      <c r="HW167" s="449"/>
      <c r="HX167" s="449"/>
      <c r="HY167" s="449"/>
      <c r="HZ167" s="449"/>
      <c r="IA167" s="449"/>
      <c r="IB167" s="449"/>
      <c r="IC167" s="449"/>
      <c r="ID167" s="449"/>
      <c r="IE167" s="449"/>
      <c r="IF167" s="449"/>
      <c r="IG167" s="449"/>
      <c r="IH167" s="449"/>
      <c r="II167" s="449"/>
      <c r="IJ167" s="449"/>
      <c r="IK167" s="449"/>
      <c r="IL167" s="449"/>
      <c r="IM167" s="449"/>
      <c r="IN167" s="449"/>
      <c r="IO167" s="449"/>
      <c r="IP167" s="449"/>
      <c r="IQ167" s="449"/>
      <c r="IR167" s="449"/>
      <c r="IS167" s="449"/>
      <c r="IT167" s="449"/>
      <c r="IU167" s="449"/>
      <c r="IV167" s="449"/>
      <c r="IW167" s="449"/>
      <c r="IX167" s="449"/>
      <c r="IY167" s="449"/>
    </row>
    <row r="168" spans="3:259" s="379" customFormat="1" ht="12.75" x14ac:dyDescent="0.2">
      <c r="C168" s="410" t="s">
        <v>1126</v>
      </c>
      <c r="D168" s="393" t="s">
        <v>877</v>
      </c>
      <c r="E168" s="410" t="s">
        <v>1127</v>
      </c>
      <c r="F168" s="410"/>
      <c r="G168" s="393">
        <v>500</v>
      </c>
      <c r="H168" s="393">
        <v>260</v>
      </c>
      <c r="I168" s="393">
        <v>600</v>
      </c>
      <c r="J168" s="393">
        <v>47</v>
      </c>
      <c r="K168" s="397">
        <v>9989</v>
      </c>
      <c r="L168" s="397"/>
      <c r="M168" s="398">
        <f>K168*0.7</f>
        <v>6992.2999999999993</v>
      </c>
      <c r="N168" s="449"/>
      <c r="O168" s="449"/>
      <c r="P168" s="449"/>
      <c r="Q168" s="449"/>
      <c r="R168" s="449"/>
      <c r="S168" s="449"/>
      <c r="T168" s="449"/>
      <c r="U168" s="449"/>
      <c r="V168" s="449"/>
      <c r="W168" s="449"/>
      <c r="X168" s="449"/>
      <c r="Y168" s="449"/>
      <c r="Z168" s="449"/>
      <c r="AA168" s="449"/>
      <c r="AB168" s="449"/>
      <c r="AC168" s="449"/>
      <c r="AD168" s="449"/>
      <c r="AE168" s="449"/>
      <c r="AF168" s="449"/>
      <c r="AG168" s="449"/>
      <c r="AH168" s="449"/>
      <c r="AI168" s="449"/>
      <c r="AJ168" s="449"/>
      <c r="AK168" s="449"/>
      <c r="AL168" s="449"/>
      <c r="AM168" s="449"/>
      <c r="AN168" s="449"/>
      <c r="AO168" s="449"/>
      <c r="AP168" s="449"/>
      <c r="AQ168" s="449"/>
      <c r="AR168" s="449"/>
      <c r="AS168" s="449"/>
      <c r="AT168" s="449"/>
      <c r="AU168" s="449"/>
      <c r="AV168" s="449"/>
      <c r="AW168" s="449"/>
      <c r="AX168" s="449"/>
      <c r="AY168" s="449"/>
      <c r="AZ168" s="449"/>
      <c r="BA168" s="449"/>
      <c r="BB168" s="449"/>
      <c r="BC168" s="449"/>
      <c r="BD168" s="449"/>
      <c r="BE168" s="449"/>
      <c r="BF168" s="449"/>
      <c r="BG168" s="449"/>
      <c r="BH168" s="449"/>
      <c r="BI168" s="449"/>
      <c r="BJ168" s="449"/>
      <c r="BK168" s="449"/>
      <c r="BL168" s="449"/>
      <c r="BM168" s="449"/>
      <c r="BN168" s="449"/>
      <c r="BO168" s="449"/>
      <c r="BP168" s="449"/>
      <c r="BQ168" s="449"/>
      <c r="BR168" s="449"/>
      <c r="BS168" s="449"/>
      <c r="BT168" s="449"/>
      <c r="BU168" s="449"/>
      <c r="BV168" s="449"/>
      <c r="BW168" s="449"/>
      <c r="BX168" s="449"/>
      <c r="BY168" s="449"/>
      <c r="BZ168" s="449"/>
      <c r="CA168" s="449"/>
      <c r="CB168" s="449"/>
      <c r="CC168" s="449"/>
      <c r="CD168" s="449"/>
      <c r="CE168" s="449"/>
      <c r="CF168" s="449"/>
      <c r="CG168" s="449"/>
      <c r="CH168" s="449"/>
      <c r="CI168" s="449"/>
      <c r="CJ168" s="449"/>
      <c r="CK168" s="449"/>
      <c r="CL168" s="449"/>
      <c r="CM168" s="449"/>
      <c r="CN168" s="449"/>
      <c r="CO168" s="449"/>
      <c r="CP168" s="449"/>
      <c r="CQ168" s="449"/>
      <c r="CR168" s="449"/>
      <c r="CS168" s="449"/>
      <c r="CT168" s="449"/>
      <c r="CU168" s="449"/>
      <c r="CV168" s="449"/>
      <c r="CW168" s="449"/>
      <c r="CX168" s="449"/>
      <c r="CY168" s="449"/>
      <c r="CZ168" s="449"/>
      <c r="DA168" s="449"/>
      <c r="DB168" s="449"/>
      <c r="DC168" s="449"/>
      <c r="DD168" s="449"/>
      <c r="DE168" s="449"/>
      <c r="DF168" s="449"/>
      <c r="DG168" s="449"/>
      <c r="DH168" s="449"/>
      <c r="DI168" s="449"/>
      <c r="DJ168" s="449"/>
      <c r="DK168" s="449"/>
      <c r="DL168" s="449"/>
      <c r="DM168" s="449"/>
      <c r="DN168" s="449"/>
      <c r="DO168" s="449"/>
      <c r="DP168" s="449"/>
      <c r="DQ168" s="449"/>
      <c r="DR168" s="449"/>
      <c r="DS168" s="449"/>
      <c r="DT168" s="449"/>
      <c r="DU168" s="449"/>
      <c r="DV168" s="449"/>
      <c r="DW168" s="449"/>
      <c r="DX168" s="449"/>
      <c r="DY168" s="449"/>
      <c r="DZ168" s="449"/>
      <c r="EA168" s="449"/>
      <c r="EB168" s="449"/>
      <c r="EC168" s="449"/>
      <c r="ED168" s="449"/>
      <c r="EE168" s="449"/>
      <c r="EF168" s="449"/>
      <c r="EG168" s="449"/>
      <c r="EH168" s="449"/>
      <c r="EI168" s="449"/>
      <c r="EJ168" s="449"/>
      <c r="EK168" s="449"/>
      <c r="EL168" s="449"/>
      <c r="EM168" s="449"/>
      <c r="EN168" s="449"/>
      <c r="EO168" s="449"/>
      <c r="EP168" s="449"/>
      <c r="EQ168" s="449"/>
      <c r="ER168" s="449"/>
      <c r="ES168" s="449"/>
      <c r="ET168" s="449"/>
      <c r="EU168" s="449"/>
      <c r="EV168" s="449"/>
      <c r="EW168" s="449"/>
      <c r="EX168" s="449"/>
      <c r="EY168" s="449"/>
      <c r="EZ168" s="449"/>
      <c r="FA168" s="449"/>
      <c r="FB168" s="449"/>
      <c r="FC168" s="449"/>
      <c r="FD168" s="449"/>
      <c r="FE168" s="449"/>
      <c r="FF168" s="449"/>
      <c r="FG168" s="449"/>
      <c r="FH168" s="449"/>
      <c r="FI168" s="449"/>
      <c r="FJ168" s="449"/>
      <c r="FK168" s="449"/>
      <c r="FL168" s="449"/>
      <c r="FM168" s="449"/>
      <c r="FN168" s="449"/>
      <c r="FO168" s="449"/>
      <c r="FP168" s="449"/>
      <c r="FQ168" s="449"/>
      <c r="FR168" s="449"/>
      <c r="FS168" s="449"/>
      <c r="FT168" s="449"/>
      <c r="FU168" s="449"/>
      <c r="FV168" s="449"/>
      <c r="FW168" s="449"/>
      <c r="FX168" s="449"/>
      <c r="FY168" s="449"/>
      <c r="FZ168" s="449"/>
      <c r="GA168" s="449"/>
      <c r="GB168" s="449"/>
      <c r="GC168" s="449"/>
      <c r="GD168" s="449"/>
      <c r="GE168" s="449"/>
      <c r="GF168" s="449"/>
      <c r="GG168" s="449"/>
      <c r="GH168" s="449"/>
      <c r="GI168" s="449"/>
      <c r="GJ168" s="449"/>
      <c r="GK168" s="449"/>
      <c r="GL168" s="449"/>
      <c r="GM168" s="449"/>
      <c r="GN168" s="449"/>
      <c r="GO168" s="449"/>
      <c r="GP168" s="449"/>
      <c r="GQ168" s="449"/>
      <c r="GR168" s="449"/>
      <c r="GS168" s="449"/>
      <c r="GT168" s="449"/>
      <c r="GU168" s="449"/>
      <c r="GV168" s="449"/>
      <c r="GW168" s="449"/>
      <c r="GX168" s="449"/>
      <c r="GY168" s="449"/>
      <c r="GZ168" s="449"/>
      <c r="HA168" s="449"/>
      <c r="HB168" s="449"/>
      <c r="HC168" s="449"/>
      <c r="HD168" s="449"/>
      <c r="HE168" s="449"/>
      <c r="HF168" s="449"/>
      <c r="HG168" s="449"/>
      <c r="HH168" s="449"/>
      <c r="HI168" s="449"/>
      <c r="HJ168" s="449"/>
      <c r="HK168" s="449"/>
      <c r="HL168" s="449"/>
      <c r="HM168" s="449"/>
      <c r="HN168" s="449"/>
      <c r="HO168" s="449"/>
      <c r="HP168" s="449"/>
      <c r="HQ168" s="449"/>
      <c r="HR168" s="449"/>
      <c r="HS168" s="449"/>
      <c r="HT168" s="449"/>
      <c r="HU168" s="449"/>
      <c r="HV168" s="449"/>
      <c r="HW168" s="449"/>
      <c r="HX168" s="449"/>
      <c r="HY168" s="449"/>
      <c r="HZ168" s="449"/>
      <c r="IA168" s="449"/>
      <c r="IB168" s="449"/>
      <c r="IC168" s="449"/>
      <c r="ID168" s="449"/>
      <c r="IE168" s="449"/>
      <c r="IF168" s="449"/>
      <c r="IG168" s="449"/>
      <c r="IH168" s="449"/>
      <c r="II168" s="449"/>
      <c r="IJ168" s="449"/>
      <c r="IK168" s="449"/>
      <c r="IL168" s="449"/>
      <c r="IM168" s="449"/>
      <c r="IN168" s="449"/>
      <c r="IO168" s="449"/>
      <c r="IP168" s="449"/>
      <c r="IQ168" s="449"/>
      <c r="IR168" s="449"/>
      <c r="IS168" s="449"/>
      <c r="IT168" s="449"/>
      <c r="IU168" s="449"/>
      <c r="IV168" s="449"/>
      <c r="IW168" s="449"/>
      <c r="IX168" s="449"/>
      <c r="IY168" s="449"/>
    </row>
    <row r="169" spans="3:259" s="379" customFormat="1" ht="18.75" x14ac:dyDescent="0.25">
      <c r="C169" s="566" t="s">
        <v>1128</v>
      </c>
      <c r="D169" s="565"/>
      <c r="E169" s="565"/>
      <c r="F169" s="565"/>
      <c r="G169" s="565"/>
      <c r="H169" s="565"/>
      <c r="I169" s="565"/>
      <c r="J169" s="565"/>
      <c r="K169" s="565"/>
      <c r="L169" s="565"/>
      <c r="M169" s="558"/>
      <c r="N169" s="457"/>
    </row>
    <row r="170" spans="3:259" s="379" customFormat="1" ht="12.75" x14ac:dyDescent="0.2">
      <c r="C170" s="458" t="s">
        <v>1129</v>
      </c>
      <c r="D170" s="460" t="s">
        <v>605</v>
      </c>
      <c r="E170" s="459"/>
      <c r="F170" s="459"/>
      <c r="G170" s="460" t="s">
        <v>605</v>
      </c>
      <c r="H170" s="460" t="s">
        <v>605</v>
      </c>
      <c r="I170" s="460" t="s">
        <v>605</v>
      </c>
      <c r="J170" s="461" t="s">
        <v>605</v>
      </c>
      <c r="K170" s="462" t="s">
        <v>605</v>
      </c>
      <c r="L170" s="462"/>
      <c r="M170" s="463" t="str">
        <f>IFERROR(K170/#REF!-1,"")</f>
        <v/>
      </c>
      <c r="N170" s="457"/>
    </row>
    <row r="171" spans="3:259" s="379" customFormat="1" ht="25.5" x14ac:dyDescent="0.2">
      <c r="C171" s="464">
        <v>80534</v>
      </c>
      <c r="D171" s="466" t="s">
        <v>1014</v>
      </c>
      <c r="E171" s="465" t="s">
        <v>1130</v>
      </c>
      <c r="F171" s="465"/>
      <c r="G171" s="466">
        <v>1000</v>
      </c>
      <c r="H171" s="466">
        <v>156</v>
      </c>
      <c r="I171" s="466">
        <v>71</v>
      </c>
      <c r="J171" s="467">
        <v>11.73</v>
      </c>
      <c r="K171" s="468">
        <v>3379</v>
      </c>
      <c r="L171" s="468"/>
      <c r="M171" s="469">
        <f>K171*0.65</f>
        <v>2196.35</v>
      </c>
      <c r="N171" s="457"/>
    </row>
    <row r="172" spans="3:259" s="379" customFormat="1" ht="25.5" x14ac:dyDescent="0.2">
      <c r="C172" s="464">
        <v>805055</v>
      </c>
      <c r="D172" s="466" t="s">
        <v>1028</v>
      </c>
      <c r="E172" s="465" t="s">
        <v>1131</v>
      </c>
      <c r="F172" s="465"/>
      <c r="G172" s="466">
        <v>1000</v>
      </c>
      <c r="H172" s="466">
        <v>156</v>
      </c>
      <c r="I172" s="466">
        <v>71</v>
      </c>
      <c r="J172" s="467">
        <v>13.62</v>
      </c>
      <c r="K172" s="468">
        <v>4143</v>
      </c>
      <c r="L172" s="468"/>
      <c r="M172" s="469">
        <f>K172*0.65</f>
        <v>2692.9500000000003</v>
      </c>
      <c r="N172" s="457"/>
    </row>
    <row r="173" spans="3:259" s="379" customFormat="1" ht="25.5" x14ac:dyDescent="0.2">
      <c r="C173" s="464" t="s">
        <v>1132</v>
      </c>
      <c r="D173" s="466" t="s">
        <v>1014</v>
      </c>
      <c r="E173" s="465" t="s">
        <v>1130</v>
      </c>
      <c r="F173" s="465"/>
      <c r="G173" s="466">
        <v>1000</v>
      </c>
      <c r="H173" s="466">
        <v>156</v>
      </c>
      <c r="I173" s="466">
        <v>96</v>
      </c>
      <c r="J173" s="467">
        <v>11.93</v>
      </c>
      <c r="K173" s="468">
        <v>3454</v>
      </c>
      <c r="L173" s="468"/>
      <c r="M173" s="469">
        <f>K173*0.65</f>
        <v>2245.1</v>
      </c>
      <c r="N173" s="457"/>
    </row>
    <row r="174" spans="3:259" s="379" customFormat="1" ht="25.5" x14ac:dyDescent="0.2">
      <c r="C174" s="464" t="s">
        <v>1133</v>
      </c>
      <c r="D174" s="466" t="s">
        <v>1028</v>
      </c>
      <c r="E174" s="465" t="s">
        <v>1131</v>
      </c>
      <c r="F174" s="465"/>
      <c r="G174" s="466">
        <v>1000</v>
      </c>
      <c r="H174" s="466">
        <v>159</v>
      </c>
      <c r="I174" s="466">
        <v>96</v>
      </c>
      <c r="J174" s="467">
        <v>13.95</v>
      </c>
      <c r="K174" s="468">
        <v>4178</v>
      </c>
      <c r="L174" s="468"/>
      <c r="M174" s="469">
        <f>K174*0.65</f>
        <v>2715.7000000000003</v>
      </c>
      <c r="N174" s="457"/>
    </row>
    <row r="175" spans="3:259" s="379" customFormat="1" ht="25.5" x14ac:dyDescent="0.2">
      <c r="C175" s="464" t="s">
        <v>1134</v>
      </c>
      <c r="D175" s="466" t="s">
        <v>1014</v>
      </c>
      <c r="E175" s="465" t="s">
        <v>1130</v>
      </c>
      <c r="F175" s="465"/>
      <c r="G175" s="466">
        <v>1000</v>
      </c>
      <c r="H175" s="466">
        <v>160</v>
      </c>
      <c r="I175" s="466">
        <v>136</v>
      </c>
      <c r="J175" s="467">
        <v>12.45</v>
      </c>
      <c r="K175" s="468">
        <v>3504</v>
      </c>
      <c r="L175" s="468"/>
      <c r="M175" s="469">
        <f>K175*0.65</f>
        <v>2277.6</v>
      </c>
      <c r="N175" s="457"/>
    </row>
    <row r="176" spans="3:259" s="379" customFormat="1" ht="25.5" x14ac:dyDescent="0.2">
      <c r="C176" s="464" t="s">
        <v>1135</v>
      </c>
      <c r="D176" s="466" t="s">
        <v>1028</v>
      </c>
      <c r="E176" s="465" t="s">
        <v>1131</v>
      </c>
      <c r="F176" s="465"/>
      <c r="G176" s="466">
        <v>1000</v>
      </c>
      <c r="H176" s="466">
        <v>160</v>
      </c>
      <c r="I176" s="466">
        <v>136</v>
      </c>
      <c r="J176" s="467">
        <v>14.48</v>
      </c>
      <c r="K176" s="468">
        <v>4228</v>
      </c>
      <c r="L176" s="468"/>
      <c r="M176" s="469">
        <f>K176*0.65</f>
        <v>2748.2000000000003</v>
      </c>
      <c r="N176" s="457"/>
    </row>
    <row r="177" spans="3:14" s="379" customFormat="1" ht="25.5" x14ac:dyDescent="0.2">
      <c r="C177" s="464">
        <v>80034</v>
      </c>
      <c r="D177" s="466" t="s">
        <v>1014</v>
      </c>
      <c r="E177" s="465" t="s">
        <v>1130</v>
      </c>
      <c r="F177" s="465"/>
      <c r="G177" s="466">
        <v>1000</v>
      </c>
      <c r="H177" s="466">
        <v>160</v>
      </c>
      <c r="I177" s="466">
        <v>171</v>
      </c>
      <c r="J177" s="467">
        <v>12.92</v>
      </c>
      <c r="K177" s="468">
        <v>3594</v>
      </c>
      <c r="L177" s="468"/>
      <c r="M177" s="469">
        <f>K177*0.65</f>
        <v>2336.1</v>
      </c>
      <c r="N177" s="457"/>
    </row>
    <row r="178" spans="3:14" s="379" customFormat="1" ht="25.5" x14ac:dyDescent="0.2">
      <c r="C178" s="464">
        <v>80055</v>
      </c>
      <c r="D178" s="466" t="s">
        <v>1028</v>
      </c>
      <c r="E178" s="465" t="s">
        <v>1131</v>
      </c>
      <c r="F178" s="465"/>
      <c r="G178" s="466">
        <v>1000</v>
      </c>
      <c r="H178" s="466">
        <v>160</v>
      </c>
      <c r="I178" s="466">
        <v>171</v>
      </c>
      <c r="J178" s="467">
        <v>15.06</v>
      </c>
      <c r="K178" s="468">
        <v>4318</v>
      </c>
      <c r="L178" s="468"/>
      <c r="M178" s="469">
        <f>K178*0.65</f>
        <v>2806.7000000000003</v>
      </c>
      <c r="N178" s="457"/>
    </row>
    <row r="179" spans="3:14" s="379" customFormat="1" ht="25.5" x14ac:dyDescent="0.2">
      <c r="C179" s="464">
        <v>80434</v>
      </c>
      <c r="D179" s="466" t="s">
        <v>1014</v>
      </c>
      <c r="E179" s="465" t="s">
        <v>1130</v>
      </c>
      <c r="F179" s="465"/>
      <c r="G179" s="466">
        <v>1000</v>
      </c>
      <c r="H179" s="466">
        <v>160</v>
      </c>
      <c r="I179" s="466">
        <v>216</v>
      </c>
      <c r="J179" s="467">
        <v>13.51</v>
      </c>
      <c r="K179" s="468">
        <v>3664</v>
      </c>
      <c r="L179" s="468"/>
      <c r="M179" s="469">
        <f>K179*0.65</f>
        <v>2381.6</v>
      </c>
      <c r="N179" s="457"/>
    </row>
    <row r="180" spans="3:14" s="379" customFormat="1" ht="25.5" x14ac:dyDescent="0.2">
      <c r="C180" s="464">
        <v>804055</v>
      </c>
      <c r="D180" s="466" t="s">
        <v>1028</v>
      </c>
      <c r="E180" s="465" t="s">
        <v>1131</v>
      </c>
      <c r="F180" s="465"/>
      <c r="G180" s="466">
        <v>1000</v>
      </c>
      <c r="H180" s="466">
        <v>160</v>
      </c>
      <c r="I180" s="466">
        <v>216</v>
      </c>
      <c r="J180" s="467">
        <v>15.73</v>
      </c>
      <c r="K180" s="468">
        <v>4388</v>
      </c>
      <c r="L180" s="468"/>
      <c r="M180" s="469">
        <f>K180*0.65</f>
        <v>2852.2000000000003</v>
      </c>
      <c r="N180" s="457"/>
    </row>
    <row r="181" spans="3:14" s="379" customFormat="1" ht="25.5" x14ac:dyDescent="0.2">
      <c r="C181" s="464">
        <v>80800734</v>
      </c>
      <c r="D181" s="466" t="s">
        <v>1014</v>
      </c>
      <c r="E181" s="465" t="s">
        <v>1136</v>
      </c>
      <c r="F181" s="465"/>
      <c r="G181" s="466">
        <v>520</v>
      </c>
      <c r="H181" s="466">
        <v>160</v>
      </c>
      <c r="I181" s="466">
        <v>614</v>
      </c>
      <c r="J181" s="467">
        <v>9.0399999999999991</v>
      </c>
      <c r="K181" s="468">
        <v>3757</v>
      </c>
      <c r="L181" s="468"/>
      <c r="M181" s="469">
        <f>K181*0.65</f>
        <v>2442.0500000000002</v>
      </c>
      <c r="N181" s="457"/>
    </row>
    <row r="182" spans="3:14" s="379" customFormat="1" ht="25.5" x14ac:dyDescent="0.2">
      <c r="C182" s="464">
        <v>80800755</v>
      </c>
      <c r="D182" s="466" t="s">
        <v>1028</v>
      </c>
      <c r="E182" s="465" t="s">
        <v>1137</v>
      </c>
      <c r="F182" s="465"/>
      <c r="G182" s="466">
        <v>520</v>
      </c>
      <c r="H182" s="466">
        <v>160</v>
      </c>
      <c r="I182" s="466">
        <v>614</v>
      </c>
      <c r="J182" s="467">
        <v>10.050000000000001</v>
      </c>
      <c r="K182" s="468">
        <v>4087</v>
      </c>
      <c r="L182" s="468"/>
      <c r="M182" s="469">
        <f>K182*0.65</f>
        <v>2656.55</v>
      </c>
      <c r="N182" s="457"/>
    </row>
    <row r="183" spans="3:14" s="379" customFormat="1" ht="12.75" x14ac:dyDescent="0.2">
      <c r="C183" s="458" t="s">
        <v>1138</v>
      </c>
      <c r="D183" s="460" t="s">
        <v>605</v>
      </c>
      <c r="E183" s="459"/>
      <c r="F183" s="459"/>
      <c r="G183" s="460" t="s">
        <v>605</v>
      </c>
      <c r="H183" s="460" t="s">
        <v>605</v>
      </c>
      <c r="I183" s="460" t="s">
        <v>605</v>
      </c>
      <c r="J183" s="461" t="s">
        <v>605</v>
      </c>
      <c r="K183" s="462" t="s">
        <v>605</v>
      </c>
      <c r="L183" s="462"/>
      <c r="M183" s="470" t="str">
        <f>IFERROR(K183/#REF!-1,"")</f>
        <v/>
      </c>
      <c r="N183" s="457"/>
    </row>
    <row r="184" spans="3:14" s="379" customFormat="1" ht="25.5" x14ac:dyDescent="0.2">
      <c r="C184" s="464">
        <v>824004</v>
      </c>
      <c r="D184" s="466" t="s">
        <v>1014</v>
      </c>
      <c r="E184" s="465" t="s">
        <v>1130</v>
      </c>
      <c r="F184" s="465"/>
      <c r="G184" s="466">
        <v>1000</v>
      </c>
      <c r="H184" s="466">
        <v>210</v>
      </c>
      <c r="I184" s="466">
        <v>216</v>
      </c>
      <c r="J184" s="467">
        <v>18</v>
      </c>
      <c r="K184" s="468">
        <v>5998</v>
      </c>
      <c r="L184" s="468"/>
      <c r="M184" s="469">
        <f>K184*0.65</f>
        <v>3898.7000000000003</v>
      </c>
      <c r="N184" s="457"/>
    </row>
    <row r="185" spans="3:14" s="379" customFormat="1" ht="25.5" x14ac:dyDescent="0.2">
      <c r="C185" s="464">
        <v>824055</v>
      </c>
      <c r="D185" s="466" t="s">
        <v>1028</v>
      </c>
      <c r="E185" s="465" t="s">
        <v>1131</v>
      </c>
      <c r="F185" s="465"/>
      <c r="G185" s="466">
        <v>1000</v>
      </c>
      <c r="H185" s="466">
        <v>210</v>
      </c>
      <c r="I185" s="466">
        <v>216</v>
      </c>
      <c r="J185" s="467">
        <v>18</v>
      </c>
      <c r="K185" s="468">
        <v>6528</v>
      </c>
      <c r="L185" s="468"/>
      <c r="M185" s="469">
        <f>K185*0.65</f>
        <v>4243.2</v>
      </c>
      <c r="N185" s="457"/>
    </row>
    <row r="186" spans="3:14" s="379" customFormat="1" ht="12.75" x14ac:dyDescent="0.2">
      <c r="C186" s="458" t="s">
        <v>1139</v>
      </c>
      <c r="D186" s="460" t="s">
        <v>605</v>
      </c>
      <c r="E186" s="459"/>
      <c r="F186" s="459"/>
      <c r="G186" s="460" t="s">
        <v>605</v>
      </c>
      <c r="H186" s="460" t="s">
        <v>605</v>
      </c>
      <c r="I186" s="460" t="s">
        <v>605</v>
      </c>
      <c r="J186" s="461" t="s">
        <v>605</v>
      </c>
      <c r="K186" s="462" t="s">
        <v>605</v>
      </c>
      <c r="L186" s="462"/>
      <c r="M186" s="470" t="str">
        <f>IFERROR(K186/#REF!-1,"")</f>
        <v/>
      </c>
      <c r="N186" s="457"/>
    </row>
    <row r="187" spans="3:14" s="379" customFormat="1" ht="25.5" x14ac:dyDescent="0.2">
      <c r="C187" s="464">
        <v>85134</v>
      </c>
      <c r="D187" s="466" t="s">
        <v>1014</v>
      </c>
      <c r="E187" s="465" t="s">
        <v>1130</v>
      </c>
      <c r="F187" s="465"/>
      <c r="G187" s="466">
        <v>1000</v>
      </c>
      <c r="H187" s="466">
        <v>260</v>
      </c>
      <c r="I187" s="466">
        <v>80</v>
      </c>
      <c r="J187" s="467">
        <v>20.93</v>
      </c>
      <c r="K187" s="468">
        <v>7053</v>
      </c>
      <c r="L187" s="468"/>
      <c r="M187" s="469">
        <f>K187*0.65</f>
        <v>4584.45</v>
      </c>
      <c r="N187" s="457"/>
    </row>
    <row r="188" spans="3:14" s="379" customFormat="1" ht="25.5" x14ac:dyDescent="0.2">
      <c r="C188" s="464">
        <v>851055</v>
      </c>
      <c r="D188" s="466" t="s">
        <v>1028</v>
      </c>
      <c r="E188" s="465" t="s">
        <v>1131</v>
      </c>
      <c r="F188" s="465"/>
      <c r="G188" s="466">
        <v>1000</v>
      </c>
      <c r="H188" s="466">
        <v>260</v>
      </c>
      <c r="I188" s="466">
        <v>80</v>
      </c>
      <c r="J188" s="467">
        <v>0</v>
      </c>
      <c r="K188" s="468">
        <v>7613</v>
      </c>
      <c r="L188" s="468"/>
      <c r="M188" s="469">
        <f>K188*0.65</f>
        <v>4948.45</v>
      </c>
      <c r="N188" s="457"/>
    </row>
    <row r="189" spans="3:14" s="379" customFormat="1" ht="25.5" x14ac:dyDescent="0.2">
      <c r="C189" s="464" t="s">
        <v>1140</v>
      </c>
      <c r="D189" s="466" t="s">
        <v>1014</v>
      </c>
      <c r="E189" s="465" t="s">
        <v>1130</v>
      </c>
      <c r="F189" s="465"/>
      <c r="G189" s="466">
        <v>1000</v>
      </c>
      <c r="H189" s="466">
        <v>260</v>
      </c>
      <c r="I189" s="466">
        <v>216</v>
      </c>
      <c r="J189" s="467">
        <v>18.05</v>
      </c>
      <c r="K189" s="468">
        <v>7808</v>
      </c>
      <c r="L189" s="468"/>
      <c r="M189" s="469">
        <f>K189*0.65</f>
        <v>5075.2</v>
      </c>
      <c r="N189" s="457"/>
    </row>
    <row r="190" spans="3:14" s="379" customFormat="1" ht="25.5" x14ac:dyDescent="0.2">
      <c r="C190" s="464" t="s">
        <v>1141</v>
      </c>
      <c r="D190" s="466" t="s">
        <v>1028</v>
      </c>
      <c r="E190" s="465" t="s">
        <v>1131</v>
      </c>
      <c r="F190" s="465"/>
      <c r="G190" s="466">
        <v>1000</v>
      </c>
      <c r="H190" s="466">
        <v>260</v>
      </c>
      <c r="I190" s="466">
        <v>216</v>
      </c>
      <c r="J190" s="467">
        <v>25.22</v>
      </c>
      <c r="K190" s="468">
        <v>8368</v>
      </c>
      <c r="L190" s="468"/>
      <c r="M190" s="469">
        <f>K190*0.65</f>
        <v>5439.2</v>
      </c>
      <c r="N190" s="457"/>
    </row>
    <row r="191" spans="3:14" s="379" customFormat="1" ht="25.5" x14ac:dyDescent="0.2">
      <c r="C191" s="464">
        <v>856034</v>
      </c>
      <c r="D191" s="466" t="s">
        <v>1014</v>
      </c>
      <c r="E191" s="465" t="s">
        <v>1130</v>
      </c>
      <c r="F191" s="465"/>
      <c r="G191" s="466">
        <v>1000</v>
      </c>
      <c r="H191" s="466">
        <v>260</v>
      </c>
      <c r="I191" s="466">
        <v>316</v>
      </c>
      <c r="J191" s="467">
        <v>24</v>
      </c>
      <c r="K191" s="468">
        <v>8278</v>
      </c>
      <c r="L191" s="468"/>
      <c r="M191" s="469">
        <f>K191*0.65</f>
        <v>5380.7</v>
      </c>
      <c r="N191" s="457"/>
    </row>
    <row r="192" spans="3:14" s="379" customFormat="1" ht="25.5" x14ac:dyDescent="0.2">
      <c r="C192" s="464">
        <v>8560355</v>
      </c>
      <c r="D192" s="466" t="s">
        <v>1028</v>
      </c>
      <c r="E192" s="465" t="s">
        <v>1131</v>
      </c>
      <c r="F192" s="465"/>
      <c r="G192" s="466">
        <v>1000</v>
      </c>
      <c r="H192" s="466">
        <v>260</v>
      </c>
      <c r="I192" s="466">
        <v>316</v>
      </c>
      <c r="J192" s="467">
        <v>26</v>
      </c>
      <c r="K192" s="468">
        <v>8838</v>
      </c>
      <c r="L192" s="468"/>
      <c r="M192" s="469">
        <f>K192*0.65</f>
        <v>5744.7</v>
      </c>
      <c r="N192" s="457"/>
    </row>
  </sheetData>
  <autoFilter ref="C1:C197"/>
  <conditionalFormatting sqref="B1 A15:B61 B101:B1048576">
    <cfRule type="cellIs" dxfId="85" priority="425" operator="equal">
      <formula>"новинка!"</formula>
    </cfRule>
    <cfRule type="cellIs" dxfId="84" priority="426" operator="equal">
      <formula>"новинка!"</formula>
    </cfRule>
  </conditionalFormatting>
  <conditionalFormatting sqref="A98:B100">
    <cfRule type="cellIs" dxfId="83" priority="31" operator="equal">
      <formula>"новинка!"</formula>
    </cfRule>
  </conditionalFormatting>
  <conditionalFormatting sqref="A65:B68 A71:B80 A86:B100 A2:B12">
    <cfRule type="cellIs" dxfId="82" priority="29" operator="equal">
      <formula>"новинка!"</formula>
    </cfRule>
    <cfRule type="cellIs" dxfId="81" priority="30" operator="equal">
      <formula>"новинка!"</formula>
    </cfRule>
  </conditionalFormatting>
  <conditionalFormatting sqref="A13:B13">
    <cfRule type="cellIs" dxfId="80" priority="27" operator="equal">
      <formula>"новинка!"</formula>
    </cfRule>
    <cfRule type="cellIs" dxfId="79" priority="28" operator="equal">
      <formula>"новинка!"</formula>
    </cfRule>
  </conditionalFormatting>
  <conditionalFormatting sqref="A14:B14">
    <cfRule type="cellIs" dxfId="78" priority="23" operator="equal">
      <formula>"новинка!"</formula>
    </cfRule>
    <cfRule type="cellIs" dxfId="77" priority="24" operator="equal">
      <formula>"новинка!"</formula>
    </cfRule>
  </conditionalFormatting>
  <conditionalFormatting sqref="A62:B64">
    <cfRule type="cellIs" dxfId="76" priority="19" operator="equal">
      <formula>"новинка!"</formula>
    </cfRule>
    <cfRule type="cellIs" dxfId="75" priority="20" operator="equal">
      <formula>"новинка!"</formula>
    </cfRule>
  </conditionalFormatting>
  <conditionalFormatting sqref="A69:B70">
    <cfRule type="cellIs" dxfId="74" priority="17" operator="equal">
      <formula>"новинка!"</formula>
    </cfRule>
    <cfRule type="cellIs" dxfId="73" priority="18" operator="equal">
      <formula>"новинка!"</formula>
    </cfRule>
  </conditionalFormatting>
  <conditionalFormatting sqref="A81:B85">
    <cfRule type="cellIs" dxfId="72" priority="15" operator="equal">
      <formula>"новинка!"</formula>
    </cfRule>
    <cfRule type="cellIs" dxfId="71" priority="16" operator="equal">
      <formula>"новинка!"</formula>
    </cfRule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nsertString">
                <anchor moveWithCells="1" sizeWithCells="1">
                  <from>
                    <xdr:col>4</xdr:col>
                    <xdr:colOff>1381125</xdr:colOff>
                    <xdr:row>0</xdr:row>
                    <xdr:rowOff>0</xdr:rowOff>
                  </from>
                  <to>
                    <xdr:col>4</xdr:col>
                    <xdr:colOff>4371975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C1:IX201"/>
  <sheetViews>
    <sheetView workbookViewId="0">
      <pane ySplit="1" topLeftCell="A2" activePane="bottomLeft" state="frozen"/>
      <selection activeCell="E186" sqref="E186"/>
      <selection pane="bottomLeft" activeCell="A201" sqref="A6:XFD201"/>
    </sheetView>
  </sheetViews>
  <sheetFormatPr defaultRowHeight="12.75" x14ac:dyDescent="0.2"/>
  <cols>
    <col min="1" max="2" width="9.140625" style="379"/>
    <col min="3" max="3" width="11.5703125" style="379" customWidth="1"/>
    <col min="4" max="4" width="9.140625" style="379"/>
    <col min="5" max="5" width="78.140625" style="379" customWidth="1"/>
    <col min="6" max="6" width="11" style="379" customWidth="1"/>
    <col min="7" max="10" width="9.140625" style="379"/>
    <col min="11" max="11" width="11" style="379" customWidth="1"/>
    <col min="12" max="12" width="10.7109375" style="457" customWidth="1"/>
    <col min="13" max="258" width="9.140625" style="379"/>
    <col min="259" max="259" width="11.5703125" style="379" customWidth="1"/>
    <col min="260" max="260" width="78.140625" style="379" customWidth="1"/>
    <col min="261" max="266" width="9.140625" style="379"/>
    <col min="267" max="267" width="11" style="379" customWidth="1"/>
    <col min="268" max="268" width="10.7109375" style="379" customWidth="1"/>
    <col min="269" max="514" width="9.140625" style="379"/>
    <col min="515" max="515" width="11.5703125" style="379" customWidth="1"/>
    <col min="516" max="516" width="78.140625" style="379" customWidth="1"/>
    <col min="517" max="522" width="9.140625" style="379"/>
    <col min="523" max="523" width="11" style="379" customWidth="1"/>
    <col min="524" max="524" width="10.7109375" style="379" customWidth="1"/>
    <col min="525" max="770" width="9.140625" style="379"/>
    <col min="771" max="771" width="11.5703125" style="379" customWidth="1"/>
    <col min="772" max="772" width="78.140625" style="379" customWidth="1"/>
    <col min="773" max="778" width="9.140625" style="379"/>
    <col min="779" max="779" width="11" style="379" customWidth="1"/>
    <col min="780" max="780" width="10.7109375" style="379" customWidth="1"/>
    <col min="781" max="1026" width="9.140625" style="379"/>
    <col min="1027" max="1027" width="11.5703125" style="379" customWidth="1"/>
    <col min="1028" max="1028" width="78.140625" style="379" customWidth="1"/>
    <col min="1029" max="1034" width="9.140625" style="379"/>
    <col min="1035" max="1035" width="11" style="379" customWidth="1"/>
    <col min="1036" max="1036" width="10.7109375" style="379" customWidth="1"/>
    <col min="1037" max="1282" width="9.140625" style="379"/>
    <col min="1283" max="1283" width="11.5703125" style="379" customWidth="1"/>
    <col min="1284" max="1284" width="78.140625" style="379" customWidth="1"/>
    <col min="1285" max="1290" width="9.140625" style="379"/>
    <col min="1291" max="1291" width="11" style="379" customWidth="1"/>
    <col min="1292" max="1292" width="10.7109375" style="379" customWidth="1"/>
    <col min="1293" max="1538" width="9.140625" style="379"/>
    <col min="1539" max="1539" width="11.5703125" style="379" customWidth="1"/>
    <col min="1540" max="1540" width="78.140625" style="379" customWidth="1"/>
    <col min="1541" max="1546" width="9.140625" style="379"/>
    <col min="1547" max="1547" width="11" style="379" customWidth="1"/>
    <col min="1548" max="1548" width="10.7109375" style="379" customWidth="1"/>
    <col min="1549" max="1794" width="9.140625" style="379"/>
    <col min="1795" max="1795" width="11.5703125" style="379" customWidth="1"/>
    <col min="1796" max="1796" width="78.140625" style="379" customWidth="1"/>
    <col min="1797" max="1802" width="9.140625" style="379"/>
    <col min="1803" max="1803" width="11" style="379" customWidth="1"/>
    <col min="1804" max="1804" width="10.7109375" style="379" customWidth="1"/>
    <col min="1805" max="2050" width="9.140625" style="379"/>
    <col min="2051" max="2051" width="11.5703125" style="379" customWidth="1"/>
    <col min="2052" max="2052" width="78.140625" style="379" customWidth="1"/>
    <col min="2053" max="2058" width="9.140625" style="379"/>
    <col min="2059" max="2059" width="11" style="379" customWidth="1"/>
    <col min="2060" max="2060" width="10.7109375" style="379" customWidth="1"/>
    <col min="2061" max="2306" width="9.140625" style="379"/>
    <col min="2307" max="2307" width="11.5703125" style="379" customWidth="1"/>
    <col min="2308" max="2308" width="78.140625" style="379" customWidth="1"/>
    <col min="2309" max="2314" width="9.140625" style="379"/>
    <col min="2315" max="2315" width="11" style="379" customWidth="1"/>
    <col min="2316" max="2316" width="10.7109375" style="379" customWidth="1"/>
    <col min="2317" max="2562" width="9.140625" style="379"/>
    <col min="2563" max="2563" width="11.5703125" style="379" customWidth="1"/>
    <col min="2564" max="2564" width="78.140625" style="379" customWidth="1"/>
    <col min="2565" max="2570" width="9.140625" style="379"/>
    <col min="2571" max="2571" width="11" style="379" customWidth="1"/>
    <col min="2572" max="2572" width="10.7109375" style="379" customWidth="1"/>
    <col min="2573" max="2818" width="9.140625" style="379"/>
    <col min="2819" max="2819" width="11.5703125" style="379" customWidth="1"/>
    <col min="2820" max="2820" width="78.140625" style="379" customWidth="1"/>
    <col min="2821" max="2826" width="9.140625" style="379"/>
    <col min="2827" max="2827" width="11" style="379" customWidth="1"/>
    <col min="2828" max="2828" width="10.7109375" style="379" customWidth="1"/>
    <col min="2829" max="3074" width="9.140625" style="379"/>
    <col min="3075" max="3075" width="11.5703125" style="379" customWidth="1"/>
    <col min="3076" max="3076" width="78.140625" style="379" customWidth="1"/>
    <col min="3077" max="3082" width="9.140625" style="379"/>
    <col min="3083" max="3083" width="11" style="379" customWidth="1"/>
    <col min="3084" max="3084" width="10.7109375" style="379" customWidth="1"/>
    <col min="3085" max="3330" width="9.140625" style="379"/>
    <col min="3331" max="3331" width="11.5703125" style="379" customWidth="1"/>
    <col min="3332" max="3332" width="78.140625" style="379" customWidth="1"/>
    <col min="3333" max="3338" width="9.140625" style="379"/>
    <col min="3339" max="3339" width="11" style="379" customWidth="1"/>
    <col min="3340" max="3340" width="10.7109375" style="379" customWidth="1"/>
    <col min="3341" max="3586" width="9.140625" style="379"/>
    <col min="3587" max="3587" width="11.5703125" style="379" customWidth="1"/>
    <col min="3588" max="3588" width="78.140625" style="379" customWidth="1"/>
    <col min="3589" max="3594" width="9.140625" style="379"/>
    <col min="3595" max="3595" width="11" style="379" customWidth="1"/>
    <col min="3596" max="3596" width="10.7109375" style="379" customWidth="1"/>
    <col min="3597" max="3842" width="9.140625" style="379"/>
    <col min="3843" max="3843" width="11.5703125" style="379" customWidth="1"/>
    <col min="3844" max="3844" width="78.140625" style="379" customWidth="1"/>
    <col min="3845" max="3850" width="9.140625" style="379"/>
    <col min="3851" max="3851" width="11" style="379" customWidth="1"/>
    <col min="3852" max="3852" width="10.7109375" style="379" customWidth="1"/>
    <col min="3853" max="4098" width="9.140625" style="379"/>
    <col min="4099" max="4099" width="11.5703125" style="379" customWidth="1"/>
    <col min="4100" max="4100" width="78.140625" style="379" customWidth="1"/>
    <col min="4101" max="4106" width="9.140625" style="379"/>
    <col min="4107" max="4107" width="11" style="379" customWidth="1"/>
    <col min="4108" max="4108" width="10.7109375" style="379" customWidth="1"/>
    <col min="4109" max="4354" width="9.140625" style="379"/>
    <col min="4355" max="4355" width="11.5703125" style="379" customWidth="1"/>
    <col min="4356" max="4356" width="78.140625" style="379" customWidth="1"/>
    <col min="4357" max="4362" width="9.140625" style="379"/>
    <col min="4363" max="4363" width="11" style="379" customWidth="1"/>
    <col min="4364" max="4364" width="10.7109375" style="379" customWidth="1"/>
    <col min="4365" max="4610" width="9.140625" style="379"/>
    <col min="4611" max="4611" width="11.5703125" style="379" customWidth="1"/>
    <col min="4612" max="4612" width="78.140625" style="379" customWidth="1"/>
    <col min="4613" max="4618" width="9.140625" style="379"/>
    <col min="4619" max="4619" width="11" style="379" customWidth="1"/>
    <col min="4620" max="4620" width="10.7109375" style="379" customWidth="1"/>
    <col min="4621" max="4866" width="9.140625" style="379"/>
    <col min="4867" max="4867" width="11.5703125" style="379" customWidth="1"/>
    <col min="4868" max="4868" width="78.140625" style="379" customWidth="1"/>
    <col min="4869" max="4874" width="9.140625" style="379"/>
    <col min="4875" max="4875" width="11" style="379" customWidth="1"/>
    <col min="4876" max="4876" width="10.7109375" style="379" customWidth="1"/>
    <col min="4877" max="5122" width="9.140625" style="379"/>
    <col min="5123" max="5123" width="11.5703125" style="379" customWidth="1"/>
    <col min="5124" max="5124" width="78.140625" style="379" customWidth="1"/>
    <col min="5125" max="5130" width="9.140625" style="379"/>
    <col min="5131" max="5131" width="11" style="379" customWidth="1"/>
    <col min="5132" max="5132" width="10.7109375" style="379" customWidth="1"/>
    <col min="5133" max="5378" width="9.140625" style="379"/>
    <col min="5379" max="5379" width="11.5703125" style="379" customWidth="1"/>
    <col min="5380" max="5380" width="78.140625" style="379" customWidth="1"/>
    <col min="5381" max="5386" width="9.140625" style="379"/>
    <col min="5387" max="5387" width="11" style="379" customWidth="1"/>
    <col min="5388" max="5388" width="10.7109375" style="379" customWidth="1"/>
    <col min="5389" max="5634" width="9.140625" style="379"/>
    <col min="5635" max="5635" width="11.5703125" style="379" customWidth="1"/>
    <col min="5636" max="5636" width="78.140625" style="379" customWidth="1"/>
    <col min="5637" max="5642" width="9.140625" style="379"/>
    <col min="5643" max="5643" width="11" style="379" customWidth="1"/>
    <col min="5644" max="5644" width="10.7109375" style="379" customWidth="1"/>
    <col min="5645" max="5890" width="9.140625" style="379"/>
    <col min="5891" max="5891" width="11.5703125" style="379" customWidth="1"/>
    <col min="5892" max="5892" width="78.140625" style="379" customWidth="1"/>
    <col min="5893" max="5898" width="9.140625" style="379"/>
    <col min="5899" max="5899" width="11" style="379" customWidth="1"/>
    <col min="5900" max="5900" width="10.7109375" style="379" customWidth="1"/>
    <col min="5901" max="6146" width="9.140625" style="379"/>
    <col min="6147" max="6147" width="11.5703125" style="379" customWidth="1"/>
    <col min="6148" max="6148" width="78.140625" style="379" customWidth="1"/>
    <col min="6149" max="6154" width="9.140625" style="379"/>
    <col min="6155" max="6155" width="11" style="379" customWidth="1"/>
    <col min="6156" max="6156" width="10.7109375" style="379" customWidth="1"/>
    <col min="6157" max="6402" width="9.140625" style="379"/>
    <col min="6403" max="6403" width="11.5703125" style="379" customWidth="1"/>
    <col min="6404" max="6404" width="78.140625" style="379" customWidth="1"/>
    <col min="6405" max="6410" width="9.140625" style="379"/>
    <col min="6411" max="6411" width="11" style="379" customWidth="1"/>
    <col min="6412" max="6412" width="10.7109375" style="379" customWidth="1"/>
    <col min="6413" max="6658" width="9.140625" style="379"/>
    <col min="6659" max="6659" width="11.5703125" style="379" customWidth="1"/>
    <col min="6660" max="6660" width="78.140625" style="379" customWidth="1"/>
    <col min="6661" max="6666" width="9.140625" style="379"/>
    <col min="6667" max="6667" width="11" style="379" customWidth="1"/>
    <col min="6668" max="6668" width="10.7109375" style="379" customWidth="1"/>
    <col min="6669" max="6914" width="9.140625" style="379"/>
    <col min="6915" max="6915" width="11.5703125" style="379" customWidth="1"/>
    <col min="6916" max="6916" width="78.140625" style="379" customWidth="1"/>
    <col min="6917" max="6922" width="9.140625" style="379"/>
    <col min="6923" max="6923" width="11" style="379" customWidth="1"/>
    <col min="6924" max="6924" width="10.7109375" style="379" customWidth="1"/>
    <col min="6925" max="7170" width="9.140625" style="379"/>
    <col min="7171" max="7171" width="11.5703125" style="379" customWidth="1"/>
    <col min="7172" max="7172" width="78.140625" style="379" customWidth="1"/>
    <col min="7173" max="7178" width="9.140625" style="379"/>
    <col min="7179" max="7179" width="11" style="379" customWidth="1"/>
    <col min="7180" max="7180" width="10.7109375" style="379" customWidth="1"/>
    <col min="7181" max="7426" width="9.140625" style="379"/>
    <col min="7427" max="7427" width="11.5703125" style="379" customWidth="1"/>
    <col min="7428" max="7428" width="78.140625" style="379" customWidth="1"/>
    <col min="7429" max="7434" width="9.140625" style="379"/>
    <col min="7435" max="7435" width="11" style="379" customWidth="1"/>
    <col min="7436" max="7436" width="10.7109375" style="379" customWidth="1"/>
    <col min="7437" max="7682" width="9.140625" style="379"/>
    <col min="7683" max="7683" width="11.5703125" style="379" customWidth="1"/>
    <col min="7684" max="7684" width="78.140625" style="379" customWidth="1"/>
    <col min="7685" max="7690" width="9.140625" style="379"/>
    <col min="7691" max="7691" width="11" style="379" customWidth="1"/>
    <col min="7692" max="7692" width="10.7109375" style="379" customWidth="1"/>
    <col min="7693" max="7938" width="9.140625" style="379"/>
    <col min="7939" max="7939" width="11.5703125" style="379" customWidth="1"/>
    <col min="7940" max="7940" width="78.140625" style="379" customWidth="1"/>
    <col min="7941" max="7946" width="9.140625" style="379"/>
    <col min="7947" max="7947" width="11" style="379" customWidth="1"/>
    <col min="7948" max="7948" width="10.7109375" style="379" customWidth="1"/>
    <col min="7949" max="8194" width="9.140625" style="379"/>
    <col min="8195" max="8195" width="11.5703125" style="379" customWidth="1"/>
    <col min="8196" max="8196" width="78.140625" style="379" customWidth="1"/>
    <col min="8197" max="8202" width="9.140625" style="379"/>
    <col min="8203" max="8203" width="11" style="379" customWidth="1"/>
    <col min="8204" max="8204" width="10.7109375" style="379" customWidth="1"/>
    <col min="8205" max="8450" width="9.140625" style="379"/>
    <col min="8451" max="8451" width="11.5703125" style="379" customWidth="1"/>
    <col min="8452" max="8452" width="78.140625" style="379" customWidth="1"/>
    <col min="8453" max="8458" width="9.140625" style="379"/>
    <col min="8459" max="8459" width="11" style="379" customWidth="1"/>
    <col min="8460" max="8460" width="10.7109375" style="379" customWidth="1"/>
    <col min="8461" max="8706" width="9.140625" style="379"/>
    <col min="8707" max="8707" width="11.5703125" style="379" customWidth="1"/>
    <col min="8708" max="8708" width="78.140625" style="379" customWidth="1"/>
    <col min="8709" max="8714" width="9.140625" style="379"/>
    <col min="8715" max="8715" width="11" style="379" customWidth="1"/>
    <col min="8716" max="8716" width="10.7109375" style="379" customWidth="1"/>
    <col min="8717" max="8962" width="9.140625" style="379"/>
    <col min="8963" max="8963" width="11.5703125" style="379" customWidth="1"/>
    <col min="8964" max="8964" width="78.140625" style="379" customWidth="1"/>
    <col min="8965" max="8970" width="9.140625" style="379"/>
    <col min="8971" max="8971" width="11" style="379" customWidth="1"/>
    <col min="8972" max="8972" width="10.7109375" style="379" customWidth="1"/>
    <col min="8973" max="9218" width="9.140625" style="379"/>
    <col min="9219" max="9219" width="11.5703125" style="379" customWidth="1"/>
    <col min="9220" max="9220" width="78.140625" style="379" customWidth="1"/>
    <col min="9221" max="9226" width="9.140625" style="379"/>
    <col min="9227" max="9227" width="11" style="379" customWidth="1"/>
    <col min="9228" max="9228" width="10.7109375" style="379" customWidth="1"/>
    <col min="9229" max="9474" width="9.140625" style="379"/>
    <col min="9475" max="9475" width="11.5703125" style="379" customWidth="1"/>
    <col min="9476" max="9476" width="78.140625" style="379" customWidth="1"/>
    <col min="9477" max="9482" width="9.140625" style="379"/>
    <col min="9483" max="9483" width="11" style="379" customWidth="1"/>
    <col min="9484" max="9484" width="10.7109375" style="379" customWidth="1"/>
    <col min="9485" max="9730" width="9.140625" style="379"/>
    <col min="9731" max="9731" width="11.5703125" style="379" customWidth="1"/>
    <col min="9732" max="9732" width="78.140625" style="379" customWidth="1"/>
    <col min="9733" max="9738" width="9.140625" style="379"/>
    <col min="9739" max="9739" width="11" style="379" customWidth="1"/>
    <col min="9740" max="9740" width="10.7109375" style="379" customWidth="1"/>
    <col min="9741" max="9986" width="9.140625" style="379"/>
    <col min="9987" max="9987" width="11.5703125" style="379" customWidth="1"/>
    <col min="9988" max="9988" width="78.140625" style="379" customWidth="1"/>
    <col min="9989" max="9994" width="9.140625" style="379"/>
    <col min="9995" max="9995" width="11" style="379" customWidth="1"/>
    <col min="9996" max="9996" width="10.7109375" style="379" customWidth="1"/>
    <col min="9997" max="10242" width="9.140625" style="379"/>
    <col min="10243" max="10243" width="11.5703125" style="379" customWidth="1"/>
    <col min="10244" max="10244" width="78.140625" style="379" customWidth="1"/>
    <col min="10245" max="10250" width="9.140625" style="379"/>
    <col min="10251" max="10251" width="11" style="379" customWidth="1"/>
    <col min="10252" max="10252" width="10.7109375" style="379" customWidth="1"/>
    <col min="10253" max="10498" width="9.140625" style="379"/>
    <col min="10499" max="10499" width="11.5703125" style="379" customWidth="1"/>
    <col min="10500" max="10500" width="78.140625" style="379" customWidth="1"/>
    <col min="10501" max="10506" width="9.140625" style="379"/>
    <col min="10507" max="10507" width="11" style="379" customWidth="1"/>
    <col min="10508" max="10508" width="10.7109375" style="379" customWidth="1"/>
    <col min="10509" max="10754" width="9.140625" style="379"/>
    <col min="10755" max="10755" width="11.5703125" style="379" customWidth="1"/>
    <col min="10756" max="10756" width="78.140625" style="379" customWidth="1"/>
    <col min="10757" max="10762" width="9.140625" style="379"/>
    <col min="10763" max="10763" width="11" style="379" customWidth="1"/>
    <col min="10764" max="10764" width="10.7109375" style="379" customWidth="1"/>
    <col min="10765" max="11010" width="9.140625" style="379"/>
    <col min="11011" max="11011" width="11.5703125" style="379" customWidth="1"/>
    <col min="11012" max="11012" width="78.140625" style="379" customWidth="1"/>
    <col min="11013" max="11018" width="9.140625" style="379"/>
    <col min="11019" max="11019" width="11" style="379" customWidth="1"/>
    <col min="11020" max="11020" width="10.7109375" style="379" customWidth="1"/>
    <col min="11021" max="11266" width="9.140625" style="379"/>
    <col min="11267" max="11267" width="11.5703125" style="379" customWidth="1"/>
    <col min="11268" max="11268" width="78.140625" style="379" customWidth="1"/>
    <col min="11269" max="11274" width="9.140625" style="379"/>
    <col min="11275" max="11275" width="11" style="379" customWidth="1"/>
    <col min="11276" max="11276" width="10.7109375" style="379" customWidth="1"/>
    <col min="11277" max="11522" width="9.140625" style="379"/>
    <col min="11523" max="11523" width="11.5703125" style="379" customWidth="1"/>
    <col min="11524" max="11524" width="78.140625" style="379" customWidth="1"/>
    <col min="11525" max="11530" width="9.140625" style="379"/>
    <col min="11531" max="11531" width="11" style="379" customWidth="1"/>
    <col min="11532" max="11532" width="10.7109375" style="379" customWidth="1"/>
    <col min="11533" max="11778" width="9.140625" style="379"/>
    <col min="11779" max="11779" width="11.5703125" style="379" customWidth="1"/>
    <col min="11780" max="11780" width="78.140625" style="379" customWidth="1"/>
    <col min="11781" max="11786" width="9.140625" style="379"/>
    <col min="11787" max="11787" width="11" style="379" customWidth="1"/>
    <col min="11788" max="11788" width="10.7109375" style="379" customWidth="1"/>
    <col min="11789" max="12034" width="9.140625" style="379"/>
    <col min="12035" max="12035" width="11.5703125" style="379" customWidth="1"/>
    <col min="12036" max="12036" width="78.140625" style="379" customWidth="1"/>
    <col min="12037" max="12042" width="9.140625" style="379"/>
    <col min="12043" max="12043" width="11" style="379" customWidth="1"/>
    <col min="12044" max="12044" width="10.7109375" style="379" customWidth="1"/>
    <col min="12045" max="12290" width="9.140625" style="379"/>
    <col min="12291" max="12291" width="11.5703125" style="379" customWidth="1"/>
    <col min="12292" max="12292" width="78.140625" style="379" customWidth="1"/>
    <col min="12293" max="12298" width="9.140625" style="379"/>
    <col min="12299" max="12299" width="11" style="379" customWidth="1"/>
    <col min="12300" max="12300" width="10.7109375" style="379" customWidth="1"/>
    <col min="12301" max="12546" width="9.140625" style="379"/>
    <col min="12547" max="12547" width="11.5703125" style="379" customWidth="1"/>
    <col min="12548" max="12548" width="78.140625" style="379" customWidth="1"/>
    <col min="12549" max="12554" width="9.140625" style="379"/>
    <col min="12555" max="12555" width="11" style="379" customWidth="1"/>
    <col min="12556" max="12556" width="10.7109375" style="379" customWidth="1"/>
    <col min="12557" max="12802" width="9.140625" style="379"/>
    <col min="12803" max="12803" width="11.5703125" style="379" customWidth="1"/>
    <col min="12804" max="12804" width="78.140625" style="379" customWidth="1"/>
    <col min="12805" max="12810" width="9.140625" style="379"/>
    <col min="12811" max="12811" width="11" style="379" customWidth="1"/>
    <col min="12812" max="12812" width="10.7109375" style="379" customWidth="1"/>
    <col min="12813" max="13058" width="9.140625" style="379"/>
    <col min="13059" max="13059" width="11.5703125" style="379" customWidth="1"/>
    <col min="13060" max="13060" width="78.140625" style="379" customWidth="1"/>
    <col min="13061" max="13066" width="9.140625" style="379"/>
    <col min="13067" max="13067" width="11" style="379" customWidth="1"/>
    <col min="13068" max="13068" width="10.7109375" style="379" customWidth="1"/>
    <col min="13069" max="13314" width="9.140625" style="379"/>
    <col min="13315" max="13315" width="11.5703125" style="379" customWidth="1"/>
    <col min="13316" max="13316" width="78.140625" style="379" customWidth="1"/>
    <col min="13317" max="13322" width="9.140625" style="379"/>
    <col min="13323" max="13323" width="11" style="379" customWidth="1"/>
    <col min="13324" max="13324" width="10.7109375" style="379" customWidth="1"/>
    <col min="13325" max="13570" width="9.140625" style="379"/>
    <col min="13571" max="13571" width="11.5703125" style="379" customWidth="1"/>
    <col min="13572" max="13572" width="78.140625" style="379" customWidth="1"/>
    <col min="13573" max="13578" width="9.140625" style="379"/>
    <col min="13579" max="13579" width="11" style="379" customWidth="1"/>
    <col min="13580" max="13580" width="10.7109375" style="379" customWidth="1"/>
    <col min="13581" max="13826" width="9.140625" style="379"/>
    <col min="13827" max="13827" width="11.5703125" style="379" customWidth="1"/>
    <col min="13828" max="13828" width="78.140625" style="379" customWidth="1"/>
    <col min="13829" max="13834" width="9.140625" style="379"/>
    <col min="13835" max="13835" width="11" style="379" customWidth="1"/>
    <col min="13836" max="13836" width="10.7109375" style="379" customWidth="1"/>
    <col min="13837" max="14082" width="9.140625" style="379"/>
    <col min="14083" max="14083" width="11.5703125" style="379" customWidth="1"/>
    <col min="14084" max="14084" width="78.140625" style="379" customWidth="1"/>
    <col min="14085" max="14090" width="9.140625" style="379"/>
    <col min="14091" max="14091" width="11" style="379" customWidth="1"/>
    <col min="14092" max="14092" width="10.7109375" style="379" customWidth="1"/>
    <col min="14093" max="14338" width="9.140625" style="379"/>
    <col min="14339" max="14339" width="11.5703125" style="379" customWidth="1"/>
    <col min="14340" max="14340" width="78.140625" style="379" customWidth="1"/>
    <col min="14341" max="14346" width="9.140625" style="379"/>
    <col min="14347" max="14347" width="11" style="379" customWidth="1"/>
    <col min="14348" max="14348" width="10.7109375" style="379" customWidth="1"/>
    <col min="14349" max="14594" width="9.140625" style="379"/>
    <col min="14595" max="14595" width="11.5703125" style="379" customWidth="1"/>
    <col min="14596" max="14596" width="78.140625" style="379" customWidth="1"/>
    <col min="14597" max="14602" width="9.140625" style="379"/>
    <col min="14603" max="14603" width="11" style="379" customWidth="1"/>
    <col min="14604" max="14604" width="10.7109375" style="379" customWidth="1"/>
    <col min="14605" max="14850" width="9.140625" style="379"/>
    <col min="14851" max="14851" width="11.5703125" style="379" customWidth="1"/>
    <col min="14852" max="14852" width="78.140625" style="379" customWidth="1"/>
    <col min="14853" max="14858" width="9.140625" style="379"/>
    <col min="14859" max="14859" width="11" style="379" customWidth="1"/>
    <col min="14860" max="14860" width="10.7109375" style="379" customWidth="1"/>
    <col min="14861" max="15106" width="9.140625" style="379"/>
    <col min="15107" max="15107" width="11.5703125" style="379" customWidth="1"/>
    <col min="15108" max="15108" width="78.140625" style="379" customWidth="1"/>
    <col min="15109" max="15114" width="9.140625" style="379"/>
    <col min="15115" max="15115" width="11" style="379" customWidth="1"/>
    <col min="15116" max="15116" width="10.7109375" style="379" customWidth="1"/>
    <col min="15117" max="15362" width="9.140625" style="379"/>
    <col min="15363" max="15363" width="11.5703125" style="379" customWidth="1"/>
    <col min="15364" max="15364" width="78.140625" style="379" customWidth="1"/>
    <col min="15365" max="15370" width="9.140625" style="379"/>
    <col min="15371" max="15371" width="11" style="379" customWidth="1"/>
    <col min="15372" max="15372" width="10.7109375" style="379" customWidth="1"/>
    <col min="15373" max="15618" width="9.140625" style="379"/>
    <col min="15619" max="15619" width="11.5703125" style="379" customWidth="1"/>
    <col min="15620" max="15620" width="78.140625" style="379" customWidth="1"/>
    <col min="15621" max="15626" width="9.140625" style="379"/>
    <col min="15627" max="15627" width="11" style="379" customWidth="1"/>
    <col min="15628" max="15628" width="10.7109375" style="379" customWidth="1"/>
    <col min="15629" max="15874" width="9.140625" style="379"/>
    <col min="15875" max="15875" width="11.5703125" style="379" customWidth="1"/>
    <col min="15876" max="15876" width="78.140625" style="379" customWidth="1"/>
    <col min="15877" max="15882" width="9.140625" style="379"/>
    <col min="15883" max="15883" width="11" style="379" customWidth="1"/>
    <col min="15884" max="15884" width="10.7109375" style="379" customWidth="1"/>
    <col min="15885" max="16130" width="9.140625" style="379"/>
    <col min="16131" max="16131" width="11.5703125" style="379" customWidth="1"/>
    <col min="16132" max="16132" width="78.140625" style="379" customWidth="1"/>
    <col min="16133" max="16138" width="9.140625" style="379"/>
    <col min="16139" max="16139" width="11" style="379" customWidth="1"/>
    <col min="16140" max="16140" width="10.7109375" style="379" customWidth="1"/>
    <col min="16141" max="16384" width="9.140625" style="379"/>
  </cols>
  <sheetData>
    <row r="1" spans="3:12" ht="30" x14ac:dyDescent="0.2">
      <c r="C1" s="372" t="s">
        <v>542</v>
      </c>
      <c r="D1" s="373" t="s">
        <v>1</v>
      </c>
      <c r="E1" s="372" t="s">
        <v>858</v>
      </c>
      <c r="F1" s="372"/>
      <c r="G1" s="374" t="s">
        <v>3</v>
      </c>
      <c r="H1" s="375" t="s">
        <v>4</v>
      </c>
      <c r="I1" s="375" t="s">
        <v>5</v>
      </c>
      <c r="J1" s="375" t="s">
        <v>859</v>
      </c>
      <c r="K1" s="377" t="s">
        <v>544</v>
      </c>
      <c r="L1" s="378" t="s">
        <v>861</v>
      </c>
    </row>
    <row r="2" spans="3:12" ht="21" x14ac:dyDescent="0.2">
      <c r="C2" s="559" t="s">
        <v>262</v>
      </c>
      <c r="D2" s="560"/>
      <c r="E2" s="560"/>
      <c r="F2" s="560"/>
      <c r="G2" s="560"/>
      <c r="H2" s="560"/>
      <c r="I2" s="560"/>
      <c r="J2" s="560"/>
      <c r="K2" s="560"/>
      <c r="L2" s="561"/>
    </row>
    <row r="3" spans="3:12" x14ac:dyDescent="0.2">
      <c r="C3" s="380" t="s">
        <v>862</v>
      </c>
      <c r="D3" s="381"/>
      <c r="E3" s="381"/>
      <c r="F3" s="381"/>
      <c r="G3" s="381"/>
      <c r="H3" s="381"/>
      <c r="I3" s="381"/>
      <c r="J3" s="381"/>
      <c r="K3" s="382"/>
      <c r="L3" s="383" t="str">
        <f>IFERROR(K3/#REF!-1,"")</f>
        <v/>
      </c>
    </row>
    <row r="4" spans="3:12" x14ac:dyDescent="0.2">
      <c r="C4" s="384" t="s">
        <v>863</v>
      </c>
      <c r="D4" s="385"/>
      <c r="E4" s="385"/>
      <c r="F4" s="385"/>
      <c r="G4" s="385"/>
      <c r="H4" s="385"/>
      <c r="I4" s="385"/>
      <c r="J4" s="385"/>
      <c r="K4" s="386"/>
      <c r="L4" s="387" t="str">
        <f>IFERROR(K4/#REF!-1,"")</f>
        <v/>
      </c>
    </row>
    <row r="5" spans="3:12" x14ac:dyDescent="0.2">
      <c r="C5" s="388" t="s">
        <v>864</v>
      </c>
      <c r="D5" s="389"/>
      <c r="E5" s="389"/>
      <c r="F5" s="389"/>
      <c r="G5" s="389"/>
      <c r="H5" s="389"/>
      <c r="I5" s="389"/>
      <c r="J5" s="389"/>
      <c r="K5" s="390"/>
      <c r="L5" s="391" t="str">
        <f>IFERROR(K5/#REF!-1,"")</f>
        <v/>
      </c>
    </row>
    <row r="6" spans="3:12" x14ac:dyDescent="0.2">
      <c r="C6" s="392" t="s">
        <v>865</v>
      </c>
      <c r="D6" s="393" t="s">
        <v>867</v>
      </c>
      <c r="E6" s="392" t="s">
        <v>866</v>
      </c>
      <c r="F6" s="392"/>
      <c r="G6" s="393">
        <v>1000</v>
      </c>
      <c r="H6" s="393">
        <v>160</v>
      </c>
      <c r="I6" s="393">
        <v>160</v>
      </c>
      <c r="J6" s="393">
        <v>35.49</v>
      </c>
      <c r="K6" s="394">
        <v>2317</v>
      </c>
      <c r="L6" s="395">
        <f>K6*0.65</f>
        <v>1506.05</v>
      </c>
    </row>
    <row r="7" spans="3:12" x14ac:dyDescent="0.2">
      <c r="C7" s="392" t="s">
        <v>868</v>
      </c>
      <c r="D7" s="393" t="s">
        <v>867</v>
      </c>
      <c r="E7" s="392" t="s">
        <v>869</v>
      </c>
      <c r="F7" s="392"/>
      <c r="G7" s="393">
        <v>1000</v>
      </c>
      <c r="H7" s="393">
        <v>160</v>
      </c>
      <c r="I7" s="393">
        <v>210</v>
      </c>
      <c r="J7" s="393">
        <v>42.69</v>
      </c>
      <c r="K7" s="394">
        <v>2483</v>
      </c>
      <c r="L7" s="395">
        <f>K7*0.65</f>
        <v>1613.95</v>
      </c>
    </row>
    <row r="8" spans="3:12" x14ac:dyDescent="0.2">
      <c r="C8" s="392" t="s">
        <v>870</v>
      </c>
      <c r="D8" s="393" t="s">
        <v>867</v>
      </c>
      <c r="E8" s="392" t="s">
        <v>871</v>
      </c>
      <c r="F8" s="392"/>
      <c r="G8" s="393">
        <v>1000</v>
      </c>
      <c r="H8" s="393">
        <v>160</v>
      </c>
      <c r="I8" s="393">
        <v>230</v>
      </c>
      <c r="J8" s="393">
        <v>45.57</v>
      </c>
      <c r="K8" s="394">
        <v>2533</v>
      </c>
      <c r="L8" s="395">
        <f>K8*0.65</f>
        <v>1646.45</v>
      </c>
    </row>
    <row r="9" spans="3:12" x14ac:dyDescent="0.2">
      <c r="C9" s="396" t="s">
        <v>872</v>
      </c>
      <c r="D9" s="393" t="s">
        <v>867</v>
      </c>
      <c r="E9" s="396" t="s">
        <v>873</v>
      </c>
      <c r="F9" s="396"/>
      <c r="G9" s="393">
        <v>500</v>
      </c>
      <c r="H9" s="393">
        <v>160</v>
      </c>
      <c r="I9" s="393">
        <v>500</v>
      </c>
      <c r="J9" s="393">
        <v>50.7</v>
      </c>
      <c r="K9" s="394">
        <v>2567</v>
      </c>
      <c r="L9" s="395">
        <f>K9*0.65</f>
        <v>1668.55</v>
      </c>
    </row>
    <row r="10" spans="3:12" x14ac:dyDescent="0.2">
      <c r="C10" s="562" t="s">
        <v>874</v>
      </c>
      <c r="D10" s="389"/>
      <c r="E10" s="563"/>
      <c r="F10" s="563"/>
      <c r="G10" s="389"/>
      <c r="H10" s="389"/>
      <c r="I10" s="389"/>
      <c r="J10" s="389"/>
      <c r="K10" s="390"/>
      <c r="L10" s="391" t="str">
        <f>IFERROR(K10/#REF!-1,"")</f>
        <v/>
      </c>
    </row>
    <row r="11" spans="3:12" x14ac:dyDescent="0.2">
      <c r="C11" s="392" t="s">
        <v>875</v>
      </c>
      <c r="D11" s="393" t="s">
        <v>877</v>
      </c>
      <c r="E11" s="392" t="s">
        <v>876</v>
      </c>
      <c r="F11" s="392"/>
      <c r="G11" s="393">
        <v>498</v>
      </c>
      <c r="H11" s="393">
        <v>148</v>
      </c>
      <c r="I11" s="393">
        <v>25</v>
      </c>
      <c r="J11" s="393">
        <v>3.79</v>
      </c>
      <c r="K11" s="397">
        <v>1085</v>
      </c>
      <c r="L11" s="398">
        <f>K11*0.65</f>
        <v>705.25</v>
      </c>
    </row>
    <row r="12" spans="3:12" x14ac:dyDescent="0.2">
      <c r="C12" s="392" t="s">
        <v>878</v>
      </c>
      <c r="D12" s="393" t="s">
        <v>880</v>
      </c>
      <c r="E12" s="392" t="s">
        <v>879</v>
      </c>
      <c r="F12" s="392"/>
      <c r="G12" s="393">
        <v>498</v>
      </c>
      <c r="H12" s="393">
        <v>148</v>
      </c>
      <c r="I12" s="393">
        <v>35</v>
      </c>
      <c r="J12" s="393">
        <v>4.43</v>
      </c>
      <c r="K12" s="397">
        <v>1345</v>
      </c>
      <c r="L12" s="398">
        <f>K12*0.65</f>
        <v>874.25</v>
      </c>
    </row>
    <row r="13" spans="3:12" x14ac:dyDescent="0.2">
      <c r="C13" s="388" t="s">
        <v>881</v>
      </c>
      <c r="D13" s="389"/>
      <c r="E13" s="389"/>
      <c r="F13" s="389"/>
      <c r="G13" s="389"/>
      <c r="H13" s="389"/>
      <c r="I13" s="389"/>
      <c r="J13" s="389"/>
      <c r="K13" s="390"/>
      <c r="L13" s="391" t="str">
        <f>IFERROR(K13/#REF!-1,"")</f>
        <v/>
      </c>
    </row>
    <row r="14" spans="3:12" x14ac:dyDescent="0.2">
      <c r="C14" s="392" t="s">
        <v>882</v>
      </c>
      <c r="D14" s="393" t="s">
        <v>877</v>
      </c>
      <c r="E14" s="392" t="s">
        <v>883</v>
      </c>
      <c r="F14" s="392"/>
      <c r="G14" s="393"/>
      <c r="H14" s="393"/>
      <c r="I14" s="393"/>
      <c r="J14" s="393"/>
      <c r="K14" s="399">
        <v>15</v>
      </c>
      <c r="L14" s="400">
        <f>K14*0.75</f>
        <v>11.25</v>
      </c>
    </row>
    <row r="15" spans="3:12" x14ac:dyDescent="0.2">
      <c r="C15" s="392" t="s">
        <v>884</v>
      </c>
      <c r="D15" s="393" t="s">
        <v>877</v>
      </c>
      <c r="E15" s="392" t="s">
        <v>885</v>
      </c>
      <c r="F15" s="392"/>
      <c r="G15" s="393"/>
      <c r="H15" s="393"/>
      <c r="I15" s="393"/>
      <c r="J15" s="393"/>
      <c r="K15" s="399">
        <v>15</v>
      </c>
      <c r="L15" s="400">
        <f>K15*0.75</f>
        <v>11.25</v>
      </c>
    </row>
    <row r="16" spans="3:12" x14ac:dyDescent="0.2">
      <c r="C16" s="388" t="s">
        <v>886</v>
      </c>
      <c r="D16" s="389"/>
      <c r="E16" s="389"/>
      <c r="F16" s="389"/>
      <c r="G16" s="389"/>
      <c r="H16" s="389"/>
      <c r="I16" s="389"/>
      <c r="J16" s="389"/>
      <c r="K16" s="390"/>
      <c r="L16" s="391" t="str">
        <f>IFERROR(K16/#REF!-1,"")</f>
        <v/>
      </c>
    </row>
    <row r="17" spans="3:12" s="404" customFormat="1" ht="25.5" x14ac:dyDescent="0.2">
      <c r="C17" s="401"/>
      <c r="D17" s="403"/>
      <c r="E17" s="402" t="s">
        <v>887</v>
      </c>
      <c r="F17" s="402"/>
      <c r="G17" s="403"/>
      <c r="H17" s="403"/>
      <c r="I17" s="403"/>
      <c r="J17" s="403"/>
      <c r="K17" s="394">
        <v>610.90909090909099</v>
      </c>
      <c r="L17" s="395">
        <v>611</v>
      </c>
    </row>
    <row r="18" spans="3:12" x14ac:dyDescent="0.2">
      <c r="C18" s="388" t="s">
        <v>888</v>
      </c>
      <c r="D18" s="389"/>
      <c r="E18" s="389"/>
      <c r="F18" s="389"/>
      <c r="G18" s="389"/>
      <c r="H18" s="389"/>
      <c r="I18" s="389"/>
      <c r="J18" s="389"/>
      <c r="K18" s="390"/>
      <c r="L18" s="391" t="str">
        <f>IFERROR(K18/#REF!-1,"")</f>
        <v/>
      </c>
    </row>
    <row r="19" spans="3:12" s="404" customFormat="1" x14ac:dyDescent="0.2">
      <c r="C19" s="405" t="s">
        <v>889</v>
      </c>
      <c r="D19" s="407"/>
      <c r="E19" s="406" t="s">
        <v>890</v>
      </c>
      <c r="F19" s="406"/>
      <c r="G19" s="407"/>
      <c r="H19" s="407"/>
      <c r="I19" s="407"/>
      <c r="J19" s="407"/>
      <c r="K19" s="408">
        <v>142</v>
      </c>
      <c r="L19" s="409">
        <f>K19*0.8</f>
        <v>113.60000000000001</v>
      </c>
    </row>
    <row r="20" spans="3:12" s="404" customFormat="1" x14ac:dyDescent="0.2">
      <c r="C20" s="405" t="s">
        <v>891</v>
      </c>
      <c r="D20" s="407"/>
      <c r="E20" s="406" t="s">
        <v>892</v>
      </c>
      <c r="F20" s="406"/>
      <c r="G20" s="407"/>
      <c r="H20" s="407"/>
      <c r="I20" s="407"/>
      <c r="J20" s="407"/>
      <c r="K20" s="408">
        <v>687</v>
      </c>
      <c r="L20" s="409">
        <f t="shared" ref="L20:L25" si="0">K20*0.8</f>
        <v>549.6</v>
      </c>
    </row>
    <row r="21" spans="3:12" s="404" customFormat="1" x14ac:dyDescent="0.2">
      <c r="C21" s="405" t="s">
        <v>893</v>
      </c>
      <c r="D21" s="407"/>
      <c r="E21" s="406" t="s">
        <v>894</v>
      </c>
      <c r="F21" s="406"/>
      <c r="G21" s="407"/>
      <c r="H21" s="407"/>
      <c r="I21" s="407"/>
      <c r="J21" s="407"/>
      <c r="K21" s="408">
        <v>165</v>
      </c>
      <c r="L21" s="409">
        <f t="shared" si="0"/>
        <v>132</v>
      </c>
    </row>
    <row r="22" spans="3:12" s="404" customFormat="1" x14ac:dyDescent="0.2">
      <c r="C22" s="405" t="s">
        <v>895</v>
      </c>
      <c r="D22" s="407"/>
      <c r="E22" s="406" t="s">
        <v>896</v>
      </c>
      <c r="F22" s="406"/>
      <c r="G22" s="407"/>
      <c r="H22" s="407"/>
      <c r="I22" s="407"/>
      <c r="J22" s="407"/>
      <c r="K22" s="408">
        <v>705</v>
      </c>
      <c r="L22" s="409">
        <f t="shared" si="0"/>
        <v>564</v>
      </c>
    </row>
    <row r="23" spans="3:12" s="404" customFormat="1" x14ac:dyDescent="0.2">
      <c r="C23" s="405" t="s">
        <v>897</v>
      </c>
      <c r="D23" s="407"/>
      <c r="E23" s="406" t="s">
        <v>898</v>
      </c>
      <c r="F23" s="406"/>
      <c r="G23" s="407"/>
      <c r="H23" s="407"/>
      <c r="I23" s="407"/>
      <c r="J23" s="407"/>
      <c r="K23" s="408">
        <v>177</v>
      </c>
      <c r="L23" s="409">
        <f t="shared" si="0"/>
        <v>141.6</v>
      </c>
    </row>
    <row r="24" spans="3:12" s="404" customFormat="1" x14ac:dyDescent="0.2">
      <c r="C24" s="405" t="s">
        <v>899</v>
      </c>
      <c r="D24" s="407"/>
      <c r="E24" s="406" t="s">
        <v>900</v>
      </c>
      <c r="F24" s="406"/>
      <c r="G24" s="407"/>
      <c r="H24" s="407"/>
      <c r="I24" s="407"/>
      <c r="J24" s="407"/>
      <c r="K24" s="408">
        <v>815</v>
      </c>
      <c r="L24" s="409">
        <f t="shared" si="0"/>
        <v>652</v>
      </c>
    </row>
    <row r="25" spans="3:12" s="404" customFormat="1" x14ac:dyDescent="0.2">
      <c r="C25" s="405" t="s">
        <v>901</v>
      </c>
      <c r="D25" s="407"/>
      <c r="E25" s="406" t="s">
        <v>902</v>
      </c>
      <c r="F25" s="406"/>
      <c r="G25" s="407"/>
      <c r="H25" s="407"/>
      <c r="I25" s="407"/>
      <c r="J25" s="407"/>
      <c r="K25" s="408">
        <v>1291.6666666666667</v>
      </c>
      <c r="L25" s="409">
        <f t="shared" si="0"/>
        <v>1033.3333333333335</v>
      </c>
    </row>
    <row r="26" spans="3:12" x14ac:dyDescent="0.2">
      <c r="C26" s="384" t="s">
        <v>903</v>
      </c>
      <c r="D26" s="385"/>
      <c r="E26" s="385"/>
      <c r="F26" s="385"/>
      <c r="G26" s="385"/>
      <c r="H26" s="385"/>
      <c r="I26" s="385"/>
      <c r="J26" s="385"/>
      <c r="K26" s="386"/>
      <c r="L26" s="387" t="str">
        <f>IFERROR(K26/#REF!-1,"")</f>
        <v/>
      </c>
    </row>
    <row r="27" spans="3:12" x14ac:dyDescent="0.2">
      <c r="C27" s="388" t="s">
        <v>904</v>
      </c>
      <c r="D27" s="389"/>
      <c r="E27" s="389"/>
      <c r="F27" s="389"/>
      <c r="G27" s="389"/>
      <c r="H27" s="389"/>
      <c r="I27" s="389"/>
      <c r="J27" s="389"/>
      <c r="K27" s="390"/>
      <c r="L27" s="391" t="str">
        <f>IFERROR(K27/#REF!-1,"")</f>
        <v/>
      </c>
    </row>
    <row r="28" spans="3:12" x14ac:dyDescent="0.2">
      <c r="C28" s="410" t="s">
        <v>905</v>
      </c>
      <c r="D28" s="393" t="s">
        <v>877</v>
      </c>
      <c r="E28" s="411" t="s">
        <v>906</v>
      </c>
      <c r="F28" s="411"/>
      <c r="G28" s="393">
        <v>1000</v>
      </c>
      <c r="H28" s="393">
        <v>160</v>
      </c>
      <c r="I28" s="393">
        <v>160</v>
      </c>
      <c r="J28" s="393">
        <v>43.1</v>
      </c>
      <c r="K28" s="397">
        <v>4667</v>
      </c>
      <c r="L28" s="398">
        <f>K28*0.65</f>
        <v>3033.55</v>
      </c>
    </row>
    <row r="29" spans="3:12" x14ac:dyDescent="0.2">
      <c r="C29" s="410" t="s">
        <v>907</v>
      </c>
      <c r="D29" s="393" t="s">
        <v>877</v>
      </c>
      <c r="E29" s="411" t="s">
        <v>908</v>
      </c>
      <c r="F29" s="411"/>
      <c r="G29" s="393">
        <v>1000</v>
      </c>
      <c r="H29" s="393">
        <v>160</v>
      </c>
      <c r="I29" s="393">
        <v>210</v>
      </c>
      <c r="J29" s="393">
        <v>50.3</v>
      </c>
      <c r="K29" s="397">
        <v>4833</v>
      </c>
      <c r="L29" s="398">
        <f>K29*0.65</f>
        <v>3141.4500000000003</v>
      </c>
    </row>
    <row r="30" spans="3:12" x14ac:dyDescent="0.2">
      <c r="C30" s="410" t="s">
        <v>909</v>
      </c>
      <c r="D30" s="393" t="s">
        <v>877</v>
      </c>
      <c r="E30" s="411" t="s">
        <v>910</v>
      </c>
      <c r="F30" s="411"/>
      <c r="G30" s="393">
        <v>1000</v>
      </c>
      <c r="H30" s="393">
        <v>160</v>
      </c>
      <c r="I30" s="393">
        <v>230</v>
      </c>
      <c r="J30" s="393">
        <v>53.19</v>
      </c>
      <c r="K30" s="397">
        <v>4883</v>
      </c>
      <c r="L30" s="398">
        <f>K30*0.65</f>
        <v>3173.9500000000003</v>
      </c>
    </row>
    <row r="31" spans="3:12" x14ac:dyDescent="0.2">
      <c r="C31" s="412" t="s">
        <v>911</v>
      </c>
      <c r="D31" s="393" t="s">
        <v>877</v>
      </c>
      <c r="E31" s="411" t="s">
        <v>912</v>
      </c>
      <c r="F31" s="411"/>
      <c r="G31" s="393">
        <v>500</v>
      </c>
      <c r="H31" s="393">
        <v>160</v>
      </c>
      <c r="I31" s="393">
        <v>500</v>
      </c>
      <c r="J31" s="393">
        <v>54.82</v>
      </c>
      <c r="K31" s="397">
        <v>3800</v>
      </c>
      <c r="L31" s="398">
        <f>K31*0.65</f>
        <v>2470</v>
      </c>
    </row>
    <row r="32" spans="3:12" x14ac:dyDescent="0.2">
      <c r="C32" s="388" t="s">
        <v>913</v>
      </c>
      <c r="D32" s="389"/>
      <c r="E32" s="389"/>
      <c r="F32" s="389"/>
      <c r="G32" s="389"/>
      <c r="H32" s="389"/>
      <c r="I32" s="389"/>
      <c r="J32" s="389"/>
      <c r="K32" s="390"/>
      <c r="L32" s="391" t="str">
        <f>IFERROR(K32/#REF!-1,"")</f>
        <v/>
      </c>
    </row>
    <row r="33" spans="3:12" x14ac:dyDescent="0.2">
      <c r="C33" s="410" t="s">
        <v>914</v>
      </c>
      <c r="D33" s="393" t="s">
        <v>867</v>
      </c>
      <c r="E33" s="410" t="s">
        <v>915</v>
      </c>
      <c r="F33" s="410"/>
      <c r="G33" s="393">
        <v>1000</v>
      </c>
      <c r="H33" s="393">
        <v>160</v>
      </c>
      <c r="I33" s="393">
        <v>160</v>
      </c>
      <c r="J33" s="393">
        <v>43.07</v>
      </c>
      <c r="K33" s="397">
        <v>5500</v>
      </c>
      <c r="L33" s="398">
        <f>K33*0.65</f>
        <v>3575</v>
      </c>
    </row>
    <row r="34" spans="3:12" x14ac:dyDescent="0.2">
      <c r="C34" s="410" t="s">
        <v>916</v>
      </c>
      <c r="D34" s="393" t="s">
        <v>867</v>
      </c>
      <c r="E34" s="410" t="s">
        <v>917</v>
      </c>
      <c r="F34" s="410"/>
      <c r="G34" s="393">
        <v>1000</v>
      </c>
      <c r="H34" s="393">
        <v>160</v>
      </c>
      <c r="I34" s="393">
        <v>210</v>
      </c>
      <c r="J34" s="393">
        <v>51.87</v>
      </c>
      <c r="K34" s="397">
        <v>5642</v>
      </c>
      <c r="L34" s="398">
        <f>K34*0.65</f>
        <v>3667.3</v>
      </c>
    </row>
    <row r="35" spans="3:12" x14ac:dyDescent="0.2">
      <c r="C35" s="410" t="s">
        <v>918</v>
      </c>
      <c r="D35" s="393" t="s">
        <v>867</v>
      </c>
      <c r="E35" s="410" t="s">
        <v>919</v>
      </c>
      <c r="F35" s="410"/>
      <c r="G35" s="393">
        <v>1000</v>
      </c>
      <c r="H35" s="393">
        <v>160</v>
      </c>
      <c r="I35" s="393">
        <v>230</v>
      </c>
      <c r="J35" s="393">
        <v>54.71</v>
      </c>
      <c r="K35" s="397">
        <v>5692</v>
      </c>
      <c r="L35" s="398">
        <f>K35*0.65</f>
        <v>3699.8</v>
      </c>
    </row>
    <row r="36" spans="3:12" x14ac:dyDescent="0.2">
      <c r="C36" s="412" t="s">
        <v>920</v>
      </c>
      <c r="D36" s="393" t="s">
        <v>867</v>
      </c>
      <c r="E36" s="410" t="s">
        <v>921</v>
      </c>
      <c r="F36" s="410"/>
      <c r="G36" s="393">
        <v>1000</v>
      </c>
      <c r="H36" s="393">
        <v>160</v>
      </c>
      <c r="I36" s="393">
        <v>500</v>
      </c>
      <c r="J36" s="393">
        <v>54.82</v>
      </c>
      <c r="K36" s="397">
        <v>4100</v>
      </c>
      <c r="L36" s="398">
        <f>K36*0.65</f>
        <v>2665</v>
      </c>
    </row>
    <row r="37" spans="3:12" x14ac:dyDescent="0.2">
      <c r="C37" s="384" t="s">
        <v>922</v>
      </c>
      <c r="D37" s="385"/>
      <c r="E37" s="385"/>
      <c r="F37" s="385"/>
      <c r="G37" s="385"/>
      <c r="H37" s="385"/>
      <c r="I37" s="385"/>
      <c r="J37" s="385"/>
      <c r="K37" s="386"/>
      <c r="L37" s="387" t="str">
        <f>IFERROR(K37/#REF!-1,"")</f>
        <v/>
      </c>
    </row>
    <row r="38" spans="3:12" x14ac:dyDescent="0.2">
      <c r="C38" s="388" t="s">
        <v>923</v>
      </c>
      <c r="D38" s="389"/>
      <c r="E38" s="389"/>
      <c r="F38" s="389"/>
      <c r="G38" s="389"/>
      <c r="H38" s="389"/>
      <c r="I38" s="389"/>
      <c r="J38" s="389"/>
      <c r="K38" s="390"/>
      <c r="L38" s="391" t="str">
        <f>IFERROR(K38/#REF!-1,"")</f>
        <v/>
      </c>
    </row>
    <row r="39" spans="3:12" x14ac:dyDescent="0.2">
      <c r="C39" s="413" t="s">
        <v>924</v>
      </c>
      <c r="D39" s="393" t="s">
        <v>877</v>
      </c>
      <c r="E39" s="413" t="s">
        <v>925</v>
      </c>
      <c r="F39" s="413"/>
      <c r="G39" s="393">
        <v>1000</v>
      </c>
      <c r="H39" s="393">
        <v>210</v>
      </c>
      <c r="I39" s="393">
        <v>100</v>
      </c>
      <c r="J39" s="393">
        <v>26.36</v>
      </c>
      <c r="K39" s="394">
        <v>3158</v>
      </c>
      <c r="L39" s="395">
        <f t="shared" ref="L39:L44" si="1">K39*0.65</f>
        <v>2052.7000000000003</v>
      </c>
    </row>
    <row r="40" spans="3:12" x14ac:dyDescent="0.2">
      <c r="C40" s="413" t="s">
        <v>926</v>
      </c>
      <c r="D40" s="393" t="s">
        <v>877</v>
      </c>
      <c r="E40" s="413" t="s">
        <v>927</v>
      </c>
      <c r="F40" s="413"/>
      <c r="G40" s="393">
        <v>1000</v>
      </c>
      <c r="H40" s="393">
        <v>210</v>
      </c>
      <c r="I40" s="393">
        <v>160</v>
      </c>
      <c r="J40" s="393">
        <v>58.58</v>
      </c>
      <c r="K40" s="394">
        <v>3333</v>
      </c>
      <c r="L40" s="395">
        <f t="shared" si="1"/>
        <v>2166.4500000000003</v>
      </c>
    </row>
    <row r="41" spans="3:12" x14ac:dyDescent="0.2">
      <c r="C41" s="413" t="s">
        <v>928</v>
      </c>
      <c r="D41" s="393" t="s">
        <v>877</v>
      </c>
      <c r="E41" s="413" t="s">
        <v>929</v>
      </c>
      <c r="F41" s="413"/>
      <c r="G41" s="393">
        <v>1000</v>
      </c>
      <c r="H41" s="393">
        <v>210</v>
      </c>
      <c r="I41" s="393">
        <v>210</v>
      </c>
      <c r="J41" s="393">
        <v>61.81</v>
      </c>
      <c r="K41" s="394">
        <v>3475</v>
      </c>
      <c r="L41" s="395">
        <f t="shared" si="1"/>
        <v>2258.75</v>
      </c>
    </row>
    <row r="42" spans="3:12" x14ac:dyDescent="0.2">
      <c r="C42" s="413" t="s">
        <v>930</v>
      </c>
      <c r="D42" s="393" t="s">
        <v>877</v>
      </c>
      <c r="E42" s="413" t="s">
        <v>931</v>
      </c>
      <c r="F42" s="413"/>
      <c r="G42" s="393">
        <v>1000</v>
      </c>
      <c r="H42" s="393">
        <v>210</v>
      </c>
      <c r="I42" s="393">
        <v>260</v>
      </c>
      <c r="J42" s="393">
        <v>68.8</v>
      </c>
      <c r="K42" s="394">
        <v>3833</v>
      </c>
      <c r="L42" s="395">
        <f t="shared" si="1"/>
        <v>2491.4500000000003</v>
      </c>
    </row>
    <row r="43" spans="3:12" x14ac:dyDescent="0.2">
      <c r="C43" s="414" t="s">
        <v>932</v>
      </c>
      <c r="D43" s="415" t="s">
        <v>877</v>
      </c>
      <c r="E43" s="414" t="s">
        <v>933</v>
      </c>
      <c r="F43" s="414"/>
      <c r="G43" s="415">
        <v>1000</v>
      </c>
      <c r="H43" s="415">
        <v>210</v>
      </c>
      <c r="I43" s="415">
        <v>310</v>
      </c>
      <c r="J43" s="415">
        <v>68.849999999999994</v>
      </c>
      <c r="K43" s="394">
        <v>4017</v>
      </c>
      <c r="L43" s="395">
        <f t="shared" si="1"/>
        <v>2611.0500000000002</v>
      </c>
    </row>
    <row r="44" spans="3:12" x14ac:dyDescent="0.2">
      <c r="C44" s="413" t="s">
        <v>934</v>
      </c>
      <c r="D44" s="393" t="s">
        <v>877</v>
      </c>
      <c r="E44" s="413" t="s">
        <v>935</v>
      </c>
      <c r="F44" s="413"/>
      <c r="G44" s="393">
        <v>500</v>
      </c>
      <c r="H44" s="393">
        <v>210</v>
      </c>
      <c r="I44" s="393">
        <v>500</v>
      </c>
      <c r="J44" s="393">
        <v>55.4</v>
      </c>
      <c r="K44" s="394">
        <v>5908</v>
      </c>
      <c r="L44" s="395">
        <f t="shared" si="1"/>
        <v>3840.2000000000003</v>
      </c>
    </row>
    <row r="45" spans="3:12" x14ac:dyDescent="0.2">
      <c r="C45" s="388" t="s">
        <v>936</v>
      </c>
      <c r="D45" s="389"/>
      <c r="E45" s="389"/>
      <c r="F45" s="389"/>
      <c r="G45" s="389"/>
      <c r="H45" s="389"/>
      <c r="I45" s="389"/>
      <c r="J45" s="389"/>
      <c r="K45" s="390"/>
      <c r="L45" s="391" t="str">
        <f>IFERROR(K45/#REF!-1,"")</f>
        <v/>
      </c>
    </row>
    <row r="46" spans="3:12" x14ac:dyDescent="0.2">
      <c r="C46" s="416" t="s">
        <v>937</v>
      </c>
      <c r="D46" s="393" t="s">
        <v>877</v>
      </c>
      <c r="E46" s="417" t="s">
        <v>938</v>
      </c>
      <c r="F46" s="417"/>
      <c r="G46" s="393">
        <v>498</v>
      </c>
      <c r="H46" s="393">
        <v>198</v>
      </c>
      <c r="I46" s="393">
        <v>32</v>
      </c>
      <c r="J46" s="393">
        <v>5.8</v>
      </c>
      <c r="K46" s="397">
        <v>2035</v>
      </c>
      <c r="L46" s="398">
        <f>K46*0.65</f>
        <v>1322.75</v>
      </c>
    </row>
    <row r="47" spans="3:12" x14ac:dyDescent="0.2">
      <c r="C47" s="418" t="s">
        <v>939</v>
      </c>
      <c r="D47" s="415" t="s">
        <v>880</v>
      </c>
      <c r="E47" s="419" t="s">
        <v>940</v>
      </c>
      <c r="F47" s="419"/>
      <c r="G47" s="415">
        <v>498</v>
      </c>
      <c r="H47" s="415">
        <v>198</v>
      </c>
      <c r="I47" s="415">
        <v>46</v>
      </c>
      <c r="J47" s="415">
        <v>7</v>
      </c>
      <c r="K47" s="397">
        <v>2300</v>
      </c>
      <c r="L47" s="398">
        <f>K47*0.65</f>
        <v>1495</v>
      </c>
    </row>
    <row r="48" spans="3:12" x14ac:dyDescent="0.2">
      <c r="C48" s="388" t="s">
        <v>941</v>
      </c>
      <c r="D48" s="389"/>
      <c r="E48" s="389"/>
      <c r="F48" s="389"/>
      <c r="G48" s="389"/>
      <c r="H48" s="389"/>
      <c r="I48" s="389"/>
      <c r="J48" s="389"/>
      <c r="K48" s="390"/>
      <c r="L48" s="391" t="str">
        <f>IFERROR(K48/#REF!-1,"")</f>
        <v/>
      </c>
    </row>
    <row r="49" spans="3:12" x14ac:dyDescent="0.2">
      <c r="C49" s="418" t="s">
        <v>882</v>
      </c>
      <c r="D49" s="393"/>
      <c r="E49" s="420" t="s">
        <v>883</v>
      </c>
      <c r="F49" s="420"/>
      <c r="G49" s="393"/>
      <c r="H49" s="393"/>
      <c r="I49" s="393"/>
      <c r="J49" s="393"/>
      <c r="K49" s="399">
        <v>15</v>
      </c>
      <c r="L49" s="400">
        <f>K49*0.75</f>
        <v>11.25</v>
      </c>
    </row>
    <row r="50" spans="3:12" x14ac:dyDescent="0.2">
      <c r="C50" s="418" t="s">
        <v>884</v>
      </c>
      <c r="D50" s="393"/>
      <c r="E50" s="420" t="s">
        <v>885</v>
      </c>
      <c r="F50" s="420"/>
      <c r="G50" s="393"/>
      <c r="H50" s="393"/>
      <c r="I50" s="393"/>
      <c r="J50" s="393"/>
      <c r="K50" s="399">
        <v>15</v>
      </c>
      <c r="L50" s="400">
        <f>K50*0.75</f>
        <v>11.25</v>
      </c>
    </row>
    <row r="51" spans="3:12" x14ac:dyDescent="0.2">
      <c r="C51" s="388" t="s">
        <v>942</v>
      </c>
      <c r="D51" s="389"/>
      <c r="E51" s="389"/>
      <c r="F51" s="389"/>
      <c r="G51" s="389"/>
      <c r="H51" s="389"/>
      <c r="I51" s="389"/>
      <c r="J51" s="389"/>
      <c r="K51" s="390"/>
      <c r="L51" s="391" t="str">
        <f>IFERROR(K51/#REF!-1,"")</f>
        <v/>
      </c>
    </row>
    <row r="52" spans="3:12" s="404" customFormat="1" ht="25.5" x14ac:dyDescent="0.2">
      <c r="C52" s="416"/>
      <c r="D52" s="403"/>
      <c r="E52" s="402" t="s">
        <v>943</v>
      </c>
      <c r="F52" s="402"/>
      <c r="G52" s="403"/>
      <c r="H52" s="403"/>
      <c r="I52" s="403"/>
      <c r="J52" s="403"/>
      <c r="K52" s="394">
        <v>733.09090909090912</v>
      </c>
      <c r="L52" s="395">
        <v>733</v>
      </c>
    </row>
    <row r="53" spans="3:12" x14ac:dyDescent="0.2">
      <c r="C53" s="388" t="s">
        <v>944</v>
      </c>
      <c r="D53" s="389"/>
      <c r="E53" s="389"/>
      <c r="F53" s="389"/>
      <c r="G53" s="389"/>
      <c r="H53" s="389"/>
      <c r="I53" s="389"/>
      <c r="J53" s="389"/>
      <c r="K53" s="390"/>
      <c r="L53" s="391" t="str">
        <f>IFERROR(K53/#REF!-1,"")</f>
        <v/>
      </c>
    </row>
    <row r="54" spans="3:12" x14ac:dyDescent="0.2">
      <c r="C54" s="421" t="s">
        <v>945</v>
      </c>
      <c r="D54" s="393"/>
      <c r="E54" s="422" t="s">
        <v>946</v>
      </c>
      <c r="F54" s="422"/>
      <c r="G54" s="393"/>
      <c r="H54" s="393"/>
      <c r="I54" s="393"/>
      <c r="J54" s="393"/>
      <c r="K54" s="394">
        <v>122</v>
      </c>
      <c r="L54" s="395">
        <f>K54*0.8</f>
        <v>97.600000000000009</v>
      </c>
    </row>
    <row r="55" spans="3:12" x14ac:dyDescent="0.2">
      <c r="C55" s="421" t="s">
        <v>947</v>
      </c>
      <c r="D55" s="393"/>
      <c r="E55" s="422" t="s">
        <v>948</v>
      </c>
      <c r="F55" s="422"/>
      <c r="G55" s="393"/>
      <c r="H55" s="393"/>
      <c r="I55" s="393"/>
      <c r="J55" s="393"/>
      <c r="K55" s="423">
        <v>567</v>
      </c>
      <c r="L55" s="395">
        <f>K55*0.8</f>
        <v>453.6</v>
      </c>
    </row>
    <row r="56" spans="3:12" x14ac:dyDescent="0.2">
      <c r="C56" s="421" t="s">
        <v>949</v>
      </c>
      <c r="D56" s="393"/>
      <c r="E56" s="422" t="s">
        <v>950</v>
      </c>
      <c r="F56" s="422"/>
      <c r="G56" s="393"/>
      <c r="H56" s="393"/>
      <c r="I56" s="393"/>
      <c r="J56" s="393"/>
      <c r="K56" s="394">
        <v>605</v>
      </c>
      <c r="L56" s="395">
        <f>K56*0.8</f>
        <v>484</v>
      </c>
    </row>
    <row r="57" spans="3:12" x14ac:dyDescent="0.2">
      <c r="C57" s="421" t="s">
        <v>951</v>
      </c>
      <c r="D57" s="393"/>
      <c r="E57" s="422" t="s">
        <v>952</v>
      </c>
      <c r="F57" s="422"/>
      <c r="G57" s="393"/>
      <c r="H57" s="393"/>
      <c r="I57" s="393"/>
      <c r="J57" s="393"/>
      <c r="K57" s="423">
        <v>648</v>
      </c>
      <c r="L57" s="395">
        <f>K57*0.8</f>
        <v>518.4</v>
      </c>
    </row>
    <row r="58" spans="3:12" x14ac:dyDescent="0.2">
      <c r="C58" s="384" t="s">
        <v>953</v>
      </c>
      <c r="D58" s="385"/>
      <c r="E58" s="385"/>
      <c r="F58" s="385"/>
      <c r="G58" s="385"/>
      <c r="H58" s="385"/>
      <c r="I58" s="385"/>
      <c r="J58" s="385"/>
      <c r="K58" s="386"/>
      <c r="L58" s="387" t="str">
        <f>IFERROR(K58/#REF!-1,"")</f>
        <v/>
      </c>
    </row>
    <row r="59" spans="3:12" x14ac:dyDescent="0.2">
      <c r="C59" s="388" t="s">
        <v>954</v>
      </c>
      <c r="D59" s="389"/>
      <c r="E59" s="389"/>
      <c r="F59" s="389"/>
      <c r="G59" s="389"/>
      <c r="H59" s="389"/>
      <c r="I59" s="389"/>
      <c r="J59" s="389"/>
      <c r="K59" s="390"/>
      <c r="L59" s="391" t="str">
        <f>IFERROR(K59/#REF!-1,"")</f>
        <v/>
      </c>
    </row>
    <row r="60" spans="3:12" x14ac:dyDescent="0.2">
      <c r="C60" s="392" t="s">
        <v>955</v>
      </c>
      <c r="D60" s="393" t="s">
        <v>877</v>
      </c>
      <c r="E60" s="392" t="s">
        <v>956</v>
      </c>
      <c r="F60" s="392"/>
      <c r="G60" s="393">
        <v>1000</v>
      </c>
      <c r="H60" s="393">
        <v>210</v>
      </c>
      <c r="I60" s="393">
        <v>100</v>
      </c>
      <c r="J60" s="393">
        <v>38.18</v>
      </c>
      <c r="K60" s="397">
        <v>7545</v>
      </c>
      <c r="L60" s="398">
        <f t="shared" ref="L60:L65" si="2">K60*0.65</f>
        <v>4904.25</v>
      </c>
    </row>
    <row r="61" spans="3:12" x14ac:dyDescent="0.2">
      <c r="C61" s="392" t="s">
        <v>957</v>
      </c>
      <c r="D61" s="393" t="s">
        <v>877</v>
      </c>
      <c r="E61" s="392" t="s">
        <v>958</v>
      </c>
      <c r="F61" s="392"/>
      <c r="G61" s="393">
        <v>1000</v>
      </c>
      <c r="H61" s="393">
        <v>210</v>
      </c>
      <c r="I61" s="393">
        <v>160</v>
      </c>
      <c r="J61" s="393">
        <v>65.7</v>
      </c>
      <c r="K61" s="397">
        <v>7720</v>
      </c>
      <c r="L61" s="398">
        <f t="shared" si="2"/>
        <v>5018</v>
      </c>
    </row>
    <row r="62" spans="3:12" x14ac:dyDescent="0.2">
      <c r="C62" s="392" t="s">
        <v>959</v>
      </c>
      <c r="D62" s="393" t="s">
        <v>877</v>
      </c>
      <c r="E62" s="392" t="s">
        <v>960</v>
      </c>
      <c r="F62" s="392"/>
      <c r="G62" s="393">
        <v>1000</v>
      </c>
      <c r="H62" s="393">
        <v>210</v>
      </c>
      <c r="I62" s="393">
        <v>210</v>
      </c>
      <c r="J62" s="393">
        <v>72.8</v>
      </c>
      <c r="K62" s="397">
        <v>7862</v>
      </c>
      <c r="L62" s="398">
        <f t="shared" si="2"/>
        <v>5110.3</v>
      </c>
    </row>
    <row r="63" spans="3:12" x14ac:dyDescent="0.2">
      <c r="C63" s="392" t="s">
        <v>961</v>
      </c>
      <c r="D63" s="393" t="s">
        <v>877</v>
      </c>
      <c r="E63" s="392" t="s">
        <v>962</v>
      </c>
      <c r="F63" s="392"/>
      <c r="G63" s="393">
        <v>1000</v>
      </c>
      <c r="H63" s="393">
        <v>210</v>
      </c>
      <c r="I63" s="393">
        <v>260</v>
      </c>
      <c r="J63" s="393">
        <v>79.599999999999994</v>
      </c>
      <c r="K63" s="397">
        <v>8220</v>
      </c>
      <c r="L63" s="398">
        <f t="shared" si="2"/>
        <v>5343</v>
      </c>
    </row>
    <row r="64" spans="3:12" x14ac:dyDescent="0.2">
      <c r="C64" s="424" t="s">
        <v>963</v>
      </c>
      <c r="D64" s="415" t="s">
        <v>877</v>
      </c>
      <c r="E64" s="424" t="s">
        <v>964</v>
      </c>
      <c r="F64" s="424"/>
      <c r="G64" s="415">
        <v>1000</v>
      </c>
      <c r="H64" s="415">
        <v>210</v>
      </c>
      <c r="I64" s="415">
        <v>310</v>
      </c>
      <c r="J64" s="415">
        <v>68</v>
      </c>
      <c r="K64" s="397">
        <v>8403</v>
      </c>
      <c r="L64" s="398">
        <f t="shared" si="2"/>
        <v>5461.95</v>
      </c>
    </row>
    <row r="65" spans="3:12" x14ac:dyDescent="0.2">
      <c r="C65" s="392" t="s">
        <v>965</v>
      </c>
      <c r="D65" s="393" t="s">
        <v>877</v>
      </c>
      <c r="E65" s="392" t="s">
        <v>966</v>
      </c>
      <c r="F65" s="392"/>
      <c r="G65" s="393">
        <v>500</v>
      </c>
      <c r="H65" s="393">
        <v>210</v>
      </c>
      <c r="I65" s="393">
        <v>500</v>
      </c>
      <c r="J65" s="393">
        <v>61.27</v>
      </c>
      <c r="K65" s="397">
        <v>8182</v>
      </c>
      <c r="L65" s="398">
        <f t="shared" si="2"/>
        <v>5318.3</v>
      </c>
    </row>
    <row r="66" spans="3:12" x14ac:dyDescent="0.2">
      <c r="C66" s="388" t="s">
        <v>967</v>
      </c>
      <c r="D66" s="389"/>
      <c r="E66" s="389"/>
      <c r="F66" s="389"/>
      <c r="G66" s="389"/>
      <c r="H66" s="389"/>
      <c r="I66" s="389"/>
      <c r="J66" s="389"/>
      <c r="K66" s="390"/>
      <c r="L66" s="391" t="str">
        <f>IFERROR(K66/#REF!-1,"")</f>
        <v/>
      </c>
    </row>
    <row r="67" spans="3:12" x14ac:dyDescent="0.2">
      <c r="C67" s="425" t="s">
        <v>968</v>
      </c>
      <c r="D67" s="415" t="s">
        <v>880</v>
      </c>
      <c r="E67" s="425" t="s">
        <v>969</v>
      </c>
      <c r="F67" s="425"/>
      <c r="G67" s="415">
        <v>1000</v>
      </c>
      <c r="H67" s="415">
        <v>210</v>
      </c>
      <c r="I67" s="415">
        <v>100</v>
      </c>
      <c r="J67" s="415">
        <v>40.5</v>
      </c>
      <c r="K67" s="397">
        <v>8078</v>
      </c>
      <c r="L67" s="398">
        <f t="shared" ref="L67:L72" si="3">K67*0.65</f>
        <v>5250.7</v>
      </c>
    </row>
    <row r="68" spans="3:12" x14ac:dyDescent="0.2">
      <c r="C68" s="425" t="s">
        <v>970</v>
      </c>
      <c r="D68" s="415" t="s">
        <v>880</v>
      </c>
      <c r="E68" s="425" t="s">
        <v>971</v>
      </c>
      <c r="F68" s="425"/>
      <c r="G68" s="415">
        <v>1000</v>
      </c>
      <c r="H68" s="415">
        <v>210</v>
      </c>
      <c r="I68" s="415">
        <v>160</v>
      </c>
      <c r="J68" s="415">
        <v>68.099999999999994</v>
      </c>
      <c r="K68" s="397">
        <v>8253</v>
      </c>
      <c r="L68" s="398">
        <f t="shared" si="3"/>
        <v>5364.45</v>
      </c>
    </row>
    <row r="69" spans="3:12" x14ac:dyDescent="0.2">
      <c r="C69" s="425" t="s">
        <v>972</v>
      </c>
      <c r="D69" s="415" t="s">
        <v>880</v>
      </c>
      <c r="E69" s="425" t="s">
        <v>973</v>
      </c>
      <c r="F69" s="425"/>
      <c r="G69" s="415">
        <v>1000</v>
      </c>
      <c r="H69" s="415">
        <v>210</v>
      </c>
      <c r="I69" s="415">
        <v>210</v>
      </c>
      <c r="J69" s="415">
        <v>75.2</v>
      </c>
      <c r="K69" s="397">
        <v>8395</v>
      </c>
      <c r="L69" s="398">
        <f t="shared" si="3"/>
        <v>5456.75</v>
      </c>
    </row>
    <row r="70" spans="3:12" x14ac:dyDescent="0.2">
      <c r="C70" s="425" t="s">
        <v>974</v>
      </c>
      <c r="D70" s="415" t="s">
        <v>880</v>
      </c>
      <c r="E70" s="425" t="s">
        <v>975</v>
      </c>
      <c r="F70" s="425"/>
      <c r="G70" s="415">
        <v>1000</v>
      </c>
      <c r="H70" s="415">
        <v>210</v>
      </c>
      <c r="I70" s="415">
        <v>260</v>
      </c>
      <c r="J70" s="415">
        <v>72</v>
      </c>
      <c r="K70" s="397">
        <v>8753</v>
      </c>
      <c r="L70" s="398">
        <f t="shared" si="3"/>
        <v>5689.45</v>
      </c>
    </row>
    <row r="71" spans="3:12" x14ac:dyDescent="0.2">
      <c r="C71" s="425" t="s">
        <v>976</v>
      </c>
      <c r="D71" s="415" t="s">
        <v>880</v>
      </c>
      <c r="E71" s="425" t="s">
        <v>977</v>
      </c>
      <c r="F71" s="425"/>
      <c r="G71" s="415">
        <v>1000</v>
      </c>
      <c r="H71" s="415">
        <v>210</v>
      </c>
      <c r="I71" s="415">
        <v>310</v>
      </c>
      <c r="J71" s="415">
        <v>82.8</v>
      </c>
      <c r="K71" s="397">
        <v>8937</v>
      </c>
      <c r="L71" s="398">
        <f t="shared" si="3"/>
        <v>5809.05</v>
      </c>
    </row>
    <row r="72" spans="3:12" x14ac:dyDescent="0.2">
      <c r="C72" s="426" t="s">
        <v>978</v>
      </c>
      <c r="D72" s="427" t="s">
        <v>880</v>
      </c>
      <c r="E72" s="426" t="s">
        <v>979</v>
      </c>
      <c r="F72" s="426"/>
      <c r="G72" s="427">
        <v>500</v>
      </c>
      <c r="H72" s="427">
        <v>210</v>
      </c>
      <c r="I72" s="427">
        <v>500</v>
      </c>
      <c r="J72" s="427">
        <v>68.5</v>
      </c>
      <c r="K72" s="397">
        <v>8448</v>
      </c>
      <c r="L72" s="398">
        <f t="shared" si="3"/>
        <v>5491.2</v>
      </c>
    </row>
    <row r="73" spans="3:12" x14ac:dyDescent="0.2">
      <c r="C73" s="428" t="s">
        <v>980</v>
      </c>
      <c r="D73" s="429"/>
      <c r="E73" s="429"/>
      <c r="F73" s="429"/>
      <c r="G73" s="429"/>
      <c r="H73" s="429"/>
      <c r="I73" s="429"/>
      <c r="J73" s="429"/>
      <c r="K73" s="430"/>
      <c r="L73" s="431" t="str">
        <f>IFERROR(K73/#REF!-1,"")</f>
        <v/>
      </c>
    </row>
    <row r="74" spans="3:12" x14ac:dyDescent="0.2">
      <c r="C74" s="432" t="s">
        <v>981</v>
      </c>
      <c r="D74" s="433"/>
      <c r="E74" s="433"/>
      <c r="F74" s="433"/>
      <c r="G74" s="433"/>
      <c r="H74" s="433"/>
      <c r="I74" s="433"/>
      <c r="J74" s="433"/>
      <c r="K74" s="434"/>
      <c r="L74" s="435" t="str">
        <f>IFERROR(K74/#REF!-1,"")</f>
        <v/>
      </c>
    </row>
    <row r="75" spans="3:12" x14ac:dyDescent="0.2">
      <c r="C75" s="426" t="s">
        <v>982</v>
      </c>
      <c r="D75" s="436" t="s">
        <v>880</v>
      </c>
      <c r="E75" s="426" t="s">
        <v>983</v>
      </c>
      <c r="F75" s="426"/>
      <c r="G75" s="436" t="s">
        <v>556</v>
      </c>
      <c r="H75" s="436" t="s">
        <v>984</v>
      </c>
      <c r="I75" s="436" t="s">
        <v>985</v>
      </c>
      <c r="J75" s="436" t="s">
        <v>986</v>
      </c>
      <c r="K75" s="437">
        <v>3800</v>
      </c>
      <c r="L75" s="438">
        <f>K75*0.65</f>
        <v>2470</v>
      </c>
    </row>
    <row r="76" spans="3:12" x14ac:dyDescent="0.2">
      <c r="C76" s="426" t="s">
        <v>987</v>
      </c>
      <c r="D76" s="436" t="s">
        <v>880</v>
      </c>
      <c r="E76" s="426" t="s">
        <v>988</v>
      </c>
      <c r="F76" s="426"/>
      <c r="G76" s="436" t="s">
        <v>556</v>
      </c>
      <c r="H76" s="436" t="s">
        <v>984</v>
      </c>
      <c r="I76" s="436" t="s">
        <v>989</v>
      </c>
      <c r="J76" s="436" t="s">
        <v>990</v>
      </c>
      <c r="K76" s="437">
        <v>3533</v>
      </c>
      <c r="L76" s="438">
        <f>K76*0.65</f>
        <v>2296.4500000000003</v>
      </c>
    </row>
    <row r="77" spans="3:12" x14ac:dyDescent="0.2">
      <c r="C77" s="426" t="s">
        <v>991</v>
      </c>
      <c r="D77" s="436" t="s">
        <v>880</v>
      </c>
      <c r="E77" s="426" t="s">
        <v>992</v>
      </c>
      <c r="F77" s="426"/>
      <c r="G77" s="436" t="s">
        <v>556</v>
      </c>
      <c r="H77" s="436" t="s">
        <v>984</v>
      </c>
      <c r="I77" s="436" t="s">
        <v>984</v>
      </c>
      <c r="J77" s="436" t="s">
        <v>993</v>
      </c>
      <c r="K77" s="437">
        <v>3650</v>
      </c>
      <c r="L77" s="438">
        <f>K77*0.65</f>
        <v>2372.5</v>
      </c>
    </row>
    <row r="78" spans="3:12" x14ac:dyDescent="0.2">
      <c r="C78" s="426" t="s">
        <v>994</v>
      </c>
      <c r="D78" s="436" t="s">
        <v>880</v>
      </c>
      <c r="E78" s="426" t="s">
        <v>995</v>
      </c>
      <c r="F78" s="426"/>
      <c r="G78" s="436" t="s">
        <v>556</v>
      </c>
      <c r="H78" s="436" t="s">
        <v>984</v>
      </c>
      <c r="I78" s="436" t="s">
        <v>996</v>
      </c>
      <c r="J78" s="436" t="s">
        <v>997</v>
      </c>
      <c r="K78" s="437">
        <v>4117</v>
      </c>
      <c r="L78" s="438">
        <f>K78*0.65</f>
        <v>2676.05</v>
      </c>
    </row>
    <row r="79" spans="3:12" x14ac:dyDescent="0.2">
      <c r="C79" s="426" t="s">
        <v>998</v>
      </c>
      <c r="D79" s="436" t="s">
        <v>880</v>
      </c>
      <c r="E79" s="426" t="s">
        <v>999</v>
      </c>
      <c r="F79" s="426"/>
      <c r="G79" s="436" t="s">
        <v>1000</v>
      </c>
      <c r="H79" s="436" t="s">
        <v>984</v>
      </c>
      <c r="I79" s="436" t="s">
        <v>1001</v>
      </c>
      <c r="J79" s="436" t="s">
        <v>1002</v>
      </c>
      <c r="K79" s="437">
        <v>9025</v>
      </c>
      <c r="L79" s="438">
        <f>K79*0.65</f>
        <v>5866.25</v>
      </c>
    </row>
    <row r="80" spans="3:12" x14ac:dyDescent="0.2">
      <c r="C80" s="432">
        <v>45071</v>
      </c>
      <c r="D80" s="433"/>
      <c r="E80" s="433"/>
      <c r="F80" s="433"/>
      <c r="G80" s="433"/>
      <c r="H80" s="433"/>
      <c r="I80" s="433"/>
      <c r="J80" s="433"/>
      <c r="K80" s="434"/>
      <c r="L80" s="435" t="str">
        <f>IFERROR(K80/#REF!-1,"")</f>
        <v/>
      </c>
    </row>
    <row r="81" spans="3:12" x14ac:dyDescent="0.2">
      <c r="C81" s="439" t="s">
        <v>1003</v>
      </c>
      <c r="D81" s="441"/>
      <c r="E81" s="440" t="s">
        <v>1004</v>
      </c>
      <c r="F81" s="440"/>
      <c r="G81" s="441"/>
      <c r="H81" s="441"/>
      <c r="I81" s="441"/>
      <c r="J81" s="441"/>
      <c r="K81" s="397">
        <v>2480</v>
      </c>
      <c r="L81" s="398">
        <f>K81*0.65</f>
        <v>1612</v>
      </c>
    </row>
    <row r="82" spans="3:12" x14ac:dyDescent="0.2">
      <c r="C82" s="442" t="s">
        <v>1005</v>
      </c>
      <c r="D82" s="427"/>
      <c r="E82" s="443" t="s">
        <v>1006</v>
      </c>
      <c r="F82" s="443"/>
      <c r="G82" s="427"/>
      <c r="H82" s="427"/>
      <c r="I82" s="427"/>
      <c r="J82" s="427"/>
      <c r="K82" s="397">
        <v>2760</v>
      </c>
      <c r="L82" s="398">
        <f>K82*0.65</f>
        <v>1794</v>
      </c>
    </row>
    <row r="83" spans="3:12" x14ac:dyDescent="0.2">
      <c r="C83" s="432" t="s">
        <v>1007</v>
      </c>
      <c r="D83" s="433"/>
      <c r="E83" s="433"/>
      <c r="F83" s="433"/>
      <c r="G83" s="433"/>
      <c r="H83" s="433"/>
      <c r="I83" s="433"/>
      <c r="J83" s="433"/>
      <c r="K83" s="434"/>
      <c r="L83" s="435" t="str">
        <f>IFERROR(K83/#REF!-1,"")</f>
        <v/>
      </c>
    </row>
    <row r="84" spans="3:12" x14ac:dyDescent="0.2">
      <c r="C84" s="442" t="s">
        <v>882</v>
      </c>
      <c r="D84" s="441"/>
      <c r="E84" s="444" t="s">
        <v>883</v>
      </c>
      <c r="F84" s="444"/>
      <c r="G84" s="441"/>
      <c r="H84" s="441"/>
      <c r="I84" s="441"/>
      <c r="J84" s="441"/>
      <c r="K84" s="397">
        <v>15</v>
      </c>
      <c r="L84" s="398">
        <f>K84*0.75</f>
        <v>11.25</v>
      </c>
    </row>
    <row r="85" spans="3:12" x14ac:dyDescent="0.2">
      <c r="C85" s="442" t="s">
        <v>884</v>
      </c>
      <c r="D85" s="441"/>
      <c r="E85" s="444" t="s">
        <v>885</v>
      </c>
      <c r="F85" s="444"/>
      <c r="G85" s="441"/>
      <c r="H85" s="441"/>
      <c r="I85" s="441"/>
      <c r="J85" s="441"/>
      <c r="K85" s="397">
        <v>15</v>
      </c>
      <c r="L85" s="398">
        <f>K85*0.75</f>
        <v>11.25</v>
      </c>
    </row>
    <row r="86" spans="3:12" x14ac:dyDescent="0.2">
      <c r="C86" s="432" t="s">
        <v>1008</v>
      </c>
      <c r="D86" s="433"/>
      <c r="E86" s="433"/>
      <c r="F86" s="433"/>
      <c r="G86" s="433"/>
      <c r="H86" s="433"/>
      <c r="I86" s="433"/>
      <c r="J86" s="433"/>
      <c r="K86" s="434"/>
      <c r="L86" s="435" t="str">
        <f>IFERROR(K86/#REF!-1,"")</f>
        <v/>
      </c>
    </row>
    <row r="87" spans="3:12" s="404" customFormat="1" ht="25.5" x14ac:dyDescent="0.2">
      <c r="C87" s="439"/>
      <c r="D87" s="446"/>
      <c r="E87" s="445" t="s">
        <v>943</v>
      </c>
      <c r="F87" s="445"/>
      <c r="G87" s="446"/>
      <c r="H87" s="446"/>
      <c r="I87" s="446"/>
      <c r="J87" s="446"/>
      <c r="K87" s="423">
        <v>733.09090909090912</v>
      </c>
      <c r="L87" s="447">
        <v>733</v>
      </c>
    </row>
    <row r="88" spans="3:12" x14ac:dyDescent="0.2">
      <c r="C88" s="432" t="s">
        <v>1009</v>
      </c>
      <c r="D88" s="433"/>
      <c r="E88" s="433"/>
      <c r="F88" s="433"/>
      <c r="G88" s="433"/>
      <c r="H88" s="433"/>
      <c r="I88" s="433"/>
      <c r="J88" s="433"/>
      <c r="K88" s="434"/>
      <c r="L88" s="435" t="str">
        <f>IFERROR(K88/#REF!-1,"")</f>
        <v/>
      </c>
    </row>
    <row r="89" spans="3:12" x14ac:dyDescent="0.2">
      <c r="C89" s="428" t="s">
        <v>1010</v>
      </c>
      <c r="D89" s="429"/>
      <c r="E89" s="429"/>
      <c r="F89" s="429"/>
      <c r="G89" s="429"/>
      <c r="H89" s="429"/>
      <c r="I89" s="429"/>
      <c r="J89" s="429"/>
      <c r="K89" s="430"/>
      <c r="L89" s="431" t="str">
        <f>IFERROR(K89/#REF!-1,"")</f>
        <v/>
      </c>
    </row>
    <row r="90" spans="3:12" x14ac:dyDescent="0.2">
      <c r="C90" s="432" t="s">
        <v>1011</v>
      </c>
      <c r="D90" s="433"/>
      <c r="E90" s="433"/>
      <c r="F90" s="433"/>
      <c r="G90" s="433"/>
      <c r="H90" s="433"/>
      <c r="I90" s="433"/>
      <c r="J90" s="433"/>
      <c r="K90" s="434"/>
      <c r="L90" s="435" t="str">
        <f>IFERROR(K90/#REF!-1,"")</f>
        <v/>
      </c>
    </row>
    <row r="91" spans="3:12" x14ac:dyDescent="0.2">
      <c r="C91" s="426" t="s">
        <v>1012</v>
      </c>
      <c r="D91" s="448" t="s">
        <v>1014</v>
      </c>
      <c r="E91" s="426" t="s">
        <v>1013</v>
      </c>
      <c r="F91" s="426"/>
      <c r="G91" s="448">
        <v>1000</v>
      </c>
      <c r="H91" s="448">
        <v>260</v>
      </c>
      <c r="I91" s="448">
        <v>310</v>
      </c>
      <c r="J91" s="448">
        <v>102.67</v>
      </c>
      <c r="K91" s="397">
        <v>9075</v>
      </c>
      <c r="L91" s="398">
        <f>K91*0.65</f>
        <v>5898.75</v>
      </c>
    </row>
    <row r="92" spans="3:12" x14ac:dyDescent="0.2">
      <c r="C92" s="426" t="s">
        <v>1015</v>
      </c>
      <c r="D92" s="448" t="s">
        <v>1014</v>
      </c>
      <c r="E92" s="426" t="s">
        <v>1016</v>
      </c>
      <c r="F92" s="426"/>
      <c r="G92" s="448">
        <v>1000</v>
      </c>
      <c r="H92" s="448">
        <v>260</v>
      </c>
      <c r="I92" s="448">
        <v>210</v>
      </c>
      <c r="J92" s="448">
        <v>87.67</v>
      </c>
      <c r="K92" s="397">
        <v>8808</v>
      </c>
      <c r="L92" s="398">
        <f>K92*0.65</f>
        <v>5725.2</v>
      </c>
    </row>
    <row r="93" spans="3:12" x14ac:dyDescent="0.2">
      <c r="C93" s="426" t="s">
        <v>1017</v>
      </c>
      <c r="D93" s="448" t="s">
        <v>1014</v>
      </c>
      <c r="E93" s="426" t="s">
        <v>1018</v>
      </c>
      <c r="F93" s="426"/>
      <c r="G93" s="448">
        <v>1000</v>
      </c>
      <c r="H93" s="448">
        <v>260</v>
      </c>
      <c r="I93" s="448">
        <v>260</v>
      </c>
      <c r="J93" s="448">
        <v>95.17</v>
      </c>
      <c r="K93" s="397">
        <v>8925</v>
      </c>
      <c r="L93" s="398">
        <f>K93*0.65</f>
        <v>5801.25</v>
      </c>
    </row>
    <row r="94" spans="3:12" ht="12" customHeight="1" x14ac:dyDescent="0.2">
      <c r="C94" s="426" t="s">
        <v>1019</v>
      </c>
      <c r="D94" s="448" t="s">
        <v>1014</v>
      </c>
      <c r="E94" s="426" t="s">
        <v>1020</v>
      </c>
      <c r="F94" s="426"/>
      <c r="G94" s="448">
        <v>1000</v>
      </c>
      <c r="H94" s="448">
        <v>260</v>
      </c>
      <c r="I94" s="448">
        <v>360</v>
      </c>
      <c r="J94" s="448">
        <v>110.17</v>
      </c>
      <c r="K94" s="397">
        <v>9392</v>
      </c>
      <c r="L94" s="398">
        <f>K94*0.65</f>
        <v>6104.8</v>
      </c>
    </row>
    <row r="95" spans="3:12" ht="12" customHeight="1" x14ac:dyDescent="0.2">
      <c r="C95" s="426" t="s">
        <v>1021</v>
      </c>
      <c r="D95" s="448" t="s">
        <v>877</v>
      </c>
      <c r="E95" s="426" t="s">
        <v>1022</v>
      </c>
      <c r="F95" s="426"/>
      <c r="G95" s="448">
        <v>500</v>
      </c>
      <c r="H95" s="448">
        <v>260</v>
      </c>
      <c r="I95" s="448" t="s">
        <v>1023</v>
      </c>
      <c r="J95" s="448" t="s">
        <v>1024</v>
      </c>
      <c r="K95" s="397">
        <v>11742</v>
      </c>
      <c r="L95" s="398">
        <f>K95*0.65</f>
        <v>7632.3</v>
      </c>
    </row>
    <row r="96" spans="3:12" ht="11.25" customHeight="1" x14ac:dyDescent="0.2">
      <c r="C96" s="432" t="s">
        <v>1025</v>
      </c>
      <c r="D96" s="433"/>
      <c r="E96" s="433"/>
      <c r="F96" s="433"/>
      <c r="G96" s="433"/>
      <c r="H96" s="433"/>
      <c r="I96" s="433"/>
      <c r="J96" s="433"/>
      <c r="K96" s="434"/>
      <c r="L96" s="435" t="str">
        <f>IFERROR(K96/#REF!-1,"")</f>
        <v/>
      </c>
    </row>
    <row r="97" spans="3:258" x14ac:dyDescent="0.2">
      <c r="C97" s="426" t="s">
        <v>1026</v>
      </c>
      <c r="D97" s="448" t="s">
        <v>1028</v>
      </c>
      <c r="E97" s="426" t="s">
        <v>1027</v>
      </c>
      <c r="F97" s="426"/>
      <c r="G97" s="448">
        <v>1000</v>
      </c>
      <c r="H97" s="448">
        <v>260</v>
      </c>
      <c r="I97" s="448">
        <v>310</v>
      </c>
      <c r="J97" s="448">
        <v>104.37</v>
      </c>
      <c r="K97" s="397">
        <v>9642</v>
      </c>
      <c r="L97" s="398">
        <f>K97*0.65</f>
        <v>6267.3</v>
      </c>
    </row>
    <row r="98" spans="3:258" x14ac:dyDescent="0.2">
      <c r="C98" s="426" t="s">
        <v>1029</v>
      </c>
      <c r="D98" s="448" t="s">
        <v>1028</v>
      </c>
      <c r="E98" s="426" t="s">
        <v>1030</v>
      </c>
      <c r="F98" s="426"/>
      <c r="G98" s="448">
        <v>1000</v>
      </c>
      <c r="H98" s="448">
        <v>260</v>
      </c>
      <c r="I98" s="448">
        <v>210</v>
      </c>
      <c r="J98" s="448">
        <v>89.37</v>
      </c>
      <c r="K98" s="397">
        <v>9375</v>
      </c>
      <c r="L98" s="398">
        <f>K98*0.65</f>
        <v>6093.75</v>
      </c>
    </row>
    <row r="99" spans="3:258" x14ac:dyDescent="0.2">
      <c r="C99" s="426" t="s">
        <v>1031</v>
      </c>
      <c r="D99" s="448" t="s">
        <v>1028</v>
      </c>
      <c r="E99" s="426" t="s">
        <v>1032</v>
      </c>
      <c r="F99" s="426"/>
      <c r="G99" s="448">
        <v>1000</v>
      </c>
      <c r="H99" s="448">
        <v>260</v>
      </c>
      <c r="I99" s="448">
        <v>260</v>
      </c>
      <c r="J99" s="448">
        <v>96.87</v>
      </c>
      <c r="K99" s="397">
        <v>9492</v>
      </c>
      <c r="L99" s="398">
        <f>K99*0.65</f>
        <v>6169.8</v>
      </c>
    </row>
    <row r="100" spans="3:258" x14ac:dyDescent="0.2">
      <c r="C100" s="426" t="s">
        <v>1033</v>
      </c>
      <c r="D100" s="448" t="s">
        <v>1028</v>
      </c>
      <c r="E100" s="426" t="s">
        <v>1034</v>
      </c>
      <c r="F100" s="426"/>
      <c r="G100" s="448">
        <v>1000</v>
      </c>
      <c r="H100" s="448">
        <v>260</v>
      </c>
      <c r="I100" s="448">
        <v>360</v>
      </c>
      <c r="J100" s="448">
        <v>111.87</v>
      </c>
      <c r="K100" s="397">
        <v>9958</v>
      </c>
      <c r="L100" s="398">
        <f>K100*0.65</f>
        <v>6472.7</v>
      </c>
    </row>
    <row r="101" spans="3:258" x14ac:dyDescent="0.2">
      <c r="C101" s="426" t="s">
        <v>1035</v>
      </c>
      <c r="D101" s="448" t="s">
        <v>1028</v>
      </c>
      <c r="E101" s="426" t="s">
        <v>1036</v>
      </c>
      <c r="F101" s="426"/>
      <c r="G101" s="448">
        <v>500</v>
      </c>
      <c r="H101" s="448">
        <v>260</v>
      </c>
      <c r="I101" s="448" t="s">
        <v>1023</v>
      </c>
      <c r="J101" s="448" t="s">
        <v>1024</v>
      </c>
      <c r="K101" s="397">
        <v>12025</v>
      </c>
      <c r="L101" s="398">
        <f>K101*0.65</f>
        <v>7816.25</v>
      </c>
    </row>
    <row r="102" spans="3:258" ht="18.75" x14ac:dyDescent="0.3">
      <c r="C102" s="564" t="s">
        <v>263</v>
      </c>
      <c r="D102" s="565"/>
      <c r="E102" s="565"/>
      <c r="F102" s="565"/>
      <c r="G102" s="565"/>
      <c r="H102" s="565"/>
      <c r="I102" s="565"/>
      <c r="J102" s="565"/>
      <c r="K102" s="565"/>
      <c r="L102" s="558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49"/>
      <c r="BC102" s="449"/>
      <c r="BD102" s="449"/>
      <c r="BE102" s="449"/>
      <c r="BF102" s="449"/>
      <c r="BG102" s="449"/>
      <c r="BH102" s="449"/>
      <c r="BI102" s="449"/>
      <c r="BJ102" s="449"/>
      <c r="BK102" s="449"/>
      <c r="BL102" s="449"/>
      <c r="BM102" s="449"/>
      <c r="BN102" s="449"/>
      <c r="BO102" s="449"/>
      <c r="BP102" s="449"/>
      <c r="BQ102" s="449"/>
      <c r="BR102" s="449"/>
      <c r="BS102" s="449"/>
      <c r="BT102" s="449"/>
      <c r="BU102" s="449"/>
      <c r="BV102" s="449"/>
      <c r="BW102" s="449"/>
      <c r="BX102" s="449"/>
      <c r="BY102" s="449"/>
      <c r="BZ102" s="449"/>
      <c r="CA102" s="449"/>
      <c r="CB102" s="449"/>
      <c r="CC102" s="449"/>
      <c r="CD102" s="449"/>
      <c r="CE102" s="449"/>
      <c r="CF102" s="449"/>
      <c r="CG102" s="449"/>
      <c r="CH102" s="449"/>
      <c r="CI102" s="449"/>
      <c r="CJ102" s="449"/>
      <c r="CK102" s="449"/>
      <c r="CL102" s="449"/>
      <c r="CM102" s="449"/>
      <c r="CN102" s="449"/>
      <c r="CO102" s="449"/>
      <c r="CP102" s="449"/>
      <c r="CQ102" s="449"/>
      <c r="CR102" s="449"/>
      <c r="CS102" s="449"/>
      <c r="CT102" s="449"/>
      <c r="CU102" s="449"/>
      <c r="CV102" s="449"/>
      <c r="CW102" s="449"/>
      <c r="CX102" s="449"/>
      <c r="CY102" s="449"/>
      <c r="CZ102" s="449"/>
      <c r="DA102" s="449"/>
      <c r="DB102" s="449"/>
      <c r="DC102" s="449"/>
      <c r="DD102" s="449"/>
      <c r="DE102" s="449"/>
      <c r="DF102" s="449"/>
      <c r="DG102" s="449"/>
      <c r="DH102" s="449"/>
      <c r="DI102" s="449"/>
      <c r="DJ102" s="449"/>
      <c r="DK102" s="449"/>
      <c r="DL102" s="449"/>
      <c r="DM102" s="449"/>
      <c r="DN102" s="449"/>
      <c r="DO102" s="449"/>
      <c r="DP102" s="449"/>
      <c r="DQ102" s="449"/>
      <c r="DR102" s="449"/>
      <c r="DS102" s="449"/>
      <c r="DT102" s="449"/>
      <c r="DU102" s="449"/>
      <c r="DV102" s="449"/>
      <c r="DW102" s="449"/>
      <c r="DX102" s="449"/>
      <c r="DY102" s="449"/>
      <c r="DZ102" s="449"/>
      <c r="EA102" s="449"/>
      <c r="EB102" s="449"/>
      <c r="EC102" s="449"/>
      <c r="ED102" s="449"/>
      <c r="EE102" s="449"/>
      <c r="EF102" s="449"/>
      <c r="EG102" s="449"/>
      <c r="EH102" s="449"/>
      <c r="EI102" s="449"/>
      <c r="EJ102" s="449"/>
      <c r="EK102" s="449"/>
      <c r="EL102" s="449"/>
      <c r="EM102" s="449"/>
      <c r="EN102" s="449"/>
      <c r="EO102" s="449"/>
      <c r="EP102" s="449"/>
      <c r="EQ102" s="449"/>
      <c r="ER102" s="449"/>
      <c r="ES102" s="449"/>
      <c r="ET102" s="449"/>
      <c r="EU102" s="449"/>
      <c r="EV102" s="449"/>
      <c r="EW102" s="449"/>
      <c r="EX102" s="449"/>
      <c r="EY102" s="449"/>
      <c r="EZ102" s="449"/>
      <c r="FA102" s="449"/>
      <c r="FB102" s="449"/>
      <c r="FC102" s="449"/>
      <c r="FD102" s="449"/>
      <c r="FE102" s="449"/>
      <c r="FF102" s="449"/>
      <c r="FG102" s="449"/>
      <c r="FH102" s="449"/>
      <c r="FI102" s="449"/>
      <c r="FJ102" s="449"/>
      <c r="FK102" s="449"/>
      <c r="FL102" s="449"/>
      <c r="FM102" s="449"/>
      <c r="FN102" s="449"/>
      <c r="FO102" s="449"/>
      <c r="FP102" s="449"/>
      <c r="FQ102" s="449"/>
      <c r="FR102" s="449"/>
      <c r="FS102" s="449"/>
      <c r="FT102" s="449"/>
      <c r="FU102" s="449"/>
      <c r="FV102" s="449"/>
      <c r="FW102" s="449"/>
      <c r="FX102" s="449"/>
      <c r="FY102" s="449"/>
      <c r="FZ102" s="449"/>
      <c r="GA102" s="449"/>
      <c r="GB102" s="449"/>
      <c r="GC102" s="449"/>
      <c r="GD102" s="449"/>
      <c r="GE102" s="449"/>
      <c r="GF102" s="449"/>
      <c r="GG102" s="449"/>
      <c r="GH102" s="449"/>
      <c r="GI102" s="449"/>
      <c r="GJ102" s="449"/>
      <c r="GK102" s="449"/>
      <c r="GL102" s="449"/>
      <c r="GM102" s="449"/>
      <c r="GN102" s="449"/>
      <c r="GO102" s="449"/>
      <c r="GP102" s="449"/>
      <c r="GQ102" s="449"/>
      <c r="GR102" s="449"/>
      <c r="GS102" s="449"/>
      <c r="GT102" s="449"/>
      <c r="GU102" s="449"/>
      <c r="GV102" s="449"/>
      <c r="GW102" s="449"/>
      <c r="GX102" s="449"/>
      <c r="GY102" s="449"/>
      <c r="GZ102" s="449"/>
      <c r="HA102" s="449"/>
      <c r="HB102" s="449"/>
      <c r="HC102" s="449"/>
      <c r="HD102" s="449"/>
      <c r="HE102" s="449"/>
      <c r="HF102" s="449"/>
      <c r="HG102" s="449"/>
      <c r="HH102" s="449"/>
      <c r="HI102" s="449"/>
      <c r="HJ102" s="449"/>
      <c r="HK102" s="449"/>
      <c r="HL102" s="449"/>
      <c r="HM102" s="449"/>
      <c r="HN102" s="449"/>
      <c r="HO102" s="449"/>
      <c r="HP102" s="449"/>
      <c r="HQ102" s="449"/>
      <c r="HR102" s="449"/>
      <c r="HS102" s="449"/>
      <c r="HT102" s="449"/>
      <c r="HU102" s="449"/>
      <c r="HV102" s="449"/>
      <c r="HW102" s="449"/>
      <c r="HX102" s="449"/>
      <c r="HY102" s="449"/>
      <c r="HZ102" s="449"/>
      <c r="IA102" s="449"/>
      <c r="IB102" s="449"/>
      <c r="IC102" s="449"/>
      <c r="ID102" s="449"/>
      <c r="IE102" s="449"/>
      <c r="IF102" s="449"/>
      <c r="IG102" s="449"/>
      <c r="IH102" s="449"/>
      <c r="II102" s="449"/>
      <c r="IJ102" s="449"/>
      <c r="IK102" s="449"/>
      <c r="IL102" s="449"/>
      <c r="IM102" s="449"/>
      <c r="IN102" s="449"/>
      <c r="IO102" s="449"/>
      <c r="IP102" s="449"/>
      <c r="IQ102" s="449"/>
      <c r="IR102" s="449"/>
      <c r="IS102" s="449"/>
      <c r="IT102" s="449"/>
      <c r="IU102" s="449"/>
      <c r="IV102" s="449"/>
      <c r="IW102" s="449"/>
      <c r="IX102" s="449"/>
    </row>
    <row r="103" spans="3:258" x14ac:dyDescent="0.2">
      <c r="C103" s="384" t="s">
        <v>863</v>
      </c>
      <c r="D103" s="385"/>
      <c r="E103" s="385"/>
      <c r="F103" s="385"/>
      <c r="G103" s="385"/>
      <c r="H103" s="385"/>
      <c r="I103" s="385"/>
      <c r="J103" s="385"/>
      <c r="K103" s="386"/>
      <c r="L103" s="450" t="str">
        <f>IFERROR(K103/#REF!-1,"")</f>
        <v/>
      </c>
      <c r="M103" s="449"/>
      <c r="N103" s="449"/>
      <c r="O103" s="449"/>
      <c r="P103" s="449"/>
      <c r="Q103" s="449"/>
      <c r="R103" s="449"/>
      <c r="S103" s="449"/>
      <c r="T103" s="449"/>
      <c r="U103" s="449"/>
      <c r="V103" s="449"/>
      <c r="W103" s="449"/>
      <c r="X103" s="449"/>
      <c r="Y103" s="449"/>
      <c r="Z103" s="449"/>
      <c r="AA103" s="449"/>
      <c r="AB103" s="449"/>
      <c r="AC103" s="449"/>
      <c r="AD103" s="449"/>
      <c r="AE103" s="449"/>
      <c r="AF103" s="449"/>
      <c r="AG103" s="449"/>
      <c r="AH103" s="449"/>
      <c r="AI103" s="449"/>
      <c r="AJ103" s="449"/>
      <c r="AK103" s="449"/>
      <c r="AL103" s="449"/>
      <c r="AM103" s="449"/>
      <c r="AN103" s="449"/>
      <c r="AO103" s="449"/>
      <c r="AP103" s="449"/>
      <c r="AQ103" s="449"/>
      <c r="AR103" s="449"/>
      <c r="AS103" s="449"/>
      <c r="AT103" s="449"/>
      <c r="AU103" s="449"/>
      <c r="AV103" s="449"/>
      <c r="AW103" s="449"/>
      <c r="AX103" s="449"/>
      <c r="AY103" s="449"/>
      <c r="AZ103" s="449"/>
      <c r="BA103" s="449"/>
      <c r="BB103" s="449"/>
      <c r="BC103" s="449"/>
      <c r="BD103" s="449"/>
      <c r="BE103" s="449"/>
      <c r="BF103" s="449"/>
      <c r="BG103" s="449"/>
      <c r="BH103" s="449"/>
      <c r="BI103" s="449"/>
      <c r="BJ103" s="449"/>
      <c r="BK103" s="449"/>
      <c r="BL103" s="449"/>
      <c r="BM103" s="449"/>
      <c r="BN103" s="449"/>
      <c r="BO103" s="449"/>
      <c r="BP103" s="449"/>
      <c r="BQ103" s="449"/>
      <c r="BR103" s="449"/>
      <c r="BS103" s="449"/>
      <c r="BT103" s="449"/>
      <c r="BU103" s="449"/>
      <c r="BV103" s="449"/>
      <c r="BW103" s="449"/>
      <c r="BX103" s="449"/>
      <c r="BY103" s="449"/>
      <c r="BZ103" s="449"/>
      <c r="CA103" s="449"/>
      <c r="CB103" s="449"/>
      <c r="CC103" s="449"/>
      <c r="CD103" s="449"/>
      <c r="CE103" s="449"/>
      <c r="CF103" s="449"/>
      <c r="CG103" s="449"/>
      <c r="CH103" s="449"/>
      <c r="CI103" s="449"/>
      <c r="CJ103" s="449"/>
      <c r="CK103" s="449"/>
      <c r="CL103" s="449"/>
      <c r="CM103" s="449"/>
      <c r="CN103" s="449"/>
      <c r="CO103" s="449"/>
      <c r="CP103" s="449"/>
      <c r="CQ103" s="449"/>
      <c r="CR103" s="449"/>
      <c r="CS103" s="449"/>
      <c r="CT103" s="449"/>
      <c r="CU103" s="449"/>
      <c r="CV103" s="449"/>
      <c r="CW103" s="449"/>
      <c r="CX103" s="449"/>
      <c r="CY103" s="449"/>
      <c r="CZ103" s="449"/>
      <c r="DA103" s="449"/>
      <c r="DB103" s="449"/>
      <c r="DC103" s="449"/>
      <c r="DD103" s="449"/>
      <c r="DE103" s="449"/>
      <c r="DF103" s="449"/>
      <c r="DG103" s="449"/>
      <c r="DH103" s="449"/>
      <c r="DI103" s="449"/>
      <c r="DJ103" s="449"/>
      <c r="DK103" s="449"/>
      <c r="DL103" s="449"/>
      <c r="DM103" s="449"/>
      <c r="DN103" s="449"/>
      <c r="DO103" s="449"/>
      <c r="DP103" s="449"/>
      <c r="DQ103" s="449"/>
      <c r="DR103" s="449"/>
      <c r="DS103" s="449"/>
      <c r="DT103" s="449"/>
      <c r="DU103" s="449"/>
      <c r="DV103" s="449"/>
      <c r="DW103" s="449"/>
      <c r="DX103" s="449"/>
      <c r="DY103" s="449"/>
      <c r="DZ103" s="449"/>
      <c r="EA103" s="449"/>
      <c r="EB103" s="449"/>
      <c r="EC103" s="449"/>
      <c r="ED103" s="449"/>
      <c r="EE103" s="449"/>
      <c r="EF103" s="449"/>
      <c r="EG103" s="449"/>
      <c r="EH103" s="449"/>
      <c r="EI103" s="449"/>
      <c r="EJ103" s="449"/>
      <c r="EK103" s="449"/>
      <c r="EL103" s="449"/>
      <c r="EM103" s="449"/>
      <c r="EN103" s="449"/>
      <c r="EO103" s="449"/>
      <c r="EP103" s="449"/>
      <c r="EQ103" s="449"/>
      <c r="ER103" s="449"/>
      <c r="ES103" s="449"/>
      <c r="ET103" s="449"/>
      <c r="EU103" s="449"/>
      <c r="EV103" s="449"/>
      <c r="EW103" s="449"/>
      <c r="EX103" s="449"/>
      <c r="EY103" s="449"/>
      <c r="EZ103" s="449"/>
      <c r="FA103" s="449"/>
      <c r="FB103" s="449"/>
      <c r="FC103" s="449"/>
      <c r="FD103" s="449"/>
      <c r="FE103" s="449"/>
      <c r="FF103" s="449"/>
      <c r="FG103" s="449"/>
      <c r="FH103" s="449"/>
      <c r="FI103" s="449"/>
      <c r="FJ103" s="449"/>
      <c r="FK103" s="449"/>
      <c r="FL103" s="449"/>
      <c r="FM103" s="449"/>
      <c r="FN103" s="449"/>
      <c r="FO103" s="449"/>
      <c r="FP103" s="449"/>
      <c r="FQ103" s="449"/>
      <c r="FR103" s="449"/>
      <c r="FS103" s="449"/>
      <c r="FT103" s="449"/>
      <c r="FU103" s="449"/>
      <c r="FV103" s="449"/>
      <c r="FW103" s="449"/>
      <c r="FX103" s="449"/>
      <c r="FY103" s="449"/>
      <c r="FZ103" s="449"/>
      <c r="GA103" s="449"/>
      <c r="GB103" s="449"/>
      <c r="GC103" s="449"/>
      <c r="GD103" s="449"/>
      <c r="GE103" s="449"/>
      <c r="GF103" s="449"/>
      <c r="GG103" s="449"/>
      <c r="GH103" s="449"/>
      <c r="GI103" s="449"/>
      <c r="GJ103" s="449"/>
      <c r="GK103" s="449"/>
      <c r="GL103" s="449"/>
      <c r="GM103" s="449"/>
      <c r="GN103" s="449"/>
      <c r="GO103" s="449"/>
      <c r="GP103" s="449"/>
      <c r="GQ103" s="449"/>
      <c r="GR103" s="449"/>
      <c r="GS103" s="449"/>
      <c r="GT103" s="449"/>
      <c r="GU103" s="449"/>
      <c r="GV103" s="449"/>
      <c r="GW103" s="449"/>
      <c r="GX103" s="449"/>
      <c r="GY103" s="449"/>
      <c r="GZ103" s="449"/>
      <c r="HA103" s="449"/>
      <c r="HB103" s="449"/>
      <c r="HC103" s="449"/>
      <c r="HD103" s="449"/>
      <c r="HE103" s="449"/>
      <c r="HF103" s="449"/>
      <c r="HG103" s="449"/>
      <c r="HH103" s="449"/>
      <c r="HI103" s="449"/>
      <c r="HJ103" s="449"/>
      <c r="HK103" s="449"/>
      <c r="HL103" s="449"/>
      <c r="HM103" s="449"/>
      <c r="HN103" s="449"/>
      <c r="HO103" s="449"/>
      <c r="HP103" s="449"/>
      <c r="HQ103" s="449"/>
      <c r="HR103" s="449"/>
      <c r="HS103" s="449"/>
      <c r="HT103" s="449"/>
      <c r="HU103" s="449"/>
      <c r="HV103" s="449"/>
      <c r="HW103" s="449"/>
      <c r="HX103" s="449"/>
      <c r="HY103" s="449"/>
      <c r="HZ103" s="449"/>
      <c r="IA103" s="449"/>
      <c r="IB103" s="449"/>
      <c r="IC103" s="449"/>
      <c r="ID103" s="449"/>
      <c r="IE103" s="449"/>
      <c r="IF103" s="449"/>
      <c r="IG103" s="449"/>
      <c r="IH103" s="449"/>
      <c r="II103" s="449"/>
      <c r="IJ103" s="449"/>
      <c r="IK103" s="449"/>
      <c r="IL103" s="449"/>
      <c r="IM103" s="449"/>
      <c r="IN103" s="449"/>
      <c r="IO103" s="449"/>
      <c r="IP103" s="449"/>
      <c r="IQ103" s="449"/>
      <c r="IR103" s="449"/>
      <c r="IS103" s="449"/>
      <c r="IT103" s="449"/>
      <c r="IU103" s="449"/>
      <c r="IV103" s="449"/>
      <c r="IW103" s="449"/>
      <c r="IX103" s="449"/>
    </row>
    <row r="104" spans="3:258" x14ac:dyDescent="0.2">
      <c r="C104" s="388" t="s">
        <v>1037</v>
      </c>
      <c r="D104" s="389"/>
      <c r="E104" s="389"/>
      <c r="F104" s="389"/>
      <c r="G104" s="389"/>
      <c r="H104" s="389"/>
      <c r="I104" s="389"/>
      <c r="J104" s="389"/>
      <c r="K104" s="390"/>
      <c r="L104" s="451" t="str">
        <f>IFERROR(K104/#REF!-1,"")</f>
        <v/>
      </c>
      <c r="M104" s="449"/>
      <c r="N104" s="449"/>
      <c r="O104" s="449"/>
      <c r="P104" s="449"/>
      <c r="Q104" s="449"/>
      <c r="R104" s="449"/>
      <c r="S104" s="449"/>
      <c r="T104" s="449"/>
      <c r="U104" s="449"/>
      <c r="V104" s="449"/>
      <c r="W104" s="449"/>
      <c r="X104" s="449"/>
      <c r="Y104" s="449"/>
      <c r="Z104" s="449"/>
      <c r="AA104" s="449"/>
      <c r="AB104" s="449"/>
      <c r="AC104" s="449"/>
      <c r="AD104" s="449"/>
      <c r="AE104" s="449"/>
      <c r="AF104" s="449"/>
      <c r="AG104" s="449"/>
      <c r="AH104" s="449"/>
      <c r="AI104" s="449"/>
      <c r="AJ104" s="449"/>
      <c r="AK104" s="449"/>
      <c r="AL104" s="449"/>
      <c r="AM104" s="449"/>
      <c r="AN104" s="449"/>
      <c r="AO104" s="449"/>
      <c r="AP104" s="449"/>
      <c r="AQ104" s="449"/>
      <c r="AR104" s="449"/>
      <c r="AS104" s="449"/>
      <c r="AT104" s="449"/>
      <c r="AU104" s="449"/>
      <c r="AV104" s="449"/>
      <c r="AW104" s="449"/>
      <c r="AX104" s="449"/>
      <c r="AY104" s="449"/>
      <c r="AZ104" s="449"/>
      <c r="BA104" s="449"/>
      <c r="BB104" s="449"/>
      <c r="BC104" s="449"/>
      <c r="BD104" s="449"/>
      <c r="BE104" s="449"/>
      <c r="BF104" s="449"/>
      <c r="BG104" s="449"/>
      <c r="BH104" s="449"/>
      <c r="BI104" s="449"/>
      <c r="BJ104" s="449"/>
      <c r="BK104" s="449"/>
      <c r="BL104" s="449"/>
      <c r="BM104" s="449"/>
      <c r="BN104" s="449"/>
      <c r="BO104" s="449"/>
      <c r="BP104" s="449"/>
      <c r="BQ104" s="449"/>
      <c r="BR104" s="449"/>
      <c r="BS104" s="449"/>
      <c r="BT104" s="449"/>
      <c r="BU104" s="449"/>
      <c r="BV104" s="449"/>
      <c r="BW104" s="449"/>
      <c r="BX104" s="449"/>
      <c r="BY104" s="449"/>
      <c r="BZ104" s="449"/>
      <c r="CA104" s="449"/>
      <c r="CB104" s="449"/>
      <c r="CC104" s="449"/>
      <c r="CD104" s="449"/>
      <c r="CE104" s="449"/>
      <c r="CF104" s="449"/>
      <c r="CG104" s="449"/>
      <c r="CH104" s="449"/>
      <c r="CI104" s="449"/>
      <c r="CJ104" s="449"/>
      <c r="CK104" s="449"/>
      <c r="CL104" s="449"/>
      <c r="CM104" s="449"/>
      <c r="CN104" s="449"/>
      <c r="CO104" s="449"/>
      <c r="CP104" s="449"/>
      <c r="CQ104" s="449"/>
      <c r="CR104" s="449"/>
      <c r="CS104" s="449"/>
      <c r="CT104" s="449"/>
      <c r="CU104" s="449"/>
      <c r="CV104" s="449"/>
      <c r="CW104" s="449"/>
      <c r="CX104" s="449"/>
      <c r="CY104" s="449"/>
      <c r="CZ104" s="449"/>
      <c r="DA104" s="449"/>
      <c r="DB104" s="449"/>
      <c r="DC104" s="449"/>
      <c r="DD104" s="449"/>
      <c r="DE104" s="449"/>
      <c r="DF104" s="449"/>
      <c r="DG104" s="449"/>
      <c r="DH104" s="449"/>
      <c r="DI104" s="449"/>
      <c r="DJ104" s="449"/>
      <c r="DK104" s="449"/>
      <c r="DL104" s="449"/>
      <c r="DM104" s="449"/>
      <c r="DN104" s="449"/>
      <c r="DO104" s="449"/>
      <c r="DP104" s="449"/>
      <c r="DQ104" s="449"/>
      <c r="DR104" s="449"/>
      <c r="DS104" s="449"/>
      <c r="DT104" s="449"/>
      <c r="DU104" s="449"/>
      <c r="DV104" s="449"/>
      <c r="DW104" s="449"/>
      <c r="DX104" s="449"/>
      <c r="DY104" s="449"/>
      <c r="DZ104" s="449"/>
      <c r="EA104" s="449"/>
      <c r="EB104" s="449"/>
      <c r="EC104" s="449"/>
      <c r="ED104" s="449"/>
      <c r="EE104" s="449"/>
      <c r="EF104" s="449"/>
      <c r="EG104" s="449"/>
      <c r="EH104" s="449"/>
      <c r="EI104" s="449"/>
      <c r="EJ104" s="449"/>
      <c r="EK104" s="449"/>
      <c r="EL104" s="449"/>
      <c r="EM104" s="449"/>
      <c r="EN104" s="449"/>
      <c r="EO104" s="449"/>
      <c r="EP104" s="449"/>
      <c r="EQ104" s="449"/>
      <c r="ER104" s="449"/>
      <c r="ES104" s="449"/>
      <c r="ET104" s="449"/>
      <c r="EU104" s="449"/>
      <c r="EV104" s="449"/>
      <c r="EW104" s="449"/>
      <c r="EX104" s="449"/>
      <c r="EY104" s="449"/>
      <c r="EZ104" s="449"/>
      <c r="FA104" s="449"/>
      <c r="FB104" s="449"/>
      <c r="FC104" s="449"/>
      <c r="FD104" s="449"/>
      <c r="FE104" s="449"/>
      <c r="FF104" s="449"/>
      <c r="FG104" s="449"/>
      <c r="FH104" s="449"/>
      <c r="FI104" s="449"/>
      <c r="FJ104" s="449"/>
      <c r="FK104" s="449"/>
      <c r="FL104" s="449"/>
      <c r="FM104" s="449"/>
      <c r="FN104" s="449"/>
      <c r="FO104" s="449"/>
      <c r="FP104" s="449"/>
      <c r="FQ104" s="449"/>
      <c r="FR104" s="449"/>
      <c r="FS104" s="449"/>
      <c r="FT104" s="449"/>
      <c r="FU104" s="449"/>
      <c r="FV104" s="449"/>
      <c r="FW104" s="449"/>
      <c r="FX104" s="449"/>
      <c r="FY104" s="449"/>
      <c r="FZ104" s="449"/>
      <c r="GA104" s="449"/>
      <c r="GB104" s="449"/>
      <c r="GC104" s="449"/>
      <c r="GD104" s="449"/>
      <c r="GE104" s="449"/>
      <c r="GF104" s="449"/>
      <c r="GG104" s="449"/>
      <c r="GH104" s="449"/>
      <c r="GI104" s="449"/>
      <c r="GJ104" s="449"/>
      <c r="GK104" s="449"/>
      <c r="GL104" s="449"/>
      <c r="GM104" s="449"/>
      <c r="GN104" s="449"/>
      <c r="GO104" s="449"/>
      <c r="GP104" s="449"/>
      <c r="GQ104" s="449"/>
      <c r="GR104" s="449"/>
      <c r="GS104" s="449"/>
      <c r="GT104" s="449"/>
      <c r="GU104" s="449"/>
      <c r="GV104" s="449"/>
      <c r="GW104" s="449"/>
      <c r="GX104" s="449"/>
      <c r="GY104" s="449"/>
      <c r="GZ104" s="449"/>
      <c r="HA104" s="449"/>
      <c r="HB104" s="449"/>
      <c r="HC104" s="449"/>
      <c r="HD104" s="449"/>
      <c r="HE104" s="449"/>
      <c r="HF104" s="449"/>
      <c r="HG104" s="449"/>
      <c r="HH104" s="449"/>
      <c r="HI104" s="449"/>
      <c r="HJ104" s="449"/>
      <c r="HK104" s="449"/>
      <c r="HL104" s="449"/>
      <c r="HM104" s="449"/>
      <c r="HN104" s="449"/>
      <c r="HO104" s="449"/>
      <c r="HP104" s="449"/>
      <c r="HQ104" s="449"/>
      <c r="HR104" s="449"/>
      <c r="HS104" s="449"/>
      <c r="HT104" s="449"/>
      <c r="HU104" s="449"/>
      <c r="HV104" s="449"/>
      <c r="HW104" s="449"/>
      <c r="HX104" s="449"/>
      <c r="HY104" s="449"/>
      <c r="HZ104" s="449"/>
      <c r="IA104" s="449"/>
      <c r="IB104" s="449"/>
      <c r="IC104" s="449"/>
      <c r="ID104" s="449"/>
      <c r="IE104" s="449"/>
      <c r="IF104" s="449"/>
      <c r="IG104" s="449"/>
      <c r="IH104" s="449"/>
      <c r="II104" s="449"/>
      <c r="IJ104" s="449"/>
      <c r="IK104" s="449"/>
      <c r="IL104" s="449"/>
      <c r="IM104" s="449"/>
      <c r="IN104" s="449"/>
      <c r="IO104" s="449"/>
      <c r="IP104" s="449"/>
      <c r="IQ104" s="449"/>
      <c r="IR104" s="449"/>
      <c r="IS104" s="449"/>
      <c r="IT104" s="449"/>
      <c r="IU104" s="449"/>
      <c r="IV104" s="449"/>
      <c r="IW104" s="449"/>
      <c r="IX104" s="449"/>
    </row>
    <row r="105" spans="3:258" x14ac:dyDescent="0.2">
      <c r="C105" s="392" t="s">
        <v>1038</v>
      </c>
      <c r="D105" s="393" t="s">
        <v>867</v>
      </c>
      <c r="E105" s="392" t="s">
        <v>1039</v>
      </c>
      <c r="F105" s="392"/>
      <c r="G105" s="393">
        <v>1000</v>
      </c>
      <c r="H105" s="393">
        <v>160</v>
      </c>
      <c r="I105" s="393">
        <v>100</v>
      </c>
      <c r="J105" s="393">
        <v>13.8</v>
      </c>
      <c r="K105" s="452">
        <v>3545</v>
      </c>
      <c r="L105" s="453">
        <f>K105*0.7</f>
        <v>2481.5</v>
      </c>
      <c r="M105" s="449"/>
      <c r="N105" s="449"/>
      <c r="O105" s="449"/>
      <c r="P105" s="449"/>
      <c r="Q105" s="449"/>
      <c r="R105" s="449"/>
      <c r="S105" s="449"/>
      <c r="T105" s="449"/>
      <c r="U105" s="449"/>
      <c r="V105" s="449"/>
      <c r="W105" s="449"/>
      <c r="X105" s="449"/>
      <c r="Y105" s="449"/>
      <c r="Z105" s="449"/>
      <c r="AA105" s="449"/>
      <c r="AB105" s="449"/>
      <c r="AC105" s="449"/>
      <c r="AD105" s="449"/>
      <c r="AE105" s="449"/>
      <c r="AF105" s="449"/>
      <c r="AG105" s="449"/>
      <c r="AH105" s="449"/>
      <c r="AI105" s="449"/>
      <c r="AJ105" s="449"/>
      <c r="AK105" s="449"/>
      <c r="AL105" s="449"/>
      <c r="AM105" s="449"/>
      <c r="AN105" s="449"/>
      <c r="AO105" s="449"/>
      <c r="AP105" s="449"/>
      <c r="AQ105" s="449"/>
      <c r="AR105" s="449"/>
      <c r="AS105" s="449"/>
      <c r="AT105" s="449"/>
      <c r="AU105" s="449"/>
      <c r="AV105" s="449"/>
      <c r="AW105" s="449"/>
      <c r="AX105" s="449"/>
      <c r="AY105" s="449"/>
      <c r="AZ105" s="449"/>
      <c r="BA105" s="449"/>
      <c r="BB105" s="449"/>
      <c r="BC105" s="449"/>
      <c r="BD105" s="449"/>
      <c r="BE105" s="449"/>
      <c r="BF105" s="449"/>
      <c r="BG105" s="449"/>
      <c r="BH105" s="449"/>
      <c r="BI105" s="449"/>
      <c r="BJ105" s="449"/>
      <c r="BK105" s="449"/>
      <c r="BL105" s="449"/>
      <c r="BM105" s="449"/>
      <c r="BN105" s="449"/>
      <c r="BO105" s="449"/>
      <c r="BP105" s="449"/>
      <c r="BQ105" s="449"/>
      <c r="BR105" s="449"/>
      <c r="BS105" s="449"/>
      <c r="BT105" s="449"/>
      <c r="BU105" s="449"/>
      <c r="BV105" s="449"/>
      <c r="BW105" s="449"/>
      <c r="BX105" s="449"/>
      <c r="BY105" s="449"/>
      <c r="BZ105" s="449"/>
      <c r="CA105" s="449"/>
      <c r="CB105" s="449"/>
      <c r="CC105" s="449"/>
      <c r="CD105" s="449"/>
      <c r="CE105" s="449"/>
      <c r="CF105" s="449"/>
      <c r="CG105" s="449"/>
      <c r="CH105" s="449"/>
      <c r="CI105" s="449"/>
      <c r="CJ105" s="449"/>
      <c r="CK105" s="449"/>
      <c r="CL105" s="449"/>
      <c r="CM105" s="449"/>
      <c r="CN105" s="449"/>
      <c r="CO105" s="449"/>
      <c r="CP105" s="449"/>
      <c r="CQ105" s="449"/>
      <c r="CR105" s="449"/>
      <c r="CS105" s="449"/>
      <c r="CT105" s="449"/>
      <c r="CU105" s="449"/>
      <c r="CV105" s="449"/>
      <c r="CW105" s="449"/>
      <c r="CX105" s="449"/>
      <c r="CY105" s="449"/>
      <c r="CZ105" s="449"/>
      <c r="DA105" s="449"/>
      <c r="DB105" s="449"/>
      <c r="DC105" s="449"/>
      <c r="DD105" s="449"/>
      <c r="DE105" s="449"/>
      <c r="DF105" s="449"/>
      <c r="DG105" s="449"/>
      <c r="DH105" s="449"/>
      <c r="DI105" s="449"/>
      <c r="DJ105" s="449"/>
      <c r="DK105" s="449"/>
      <c r="DL105" s="449"/>
      <c r="DM105" s="449"/>
      <c r="DN105" s="449"/>
      <c r="DO105" s="449"/>
      <c r="DP105" s="449"/>
      <c r="DQ105" s="449"/>
      <c r="DR105" s="449"/>
      <c r="DS105" s="449"/>
      <c r="DT105" s="449"/>
      <c r="DU105" s="449"/>
      <c r="DV105" s="449"/>
      <c r="DW105" s="449"/>
      <c r="DX105" s="449"/>
      <c r="DY105" s="449"/>
      <c r="DZ105" s="449"/>
      <c r="EA105" s="449"/>
      <c r="EB105" s="449"/>
      <c r="EC105" s="449"/>
      <c r="ED105" s="449"/>
      <c r="EE105" s="449"/>
      <c r="EF105" s="449"/>
      <c r="EG105" s="449"/>
      <c r="EH105" s="449"/>
      <c r="EI105" s="449"/>
      <c r="EJ105" s="449"/>
      <c r="EK105" s="449"/>
      <c r="EL105" s="449"/>
      <c r="EM105" s="449"/>
      <c r="EN105" s="449"/>
      <c r="EO105" s="449"/>
      <c r="EP105" s="449"/>
      <c r="EQ105" s="449"/>
      <c r="ER105" s="449"/>
      <c r="ES105" s="449"/>
      <c r="ET105" s="449"/>
      <c r="EU105" s="449"/>
      <c r="EV105" s="449"/>
      <c r="EW105" s="449"/>
      <c r="EX105" s="449"/>
      <c r="EY105" s="449"/>
      <c r="EZ105" s="449"/>
      <c r="FA105" s="449"/>
      <c r="FB105" s="449"/>
      <c r="FC105" s="449"/>
      <c r="FD105" s="449"/>
      <c r="FE105" s="449"/>
      <c r="FF105" s="449"/>
      <c r="FG105" s="449"/>
      <c r="FH105" s="449"/>
      <c r="FI105" s="449"/>
      <c r="FJ105" s="449"/>
      <c r="FK105" s="449"/>
      <c r="FL105" s="449"/>
      <c r="FM105" s="449"/>
      <c r="FN105" s="449"/>
      <c r="FO105" s="449"/>
      <c r="FP105" s="449"/>
      <c r="FQ105" s="449"/>
      <c r="FR105" s="449"/>
      <c r="FS105" s="449"/>
      <c r="FT105" s="449"/>
      <c r="FU105" s="449"/>
      <c r="FV105" s="449"/>
      <c r="FW105" s="449"/>
      <c r="FX105" s="449"/>
      <c r="FY105" s="449"/>
      <c r="FZ105" s="449"/>
      <c r="GA105" s="449"/>
      <c r="GB105" s="449"/>
      <c r="GC105" s="449"/>
      <c r="GD105" s="449"/>
      <c r="GE105" s="449"/>
      <c r="GF105" s="449"/>
      <c r="GG105" s="449"/>
      <c r="GH105" s="449"/>
      <c r="GI105" s="449"/>
      <c r="GJ105" s="449"/>
      <c r="GK105" s="449"/>
      <c r="GL105" s="449"/>
      <c r="GM105" s="449"/>
      <c r="GN105" s="449"/>
      <c r="GO105" s="449"/>
      <c r="GP105" s="449"/>
      <c r="GQ105" s="449"/>
      <c r="GR105" s="449"/>
      <c r="GS105" s="449"/>
      <c r="GT105" s="449"/>
      <c r="GU105" s="449"/>
      <c r="GV105" s="449"/>
      <c r="GW105" s="449"/>
      <c r="GX105" s="449"/>
      <c r="GY105" s="449"/>
      <c r="GZ105" s="449"/>
      <c r="HA105" s="449"/>
      <c r="HB105" s="449"/>
      <c r="HC105" s="449"/>
      <c r="HD105" s="449"/>
      <c r="HE105" s="449"/>
      <c r="HF105" s="449"/>
      <c r="HG105" s="449"/>
      <c r="HH105" s="449"/>
      <c r="HI105" s="449"/>
      <c r="HJ105" s="449"/>
      <c r="HK105" s="449"/>
      <c r="HL105" s="449"/>
      <c r="HM105" s="449"/>
      <c r="HN105" s="449"/>
      <c r="HO105" s="449"/>
      <c r="HP105" s="449"/>
      <c r="HQ105" s="449"/>
      <c r="HR105" s="449"/>
      <c r="HS105" s="449"/>
      <c r="HT105" s="449"/>
      <c r="HU105" s="449"/>
      <c r="HV105" s="449"/>
      <c r="HW105" s="449"/>
      <c r="HX105" s="449"/>
      <c r="HY105" s="449"/>
      <c r="HZ105" s="449"/>
      <c r="IA105" s="449"/>
      <c r="IB105" s="449"/>
      <c r="IC105" s="449"/>
      <c r="ID105" s="449"/>
      <c r="IE105" s="449"/>
      <c r="IF105" s="449"/>
      <c r="IG105" s="449"/>
      <c r="IH105" s="449"/>
      <c r="II105" s="449"/>
      <c r="IJ105" s="449"/>
      <c r="IK105" s="449"/>
      <c r="IL105" s="449"/>
      <c r="IM105" s="449"/>
      <c r="IN105" s="449"/>
      <c r="IO105" s="449"/>
      <c r="IP105" s="449"/>
      <c r="IQ105" s="449"/>
      <c r="IR105" s="449"/>
      <c r="IS105" s="449"/>
      <c r="IT105" s="449"/>
      <c r="IU105" s="449"/>
      <c r="IV105" s="449"/>
      <c r="IW105" s="449"/>
      <c r="IX105" s="449"/>
    </row>
    <row r="106" spans="3:258" x14ac:dyDescent="0.2">
      <c r="C106" s="392" t="s">
        <v>1040</v>
      </c>
      <c r="D106" s="393" t="s">
        <v>867</v>
      </c>
      <c r="E106" s="392" t="s">
        <v>1041</v>
      </c>
      <c r="F106" s="392"/>
      <c r="G106" s="393">
        <v>1000</v>
      </c>
      <c r="H106" s="393">
        <v>160</v>
      </c>
      <c r="I106" s="393">
        <v>210</v>
      </c>
      <c r="J106" s="393">
        <v>21.01</v>
      </c>
      <c r="K106" s="452">
        <v>4818</v>
      </c>
      <c r="L106" s="453">
        <f>K106*0.7</f>
        <v>3372.6</v>
      </c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49"/>
      <c r="BC106" s="449"/>
      <c r="BD106" s="449"/>
      <c r="BE106" s="449"/>
      <c r="BF106" s="449"/>
      <c r="BG106" s="449"/>
      <c r="BH106" s="449"/>
      <c r="BI106" s="449"/>
      <c r="BJ106" s="449"/>
      <c r="BK106" s="449"/>
      <c r="BL106" s="449"/>
      <c r="BM106" s="449"/>
      <c r="BN106" s="449"/>
      <c r="BO106" s="449"/>
      <c r="BP106" s="449"/>
      <c r="BQ106" s="449"/>
      <c r="BR106" s="449"/>
      <c r="BS106" s="449"/>
      <c r="BT106" s="449"/>
      <c r="BU106" s="449"/>
      <c r="BV106" s="449"/>
      <c r="BW106" s="449"/>
      <c r="BX106" s="449"/>
      <c r="BY106" s="449"/>
      <c r="BZ106" s="449"/>
      <c r="CA106" s="449"/>
      <c r="CB106" s="449"/>
      <c r="CC106" s="449"/>
      <c r="CD106" s="449"/>
      <c r="CE106" s="449"/>
      <c r="CF106" s="449"/>
      <c r="CG106" s="449"/>
      <c r="CH106" s="449"/>
      <c r="CI106" s="449"/>
      <c r="CJ106" s="449"/>
      <c r="CK106" s="449"/>
      <c r="CL106" s="449"/>
      <c r="CM106" s="449"/>
      <c r="CN106" s="449"/>
      <c r="CO106" s="449"/>
      <c r="CP106" s="449"/>
      <c r="CQ106" s="449"/>
      <c r="CR106" s="449"/>
      <c r="CS106" s="449"/>
      <c r="CT106" s="449"/>
      <c r="CU106" s="449"/>
      <c r="CV106" s="449"/>
      <c r="CW106" s="449"/>
      <c r="CX106" s="449"/>
      <c r="CY106" s="449"/>
      <c r="CZ106" s="449"/>
      <c r="DA106" s="449"/>
      <c r="DB106" s="449"/>
      <c r="DC106" s="449"/>
      <c r="DD106" s="449"/>
      <c r="DE106" s="449"/>
      <c r="DF106" s="449"/>
      <c r="DG106" s="449"/>
      <c r="DH106" s="449"/>
      <c r="DI106" s="449"/>
      <c r="DJ106" s="449"/>
      <c r="DK106" s="449"/>
      <c r="DL106" s="449"/>
      <c r="DM106" s="449"/>
      <c r="DN106" s="449"/>
      <c r="DO106" s="449"/>
      <c r="DP106" s="449"/>
      <c r="DQ106" s="449"/>
      <c r="DR106" s="449"/>
      <c r="DS106" s="449"/>
      <c r="DT106" s="449"/>
      <c r="DU106" s="449"/>
      <c r="DV106" s="449"/>
      <c r="DW106" s="449"/>
      <c r="DX106" s="449"/>
      <c r="DY106" s="449"/>
      <c r="DZ106" s="449"/>
      <c r="EA106" s="449"/>
      <c r="EB106" s="449"/>
      <c r="EC106" s="449"/>
      <c r="ED106" s="449"/>
      <c r="EE106" s="449"/>
      <c r="EF106" s="449"/>
      <c r="EG106" s="449"/>
      <c r="EH106" s="449"/>
      <c r="EI106" s="449"/>
      <c r="EJ106" s="449"/>
      <c r="EK106" s="449"/>
      <c r="EL106" s="449"/>
      <c r="EM106" s="449"/>
      <c r="EN106" s="449"/>
      <c r="EO106" s="449"/>
      <c r="EP106" s="449"/>
      <c r="EQ106" s="449"/>
      <c r="ER106" s="449"/>
      <c r="ES106" s="449"/>
      <c r="ET106" s="449"/>
      <c r="EU106" s="449"/>
      <c r="EV106" s="449"/>
      <c r="EW106" s="449"/>
      <c r="EX106" s="449"/>
      <c r="EY106" s="449"/>
      <c r="EZ106" s="449"/>
      <c r="FA106" s="449"/>
      <c r="FB106" s="449"/>
      <c r="FC106" s="449"/>
      <c r="FD106" s="449"/>
      <c r="FE106" s="449"/>
      <c r="FF106" s="449"/>
      <c r="FG106" s="449"/>
      <c r="FH106" s="449"/>
      <c r="FI106" s="449"/>
      <c r="FJ106" s="449"/>
      <c r="FK106" s="449"/>
      <c r="FL106" s="449"/>
      <c r="FM106" s="449"/>
      <c r="FN106" s="449"/>
      <c r="FO106" s="449"/>
      <c r="FP106" s="449"/>
      <c r="FQ106" s="449"/>
      <c r="FR106" s="449"/>
      <c r="FS106" s="449"/>
      <c r="FT106" s="449"/>
      <c r="FU106" s="449"/>
      <c r="FV106" s="449"/>
      <c r="FW106" s="449"/>
      <c r="FX106" s="449"/>
      <c r="FY106" s="449"/>
      <c r="FZ106" s="449"/>
      <c r="GA106" s="449"/>
      <c r="GB106" s="449"/>
      <c r="GC106" s="449"/>
      <c r="GD106" s="449"/>
      <c r="GE106" s="449"/>
      <c r="GF106" s="449"/>
      <c r="GG106" s="449"/>
      <c r="GH106" s="449"/>
      <c r="GI106" s="449"/>
      <c r="GJ106" s="449"/>
      <c r="GK106" s="449"/>
      <c r="GL106" s="449"/>
      <c r="GM106" s="449"/>
      <c r="GN106" s="449"/>
      <c r="GO106" s="449"/>
      <c r="GP106" s="449"/>
      <c r="GQ106" s="449"/>
      <c r="GR106" s="449"/>
      <c r="GS106" s="449"/>
      <c r="GT106" s="449"/>
      <c r="GU106" s="449"/>
      <c r="GV106" s="449"/>
      <c r="GW106" s="449"/>
      <c r="GX106" s="449"/>
      <c r="GY106" s="449"/>
      <c r="GZ106" s="449"/>
      <c r="HA106" s="449"/>
      <c r="HB106" s="449"/>
      <c r="HC106" s="449"/>
      <c r="HD106" s="449"/>
      <c r="HE106" s="449"/>
      <c r="HF106" s="449"/>
      <c r="HG106" s="449"/>
      <c r="HH106" s="449"/>
      <c r="HI106" s="449"/>
      <c r="HJ106" s="449"/>
      <c r="HK106" s="449"/>
      <c r="HL106" s="449"/>
      <c r="HM106" s="449"/>
      <c r="HN106" s="449"/>
      <c r="HO106" s="449"/>
      <c r="HP106" s="449"/>
      <c r="HQ106" s="449"/>
      <c r="HR106" s="449"/>
      <c r="HS106" s="449"/>
      <c r="HT106" s="449"/>
      <c r="HU106" s="449"/>
      <c r="HV106" s="449"/>
      <c r="HW106" s="449"/>
      <c r="HX106" s="449"/>
      <c r="HY106" s="449"/>
      <c r="HZ106" s="449"/>
      <c r="IA106" s="449"/>
      <c r="IB106" s="449"/>
      <c r="IC106" s="449"/>
      <c r="ID106" s="449"/>
      <c r="IE106" s="449"/>
      <c r="IF106" s="449"/>
      <c r="IG106" s="449"/>
      <c r="IH106" s="449"/>
      <c r="II106" s="449"/>
      <c r="IJ106" s="449"/>
      <c r="IK106" s="449"/>
      <c r="IL106" s="449"/>
      <c r="IM106" s="449"/>
      <c r="IN106" s="449"/>
      <c r="IO106" s="449"/>
      <c r="IP106" s="449"/>
      <c r="IQ106" s="449"/>
      <c r="IR106" s="449"/>
      <c r="IS106" s="449"/>
      <c r="IT106" s="449"/>
      <c r="IU106" s="449"/>
      <c r="IV106" s="449"/>
      <c r="IW106" s="449"/>
      <c r="IX106" s="449"/>
    </row>
    <row r="107" spans="3:258" x14ac:dyDescent="0.2">
      <c r="C107" s="392" t="s">
        <v>1042</v>
      </c>
      <c r="D107" s="393" t="s">
        <v>867</v>
      </c>
      <c r="E107" s="392" t="s">
        <v>1043</v>
      </c>
      <c r="F107" s="392"/>
      <c r="G107" s="393">
        <v>1000</v>
      </c>
      <c r="H107" s="393">
        <v>160</v>
      </c>
      <c r="I107" s="393">
        <v>260</v>
      </c>
      <c r="J107" s="393">
        <v>24.91</v>
      </c>
      <c r="K107" s="452">
        <v>5520</v>
      </c>
      <c r="L107" s="453">
        <f>K107*0.7</f>
        <v>3863.9999999999995</v>
      </c>
      <c r="M107" s="449"/>
      <c r="N107" s="449"/>
      <c r="O107" s="449"/>
      <c r="P107" s="449"/>
      <c r="Q107" s="449"/>
      <c r="R107" s="449"/>
      <c r="S107" s="449"/>
      <c r="T107" s="449"/>
      <c r="U107" s="449"/>
      <c r="V107" s="449"/>
      <c r="W107" s="449"/>
      <c r="X107" s="449"/>
      <c r="Y107" s="449"/>
      <c r="Z107" s="449"/>
      <c r="AA107" s="449"/>
      <c r="AB107" s="449"/>
      <c r="AC107" s="449"/>
      <c r="AD107" s="449"/>
      <c r="AE107" s="449"/>
      <c r="AF107" s="449"/>
      <c r="AG107" s="449"/>
      <c r="AH107" s="449"/>
      <c r="AI107" s="449"/>
      <c r="AJ107" s="449"/>
      <c r="AK107" s="449"/>
      <c r="AL107" s="449"/>
      <c r="AM107" s="449"/>
      <c r="AN107" s="449"/>
      <c r="AO107" s="449"/>
      <c r="AP107" s="449"/>
      <c r="AQ107" s="449"/>
      <c r="AR107" s="449"/>
      <c r="AS107" s="449"/>
      <c r="AT107" s="449"/>
      <c r="AU107" s="449"/>
      <c r="AV107" s="449"/>
      <c r="AW107" s="449"/>
      <c r="AX107" s="449"/>
      <c r="AY107" s="449"/>
      <c r="AZ107" s="449"/>
      <c r="BA107" s="449"/>
      <c r="BB107" s="449"/>
      <c r="BC107" s="449"/>
      <c r="BD107" s="449"/>
      <c r="BE107" s="449"/>
      <c r="BF107" s="449"/>
      <c r="BG107" s="449"/>
      <c r="BH107" s="449"/>
      <c r="BI107" s="449"/>
      <c r="BJ107" s="449"/>
      <c r="BK107" s="449"/>
      <c r="BL107" s="449"/>
      <c r="BM107" s="449"/>
      <c r="BN107" s="449"/>
      <c r="BO107" s="449"/>
      <c r="BP107" s="449"/>
      <c r="BQ107" s="449"/>
      <c r="BR107" s="449"/>
      <c r="BS107" s="449"/>
      <c r="BT107" s="449"/>
      <c r="BU107" s="449"/>
      <c r="BV107" s="449"/>
      <c r="BW107" s="449"/>
      <c r="BX107" s="449"/>
      <c r="BY107" s="449"/>
      <c r="BZ107" s="449"/>
      <c r="CA107" s="449"/>
      <c r="CB107" s="449"/>
      <c r="CC107" s="449"/>
      <c r="CD107" s="449"/>
      <c r="CE107" s="449"/>
      <c r="CF107" s="449"/>
      <c r="CG107" s="449"/>
      <c r="CH107" s="449"/>
      <c r="CI107" s="449"/>
      <c r="CJ107" s="449"/>
      <c r="CK107" s="449"/>
      <c r="CL107" s="449"/>
      <c r="CM107" s="449"/>
      <c r="CN107" s="449"/>
      <c r="CO107" s="449"/>
      <c r="CP107" s="449"/>
      <c r="CQ107" s="449"/>
      <c r="CR107" s="449"/>
      <c r="CS107" s="449"/>
      <c r="CT107" s="449"/>
      <c r="CU107" s="449"/>
      <c r="CV107" s="449"/>
      <c r="CW107" s="449"/>
      <c r="CX107" s="449"/>
      <c r="CY107" s="449"/>
      <c r="CZ107" s="449"/>
      <c r="DA107" s="449"/>
      <c r="DB107" s="449"/>
      <c r="DC107" s="449"/>
      <c r="DD107" s="449"/>
      <c r="DE107" s="449"/>
      <c r="DF107" s="449"/>
      <c r="DG107" s="449"/>
      <c r="DH107" s="449"/>
      <c r="DI107" s="449"/>
      <c r="DJ107" s="449"/>
      <c r="DK107" s="449"/>
      <c r="DL107" s="449"/>
      <c r="DM107" s="449"/>
      <c r="DN107" s="449"/>
      <c r="DO107" s="449"/>
      <c r="DP107" s="449"/>
      <c r="DQ107" s="449"/>
      <c r="DR107" s="449"/>
      <c r="DS107" s="449"/>
      <c r="DT107" s="449"/>
      <c r="DU107" s="449"/>
      <c r="DV107" s="449"/>
      <c r="DW107" s="449"/>
      <c r="DX107" s="449"/>
      <c r="DY107" s="449"/>
      <c r="DZ107" s="449"/>
      <c r="EA107" s="449"/>
      <c r="EB107" s="449"/>
      <c r="EC107" s="449"/>
      <c r="ED107" s="449"/>
      <c r="EE107" s="449"/>
      <c r="EF107" s="449"/>
      <c r="EG107" s="449"/>
      <c r="EH107" s="449"/>
      <c r="EI107" s="449"/>
      <c r="EJ107" s="449"/>
      <c r="EK107" s="449"/>
      <c r="EL107" s="449"/>
      <c r="EM107" s="449"/>
      <c r="EN107" s="449"/>
      <c r="EO107" s="449"/>
      <c r="EP107" s="449"/>
      <c r="EQ107" s="449"/>
      <c r="ER107" s="449"/>
      <c r="ES107" s="449"/>
      <c r="ET107" s="449"/>
      <c r="EU107" s="449"/>
      <c r="EV107" s="449"/>
      <c r="EW107" s="449"/>
      <c r="EX107" s="449"/>
      <c r="EY107" s="449"/>
      <c r="EZ107" s="449"/>
      <c r="FA107" s="449"/>
      <c r="FB107" s="449"/>
      <c r="FC107" s="449"/>
      <c r="FD107" s="449"/>
      <c r="FE107" s="449"/>
      <c r="FF107" s="449"/>
      <c r="FG107" s="449"/>
      <c r="FH107" s="449"/>
      <c r="FI107" s="449"/>
      <c r="FJ107" s="449"/>
      <c r="FK107" s="449"/>
      <c r="FL107" s="449"/>
      <c r="FM107" s="449"/>
      <c r="FN107" s="449"/>
      <c r="FO107" s="449"/>
      <c r="FP107" s="449"/>
      <c r="FQ107" s="449"/>
      <c r="FR107" s="449"/>
      <c r="FS107" s="449"/>
      <c r="FT107" s="449"/>
      <c r="FU107" s="449"/>
      <c r="FV107" s="449"/>
      <c r="FW107" s="449"/>
      <c r="FX107" s="449"/>
      <c r="FY107" s="449"/>
      <c r="FZ107" s="449"/>
      <c r="GA107" s="449"/>
      <c r="GB107" s="449"/>
      <c r="GC107" s="449"/>
      <c r="GD107" s="449"/>
      <c r="GE107" s="449"/>
      <c r="GF107" s="449"/>
      <c r="GG107" s="449"/>
      <c r="GH107" s="449"/>
      <c r="GI107" s="449"/>
      <c r="GJ107" s="449"/>
      <c r="GK107" s="449"/>
      <c r="GL107" s="449"/>
      <c r="GM107" s="449"/>
      <c r="GN107" s="449"/>
      <c r="GO107" s="449"/>
      <c r="GP107" s="449"/>
      <c r="GQ107" s="449"/>
      <c r="GR107" s="449"/>
      <c r="GS107" s="449"/>
      <c r="GT107" s="449"/>
      <c r="GU107" s="449"/>
      <c r="GV107" s="449"/>
      <c r="GW107" s="449"/>
      <c r="GX107" s="449"/>
      <c r="GY107" s="449"/>
      <c r="GZ107" s="449"/>
      <c r="HA107" s="449"/>
      <c r="HB107" s="449"/>
      <c r="HC107" s="449"/>
      <c r="HD107" s="449"/>
      <c r="HE107" s="449"/>
      <c r="HF107" s="449"/>
      <c r="HG107" s="449"/>
      <c r="HH107" s="449"/>
      <c r="HI107" s="449"/>
      <c r="HJ107" s="449"/>
      <c r="HK107" s="449"/>
      <c r="HL107" s="449"/>
      <c r="HM107" s="449"/>
      <c r="HN107" s="449"/>
      <c r="HO107" s="449"/>
      <c r="HP107" s="449"/>
      <c r="HQ107" s="449"/>
      <c r="HR107" s="449"/>
      <c r="HS107" s="449"/>
      <c r="HT107" s="449"/>
      <c r="HU107" s="449"/>
      <c r="HV107" s="449"/>
      <c r="HW107" s="449"/>
      <c r="HX107" s="449"/>
      <c r="HY107" s="449"/>
      <c r="HZ107" s="449"/>
      <c r="IA107" s="449"/>
      <c r="IB107" s="449"/>
      <c r="IC107" s="449"/>
      <c r="ID107" s="449"/>
      <c r="IE107" s="449"/>
      <c r="IF107" s="449"/>
      <c r="IG107" s="449"/>
      <c r="IH107" s="449"/>
      <c r="II107" s="449"/>
      <c r="IJ107" s="449"/>
      <c r="IK107" s="449"/>
      <c r="IL107" s="449"/>
      <c r="IM107" s="449"/>
      <c r="IN107" s="449"/>
      <c r="IO107" s="449"/>
      <c r="IP107" s="449"/>
      <c r="IQ107" s="449"/>
      <c r="IR107" s="449"/>
      <c r="IS107" s="449"/>
      <c r="IT107" s="449"/>
      <c r="IU107" s="449"/>
      <c r="IV107" s="449"/>
      <c r="IW107" s="449"/>
      <c r="IX107" s="449"/>
    </row>
    <row r="108" spans="3:258" x14ac:dyDescent="0.2">
      <c r="C108" s="392" t="s">
        <v>1044</v>
      </c>
      <c r="D108" s="393" t="s">
        <v>867</v>
      </c>
      <c r="E108" s="392" t="s">
        <v>1045</v>
      </c>
      <c r="F108" s="392"/>
      <c r="G108" s="393">
        <v>500</v>
      </c>
      <c r="H108" s="393">
        <v>160</v>
      </c>
      <c r="I108" s="393">
        <v>500</v>
      </c>
      <c r="J108" s="393">
        <v>26</v>
      </c>
      <c r="K108" s="452">
        <v>4829</v>
      </c>
      <c r="L108" s="453">
        <f>K108*0.7</f>
        <v>3380.2999999999997</v>
      </c>
      <c r="M108" s="449"/>
      <c r="N108" s="449"/>
      <c r="O108" s="449"/>
      <c r="P108" s="449"/>
      <c r="Q108" s="449"/>
      <c r="R108" s="449"/>
      <c r="S108" s="449"/>
      <c r="T108" s="449"/>
      <c r="U108" s="449"/>
      <c r="V108" s="449"/>
      <c r="W108" s="449"/>
      <c r="X108" s="449"/>
      <c r="Y108" s="449"/>
      <c r="Z108" s="449"/>
      <c r="AA108" s="449"/>
      <c r="AB108" s="449"/>
      <c r="AC108" s="449"/>
      <c r="AD108" s="449"/>
      <c r="AE108" s="449"/>
      <c r="AF108" s="449"/>
      <c r="AG108" s="449"/>
      <c r="AH108" s="449"/>
      <c r="AI108" s="449"/>
      <c r="AJ108" s="449"/>
      <c r="AK108" s="449"/>
      <c r="AL108" s="449"/>
      <c r="AM108" s="449"/>
      <c r="AN108" s="449"/>
      <c r="AO108" s="449"/>
      <c r="AP108" s="449"/>
      <c r="AQ108" s="449"/>
      <c r="AR108" s="449"/>
      <c r="AS108" s="449"/>
      <c r="AT108" s="449"/>
      <c r="AU108" s="449"/>
      <c r="AV108" s="449"/>
      <c r="AW108" s="449"/>
      <c r="AX108" s="449"/>
      <c r="AY108" s="449"/>
      <c r="AZ108" s="449"/>
      <c r="BA108" s="449"/>
      <c r="BB108" s="449"/>
      <c r="BC108" s="449"/>
      <c r="BD108" s="449"/>
      <c r="BE108" s="449"/>
      <c r="BF108" s="449"/>
      <c r="BG108" s="449"/>
      <c r="BH108" s="449"/>
      <c r="BI108" s="449"/>
      <c r="BJ108" s="449"/>
      <c r="BK108" s="449"/>
      <c r="BL108" s="449"/>
      <c r="BM108" s="449"/>
      <c r="BN108" s="449"/>
      <c r="BO108" s="449"/>
      <c r="BP108" s="449"/>
      <c r="BQ108" s="449"/>
      <c r="BR108" s="449"/>
      <c r="BS108" s="449"/>
      <c r="BT108" s="449"/>
      <c r="BU108" s="449"/>
      <c r="BV108" s="449"/>
      <c r="BW108" s="449"/>
      <c r="BX108" s="449"/>
      <c r="BY108" s="449"/>
      <c r="BZ108" s="449"/>
      <c r="CA108" s="449"/>
      <c r="CB108" s="449"/>
      <c r="CC108" s="449"/>
      <c r="CD108" s="449"/>
      <c r="CE108" s="449"/>
      <c r="CF108" s="449"/>
      <c r="CG108" s="449"/>
      <c r="CH108" s="449"/>
      <c r="CI108" s="449"/>
      <c r="CJ108" s="449"/>
      <c r="CK108" s="449"/>
      <c r="CL108" s="449"/>
      <c r="CM108" s="449"/>
      <c r="CN108" s="449"/>
      <c r="CO108" s="449"/>
      <c r="CP108" s="449"/>
      <c r="CQ108" s="449"/>
      <c r="CR108" s="449"/>
      <c r="CS108" s="449"/>
      <c r="CT108" s="449"/>
      <c r="CU108" s="449"/>
      <c r="CV108" s="449"/>
      <c r="CW108" s="449"/>
      <c r="CX108" s="449"/>
      <c r="CY108" s="449"/>
      <c r="CZ108" s="449"/>
      <c r="DA108" s="449"/>
      <c r="DB108" s="449"/>
      <c r="DC108" s="449"/>
      <c r="DD108" s="449"/>
      <c r="DE108" s="449"/>
      <c r="DF108" s="449"/>
      <c r="DG108" s="449"/>
      <c r="DH108" s="449"/>
      <c r="DI108" s="449"/>
      <c r="DJ108" s="449"/>
      <c r="DK108" s="449"/>
      <c r="DL108" s="449"/>
      <c r="DM108" s="449"/>
      <c r="DN108" s="449"/>
      <c r="DO108" s="449"/>
      <c r="DP108" s="449"/>
      <c r="DQ108" s="449"/>
      <c r="DR108" s="449"/>
      <c r="DS108" s="449"/>
      <c r="DT108" s="449"/>
      <c r="DU108" s="449"/>
      <c r="DV108" s="449"/>
      <c r="DW108" s="449"/>
      <c r="DX108" s="449"/>
      <c r="DY108" s="449"/>
      <c r="DZ108" s="449"/>
      <c r="EA108" s="449"/>
      <c r="EB108" s="449"/>
      <c r="EC108" s="449"/>
      <c r="ED108" s="449"/>
      <c r="EE108" s="449"/>
      <c r="EF108" s="449"/>
      <c r="EG108" s="449"/>
      <c r="EH108" s="449"/>
      <c r="EI108" s="449"/>
      <c r="EJ108" s="449"/>
      <c r="EK108" s="449"/>
      <c r="EL108" s="449"/>
      <c r="EM108" s="449"/>
      <c r="EN108" s="449"/>
      <c r="EO108" s="449"/>
      <c r="EP108" s="449"/>
      <c r="EQ108" s="449"/>
      <c r="ER108" s="449"/>
      <c r="ES108" s="449"/>
      <c r="ET108" s="449"/>
      <c r="EU108" s="449"/>
      <c r="EV108" s="449"/>
      <c r="EW108" s="449"/>
      <c r="EX108" s="449"/>
      <c r="EY108" s="449"/>
      <c r="EZ108" s="449"/>
      <c r="FA108" s="449"/>
      <c r="FB108" s="449"/>
      <c r="FC108" s="449"/>
      <c r="FD108" s="449"/>
      <c r="FE108" s="449"/>
      <c r="FF108" s="449"/>
      <c r="FG108" s="449"/>
      <c r="FH108" s="449"/>
      <c r="FI108" s="449"/>
      <c r="FJ108" s="449"/>
      <c r="FK108" s="449"/>
      <c r="FL108" s="449"/>
      <c r="FM108" s="449"/>
      <c r="FN108" s="449"/>
      <c r="FO108" s="449"/>
      <c r="FP108" s="449"/>
      <c r="FQ108" s="449"/>
      <c r="FR108" s="449"/>
      <c r="FS108" s="449"/>
      <c r="FT108" s="449"/>
      <c r="FU108" s="449"/>
      <c r="FV108" s="449"/>
      <c r="FW108" s="449"/>
      <c r="FX108" s="449"/>
      <c r="FY108" s="449"/>
      <c r="FZ108" s="449"/>
      <c r="GA108" s="449"/>
      <c r="GB108" s="449"/>
      <c r="GC108" s="449"/>
      <c r="GD108" s="449"/>
      <c r="GE108" s="449"/>
      <c r="GF108" s="449"/>
      <c r="GG108" s="449"/>
      <c r="GH108" s="449"/>
      <c r="GI108" s="449"/>
      <c r="GJ108" s="449"/>
      <c r="GK108" s="449"/>
      <c r="GL108" s="449"/>
      <c r="GM108" s="449"/>
      <c r="GN108" s="449"/>
      <c r="GO108" s="449"/>
      <c r="GP108" s="449"/>
      <c r="GQ108" s="449"/>
      <c r="GR108" s="449"/>
      <c r="GS108" s="449"/>
      <c r="GT108" s="449"/>
      <c r="GU108" s="449"/>
      <c r="GV108" s="449"/>
      <c r="GW108" s="449"/>
      <c r="GX108" s="449"/>
      <c r="GY108" s="449"/>
      <c r="GZ108" s="449"/>
      <c r="HA108" s="449"/>
      <c r="HB108" s="449"/>
      <c r="HC108" s="449"/>
      <c r="HD108" s="449"/>
      <c r="HE108" s="449"/>
      <c r="HF108" s="449"/>
      <c r="HG108" s="449"/>
      <c r="HH108" s="449"/>
      <c r="HI108" s="449"/>
      <c r="HJ108" s="449"/>
      <c r="HK108" s="449"/>
      <c r="HL108" s="449"/>
      <c r="HM108" s="449"/>
      <c r="HN108" s="449"/>
      <c r="HO108" s="449"/>
      <c r="HP108" s="449"/>
      <c r="HQ108" s="449"/>
      <c r="HR108" s="449"/>
      <c r="HS108" s="449"/>
      <c r="HT108" s="449"/>
      <c r="HU108" s="449"/>
      <c r="HV108" s="449"/>
      <c r="HW108" s="449"/>
      <c r="HX108" s="449"/>
      <c r="HY108" s="449"/>
      <c r="HZ108" s="449"/>
      <c r="IA108" s="449"/>
      <c r="IB108" s="449"/>
      <c r="IC108" s="449"/>
      <c r="ID108" s="449"/>
      <c r="IE108" s="449"/>
      <c r="IF108" s="449"/>
      <c r="IG108" s="449"/>
      <c r="IH108" s="449"/>
      <c r="II108" s="449"/>
      <c r="IJ108" s="449"/>
      <c r="IK108" s="449"/>
      <c r="IL108" s="449"/>
      <c r="IM108" s="449"/>
      <c r="IN108" s="449"/>
      <c r="IO108" s="449"/>
      <c r="IP108" s="449"/>
      <c r="IQ108" s="449"/>
      <c r="IR108" s="449"/>
      <c r="IS108" s="449"/>
      <c r="IT108" s="449"/>
      <c r="IU108" s="449"/>
      <c r="IV108" s="449"/>
      <c r="IW108" s="449"/>
      <c r="IX108" s="449"/>
    </row>
    <row r="109" spans="3:258" x14ac:dyDescent="0.2">
      <c r="C109" s="388" t="s">
        <v>874</v>
      </c>
      <c r="D109" s="389"/>
      <c r="E109" s="389"/>
      <c r="F109" s="389"/>
      <c r="G109" s="389"/>
      <c r="H109" s="389"/>
      <c r="I109" s="389"/>
      <c r="J109" s="389"/>
      <c r="K109" s="390"/>
      <c r="L109" s="391" t="str">
        <f>IFERROR(K109/#REF!-1,"")</f>
        <v/>
      </c>
      <c r="M109" s="449"/>
      <c r="N109" s="449"/>
      <c r="O109" s="449"/>
      <c r="P109" s="449"/>
      <c r="Q109" s="449"/>
      <c r="R109" s="449"/>
      <c r="S109" s="449"/>
      <c r="T109" s="449"/>
      <c r="U109" s="449"/>
      <c r="V109" s="449"/>
      <c r="W109" s="449"/>
      <c r="X109" s="449"/>
      <c r="Y109" s="449"/>
      <c r="Z109" s="449"/>
      <c r="AA109" s="449"/>
      <c r="AB109" s="449"/>
      <c r="AC109" s="449"/>
      <c r="AD109" s="449"/>
      <c r="AE109" s="449"/>
      <c r="AF109" s="449"/>
      <c r="AG109" s="449"/>
      <c r="AH109" s="449"/>
      <c r="AI109" s="449"/>
      <c r="AJ109" s="449"/>
      <c r="AK109" s="449"/>
      <c r="AL109" s="449"/>
      <c r="AM109" s="449"/>
      <c r="AN109" s="449"/>
      <c r="AO109" s="449"/>
      <c r="AP109" s="449"/>
      <c r="AQ109" s="449"/>
      <c r="AR109" s="449"/>
      <c r="AS109" s="449"/>
      <c r="AT109" s="449"/>
      <c r="AU109" s="449"/>
      <c r="AV109" s="449"/>
      <c r="AW109" s="449"/>
      <c r="AX109" s="449"/>
      <c r="AY109" s="449"/>
      <c r="AZ109" s="449"/>
      <c r="BA109" s="449"/>
      <c r="BB109" s="449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49"/>
      <c r="CV109" s="449"/>
      <c r="CW109" s="449"/>
      <c r="CX109" s="449"/>
      <c r="CY109" s="449"/>
      <c r="CZ109" s="449"/>
      <c r="DA109" s="449"/>
      <c r="DB109" s="449"/>
      <c r="DC109" s="449"/>
      <c r="DD109" s="449"/>
      <c r="DE109" s="449"/>
      <c r="DF109" s="449"/>
      <c r="DG109" s="449"/>
      <c r="DH109" s="449"/>
      <c r="DI109" s="449"/>
      <c r="DJ109" s="449"/>
      <c r="DK109" s="449"/>
      <c r="DL109" s="449"/>
      <c r="DM109" s="449"/>
      <c r="DN109" s="449"/>
      <c r="DO109" s="449"/>
      <c r="DP109" s="449"/>
      <c r="DQ109" s="449"/>
      <c r="DR109" s="449"/>
      <c r="DS109" s="449"/>
      <c r="DT109" s="449"/>
      <c r="DU109" s="449"/>
      <c r="DV109" s="449"/>
      <c r="DW109" s="449"/>
      <c r="DX109" s="449"/>
      <c r="DY109" s="449"/>
      <c r="DZ109" s="449"/>
      <c r="EA109" s="449"/>
      <c r="EB109" s="449"/>
      <c r="EC109" s="449"/>
      <c r="ED109" s="449"/>
      <c r="EE109" s="449"/>
      <c r="EF109" s="449"/>
      <c r="EG109" s="449"/>
      <c r="EH109" s="449"/>
      <c r="EI109" s="449"/>
      <c r="EJ109" s="449"/>
      <c r="EK109" s="449"/>
      <c r="EL109" s="449"/>
      <c r="EM109" s="449"/>
      <c r="EN109" s="449"/>
      <c r="EO109" s="449"/>
      <c r="EP109" s="449"/>
      <c r="EQ109" s="449"/>
      <c r="ER109" s="449"/>
      <c r="ES109" s="449"/>
      <c r="ET109" s="449"/>
      <c r="EU109" s="449"/>
      <c r="EV109" s="449"/>
      <c r="EW109" s="449"/>
      <c r="EX109" s="449"/>
      <c r="EY109" s="449"/>
      <c r="EZ109" s="449"/>
      <c r="FA109" s="449"/>
      <c r="FB109" s="449"/>
      <c r="FC109" s="449"/>
      <c r="FD109" s="449"/>
      <c r="FE109" s="449"/>
      <c r="FF109" s="449"/>
      <c r="FG109" s="449"/>
      <c r="FH109" s="449"/>
      <c r="FI109" s="449"/>
      <c r="FJ109" s="449"/>
      <c r="FK109" s="449"/>
      <c r="FL109" s="449"/>
      <c r="FM109" s="449"/>
      <c r="FN109" s="449"/>
      <c r="FO109" s="449"/>
      <c r="FP109" s="449"/>
      <c r="FQ109" s="449"/>
      <c r="FR109" s="449"/>
      <c r="FS109" s="449"/>
      <c r="FT109" s="449"/>
      <c r="FU109" s="449"/>
      <c r="FV109" s="449"/>
      <c r="FW109" s="449"/>
      <c r="FX109" s="449"/>
      <c r="FY109" s="449"/>
      <c r="FZ109" s="449"/>
      <c r="GA109" s="449"/>
      <c r="GB109" s="449"/>
      <c r="GC109" s="449"/>
      <c r="GD109" s="449"/>
      <c r="GE109" s="449"/>
      <c r="GF109" s="449"/>
      <c r="GG109" s="449"/>
      <c r="GH109" s="449"/>
      <c r="GI109" s="449"/>
      <c r="GJ109" s="449"/>
      <c r="GK109" s="449"/>
      <c r="GL109" s="449"/>
      <c r="GM109" s="449"/>
      <c r="GN109" s="449"/>
      <c r="GO109" s="449"/>
      <c r="GP109" s="449"/>
      <c r="GQ109" s="449"/>
      <c r="GR109" s="449"/>
      <c r="GS109" s="449"/>
      <c r="GT109" s="449"/>
      <c r="GU109" s="449"/>
      <c r="GV109" s="449"/>
      <c r="GW109" s="449"/>
      <c r="GX109" s="449"/>
      <c r="GY109" s="449"/>
      <c r="GZ109" s="449"/>
      <c r="HA109" s="449"/>
      <c r="HB109" s="449"/>
      <c r="HC109" s="449"/>
      <c r="HD109" s="449"/>
      <c r="HE109" s="449"/>
      <c r="HF109" s="449"/>
      <c r="HG109" s="449"/>
      <c r="HH109" s="449"/>
      <c r="HI109" s="449"/>
      <c r="HJ109" s="449"/>
      <c r="HK109" s="449"/>
      <c r="HL109" s="449"/>
      <c r="HM109" s="449"/>
      <c r="HN109" s="449"/>
      <c r="HO109" s="449"/>
      <c r="HP109" s="449"/>
      <c r="HQ109" s="449"/>
      <c r="HR109" s="449"/>
      <c r="HS109" s="449"/>
      <c r="HT109" s="449"/>
      <c r="HU109" s="449"/>
      <c r="HV109" s="449"/>
      <c r="HW109" s="449"/>
      <c r="HX109" s="449"/>
      <c r="HY109" s="449"/>
      <c r="HZ109" s="449"/>
      <c r="IA109" s="449"/>
      <c r="IB109" s="449"/>
      <c r="IC109" s="449"/>
      <c r="ID109" s="449"/>
      <c r="IE109" s="449"/>
      <c r="IF109" s="449"/>
      <c r="IG109" s="449"/>
      <c r="IH109" s="449"/>
      <c r="II109" s="449"/>
      <c r="IJ109" s="449"/>
      <c r="IK109" s="449"/>
      <c r="IL109" s="449"/>
      <c r="IM109" s="449"/>
      <c r="IN109" s="449"/>
      <c r="IO109" s="449"/>
      <c r="IP109" s="449"/>
      <c r="IQ109" s="449"/>
      <c r="IR109" s="449"/>
      <c r="IS109" s="449"/>
      <c r="IT109" s="449"/>
      <c r="IU109" s="449"/>
      <c r="IV109" s="449"/>
      <c r="IW109" s="449"/>
      <c r="IX109" s="449"/>
    </row>
    <row r="110" spans="3:258" x14ac:dyDescent="0.2">
      <c r="C110" s="392" t="s">
        <v>875</v>
      </c>
      <c r="D110" s="393" t="s">
        <v>877</v>
      </c>
      <c r="E110" s="392" t="s">
        <v>1046</v>
      </c>
      <c r="F110" s="392"/>
      <c r="G110" s="393">
        <v>498</v>
      </c>
      <c r="H110" s="393">
        <v>148</v>
      </c>
      <c r="I110" s="393">
        <v>25</v>
      </c>
      <c r="J110" s="393">
        <v>3.79</v>
      </c>
      <c r="K110" s="397">
        <v>1085</v>
      </c>
      <c r="L110" s="398">
        <f>K110*0.65</f>
        <v>705.25</v>
      </c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49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49"/>
      <c r="CV110" s="449"/>
      <c r="CW110" s="449"/>
      <c r="CX110" s="449"/>
      <c r="CY110" s="449"/>
      <c r="CZ110" s="449"/>
      <c r="DA110" s="449"/>
      <c r="DB110" s="449"/>
      <c r="DC110" s="449"/>
      <c r="DD110" s="449"/>
      <c r="DE110" s="449"/>
      <c r="DF110" s="449"/>
      <c r="DG110" s="449"/>
      <c r="DH110" s="449"/>
      <c r="DI110" s="449"/>
      <c r="DJ110" s="449"/>
      <c r="DK110" s="449"/>
      <c r="DL110" s="449"/>
      <c r="DM110" s="449"/>
      <c r="DN110" s="449"/>
      <c r="DO110" s="449"/>
      <c r="DP110" s="449"/>
      <c r="DQ110" s="449"/>
      <c r="DR110" s="449"/>
      <c r="DS110" s="449"/>
      <c r="DT110" s="449"/>
      <c r="DU110" s="449"/>
      <c r="DV110" s="449"/>
      <c r="DW110" s="449"/>
      <c r="DX110" s="449"/>
      <c r="DY110" s="449"/>
      <c r="DZ110" s="449"/>
      <c r="EA110" s="449"/>
      <c r="EB110" s="449"/>
      <c r="EC110" s="449"/>
      <c r="ED110" s="449"/>
      <c r="EE110" s="449"/>
      <c r="EF110" s="449"/>
      <c r="EG110" s="449"/>
      <c r="EH110" s="449"/>
      <c r="EI110" s="449"/>
      <c r="EJ110" s="449"/>
      <c r="EK110" s="449"/>
      <c r="EL110" s="449"/>
      <c r="EM110" s="449"/>
      <c r="EN110" s="449"/>
      <c r="EO110" s="449"/>
      <c r="EP110" s="449"/>
      <c r="EQ110" s="449"/>
      <c r="ER110" s="449"/>
      <c r="ES110" s="449"/>
      <c r="ET110" s="449"/>
      <c r="EU110" s="449"/>
      <c r="EV110" s="449"/>
      <c r="EW110" s="449"/>
      <c r="EX110" s="449"/>
      <c r="EY110" s="449"/>
      <c r="EZ110" s="449"/>
      <c r="FA110" s="449"/>
      <c r="FB110" s="449"/>
      <c r="FC110" s="449"/>
      <c r="FD110" s="449"/>
      <c r="FE110" s="449"/>
      <c r="FF110" s="449"/>
      <c r="FG110" s="449"/>
      <c r="FH110" s="449"/>
      <c r="FI110" s="449"/>
      <c r="FJ110" s="449"/>
      <c r="FK110" s="449"/>
      <c r="FL110" s="449"/>
      <c r="FM110" s="449"/>
      <c r="FN110" s="449"/>
      <c r="FO110" s="449"/>
      <c r="FP110" s="449"/>
      <c r="FQ110" s="449"/>
      <c r="FR110" s="449"/>
      <c r="FS110" s="449"/>
      <c r="FT110" s="449"/>
      <c r="FU110" s="449"/>
      <c r="FV110" s="449"/>
      <c r="FW110" s="449"/>
      <c r="FX110" s="449"/>
      <c r="FY110" s="449"/>
      <c r="FZ110" s="449"/>
      <c r="GA110" s="449"/>
      <c r="GB110" s="449"/>
      <c r="GC110" s="449"/>
      <c r="GD110" s="449"/>
      <c r="GE110" s="449"/>
      <c r="GF110" s="449"/>
      <c r="GG110" s="449"/>
      <c r="GH110" s="449"/>
      <c r="GI110" s="449"/>
      <c r="GJ110" s="449"/>
      <c r="GK110" s="449"/>
      <c r="GL110" s="449"/>
      <c r="GM110" s="449"/>
      <c r="GN110" s="449"/>
      <c r="GO110" s="449"/>
      <c r="GP110" s="449"/>
      <c r="GQ110" s="449"/>
      <c r="GR110" s="449"/>
      <c r="GS110" s="449"/>
      <c r="GT110" s="449"/>
      <c r="GU110" s="449"/>
      <c r="GV110" s="449"/>
      <c r="GW110" s="449"/>
      <c r="GX110" s="449"/>
      <c r="GY110" s="449"/>
      <c r="GZ110" s="449"/>
      <c r="HA110" s="449"/>
      <c r="HB110" s="449"/>
      <c r="HC110" s="449"/>
      <c r="HD110" s="449"/>
      <c r="HE110" s="449"/>
      <c r="HF110" s="449"/>
      <c r="HG110" s="449"/>
      <c r="HH110" s="449"/>
      <c r="HI110" s="449"/>
      <c r="HJ110" s="449"/>
      <c r="HK110" s="449"/>
      <c r="HL110" s="449"/>
      <c r="HM110" s="449"/>
      <c r="HN110" s="449"/>
      <c r="HO110" s="449"/>
      <c r="HP110" s="449"/>
      <c r="HQ110" s="449"/>
      <c r="HR110" s="449"/>
      <c r="HS110" s="449"/>
      <c r="HT110" s="449"/>
      <c r="HU110" s="449"/>
      <c r="HV110" s="449"/>
      <c r="HW110" s="449"/>
      <c r="HX110" s="449"/>
      <c r="HY110" s="449"/>
      <c r="HZ110" s="449"/>
      <c r="IA110" s="449"/>
      <c r="IB110" s="449"/>
      <c r="IC110" s="449"/>
      <c r="ID110" s="449"/>
      <c r="IE110" s="449"/>
      <c r="IF110" s="449"/>
      <c r="IG110" s="449"/>
      <c r="IH110" s="449"/>
      <c r="II110" s="449"/>
      <c r="IJ110" s="449"/>
      <c r="IK110" s="449"/>
      <c r="IL110" s="449"/>
      <c r="IM110" s="449"/>
      <c r="IN110" s="449"/>
      <c r="IO110" s="449"/>
      <c r="IP110" s="449"/>
      <c r="IQ110" s="449"/>
      <c r="IR110" s="449"/>
      <c r="IS110" s="449"/>
      <c r="IT110" s="449"/>
      <c r="IU110" s="449"/>
      <c r="IV110" s="449"/>
      <c r="IW110" s="449"/>
      <c r="IX110" s="449"/>
    </row>
    <row r="111" spans="3:258" x14ac:dyDescent="0.2">
      <c r="C111" s="392" t="s">
        <v>878</v>
      </c>
      <c r="D111" s="393" t="s">
        <v>880</v>
      </c>
      <c r="E111" s="392" t="s">
        <v>879</v>
      </c>
      <c r="F111" s="392"/>
      <c r="G111" s="393">
        <v>498</v>
      </c>
      <c r="H111" s="393">
        <v>148</v>
      </c>
      <c r="I111" s="393">
        <v>35</v>
      </c>
      <c r="J111" s="393">
        <v>4.43</v>
      </c>
      <c r="K111" s="397">
        <v>1345</v>
      </c>
      <c r="L111" s="398">
        <f>K111*0.65</f>
        <v>874.25</v>
      </c>
      <c r="M111" s="449"/>
      <c r="N111" s="449"/>
      <c r="O111" s="449"/>
      <c r="P111" s="449"/>
      <c r="Q111" s="449"/>
      <c r="R111" s="449"/>
      <c r="S111" s="449"/>
      <c r="T111" s="449"/>
      <c r="U111" s="449"/>
      <c r="V111" s="449"/>
      <c r="W111" s="449"/>
      <c r="X111" s="449"/>
      <c r="Y111" s="449"/>
      <c r="Z111" s="449"/>
      <c r="AA111" s="449"/>
      <c r="AB111" s="449"/>
      <c r="AC111" s="449"/>
      <c r="AD111" s="449"/>
      <c r="AE111" s="449"/>
      <c r="AF111" s="449"/>
      <c r="AG111" s="449"/>
      <c r="AH111" s="449"/>
      <c r="AI111" s="449"/>
      <c r="AJ111" s="449"/>
      <c r="AK111" s="449"/>
      <c r="AL111" s="449"/>
      <c r="AM111" s="449"/>
      <c r="AN111" s="449"/>
      <c r="AO111" s="449"/>
      <c r="AP111" s="449"/>
      <c r="AQ111" s="449"/>
      <c r="AR111" s="449"/>
      <c r="AS111" s="449"/>
      <c r="AT111" s="449"/>
      <c r="AU111" s="449"/>
      <c r="AV111" s="449"/>
      <c r="AW111" s="449"/>
      <c r="AX111" s="449"/>
      <c r="AY111" s="449"/>
      <c r="AZ111" s="449"/>
      <c r="BA111" s="449"/>
      <c r="BB111" s="449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49"/>
      <c r="CV111" s="449"/>
      <c r="CW111" s="449"/>
      <c r="CX111" s="449"/>
      <c r="CY111" s="449"/>
      <c r="CZ111" s="449"/>
      <c r="DA111" s="449"/>
      <c r="DB111" s="449"/>
      <c r="DC111" s="449"/>
      <c r="DD111" s="449"/>
      <c r="DE111" s="449"/>
      <c r="DF111" s="449"/>
      <c r="DG111" s="449"/>
      <c r="DH111" s="449"/>
      <c r="DI111" s="449"/>
      <c r="DJ111" s="449"/>
      <c r="DK111" s="449"/>
      <c r="DL111" s="449"/>
      <c r="DM111" s="449"/>
      <c r="DN111" s="449"/>
      <c r="DO111" s="449"/>
      <c r="DP111" s="449"/>
      <c r="DQ111" s="449"/>
      <c r="DR111" s="449"/>
      <c r="DS111" s="449"/>
      <c r="DT111" s="449"/>
      <c r="DU111" s="449"/>
      <c r="DV111" s="449"/>
      <c r="DW111" s="449"/>
      <c r="DX111" s="449"/>
      <c r="DY111" s="449"/>
      <c r="DZ111" s="449"/>
      <c r="EA111" s="449"/>
      <c r="EB111" s="449"/>
      <c r="EC111" s="449"/>
      <c r="ED111" s="449"/>
      <c r="EE111" s="449"/>
      <c r="EF111" s="449"/>
      <c r="EG111" s="449"/>
      <c r="EH111" s="449"/>
      <c r="EI111" s="449"/>
      <c r="EJ111" s="449"/>
      <c r="EK111" s="449"/>
      <c r="EL111" s="449"/>
      <c r="EM111" s="449"/>
      <c r="EN111" s="449"/>
      <c r="EO111" s="449"/>
      <c r="EP111" s="449"/>
      <c r="EQ111" s="449"/>
      <c r="ER111" s="449"/>
      <c r="ES111" s="449"/>
      <c r="ET111" s="449"/>
      <c r="EU111" s="449"/>
      <c r="EV111" s="449"/>
      <c r="EW111" s="449"/>
      <c r="EX111" s="449"/>
      <c r="EY111" s="449"/>
      <c r="EZ111" s="449"/>
      <c r="FA111" s="449"/>
      <c r="FB111" s="449"/>
      <c r="FC111" s="449"/>
      <c r="FD111" s="449"/>
      <c r="FE111" s="449"/>
      <c r="FF111" s="449"/>
      <c r="FG111" s="449"/>
      <c r="FH111" s="449"/>
      <c r="FI111" s="449"/>
      <c r="FJ111" s="449"/>
      <c r="FK111" s="449"/>
      <c r="FL111" s="449"/>
      <c r="FM111" s="449"/>
      <c r="FN111" s="449"/>
      <c r="FO111" s="449"/>
      <c r="FP111" s="449"/>
      <c r="FQ111" s="449"/>
      <c r="FR111" s="449"/>
      <c r="FS111" s="449"/>
      <c r="FT111" s="449"/>
      <c r="FU111" s="449"/>
      <c r="FV111" s="449"/>
      <c r="FW111" s="449"/>
      <c r="FX111" s="449"/>
      <c r="FY111" s="449"/>
      <c r="FZ111" s="449"/>
      <c r="GA111" s="449"/>
      <c r="GB111" s="449"/>
      <c r="GC111" s="449"/>
      <c r="GD111" s="449"/>
      <c r="GE111" s="449"/>
      <c r="GF111" s="449"/>
      <c r="GG111" s="449"/>
      <c r="GH111" s="449"/>
      <c r="GI111" s="449"/>
      <c r="GJ111" s="449"/>
      <c r="GK111" s="449"/>
      <c r="GL111" s="449"/>
      <c r="GM111" s="449"/>
      <c r="GN111" s="449"/>
      <c r="GO111" s="449"/>
      <c r="GP111" s="449"/>
      <c r="GQ111" s="449"/>
      <c r="GR111" s="449"/>
      <c r="GS111" s="449"/>
      <c r="GT111" s="449"/>
      <c r="GU111" s="449"/>
      <c r="GV111" s="449"/>
      <c r="GW111" s="449"/>
      <c r="GX111" s="449"/>
      <c r="GY111" s="449"/>
      <c r="GZ111" s="449"/>
      <c r="HA111" s="449"/>
      <c r="HB111" s="449"/>
      <c r="HC111" s="449"/>
      <c r="HD111" s="449"/>
      <c r="HE111" s="449"/>
      <c r="HF111" s="449"/>
      <c r="HG111" s="449"/>
      <c r="HH111" s="449"/>
      <c r="HI111" s="449"/>
      <c r="HJ111" s="449"/>
      <c r="HK111" s="449"/>
      <c r="HL111" s="449"/>
      <c r="HM111" s="449"/>
      <c r="HN111" s="449"/>
      <c r="HO111" s="449"/>
      <c r="HP111" s="449"/>
      <c r="HQ111" s="449"/>
      <c r="HR111" s="449"/>
      <c r="HS111" s="449"/>
      <c r="HT111" s="449"/>
      <c r="HU111" s="449"/>
      <c r="HV111" s="449"/>
      <c r="HW111" s="449"/>
      <c r="HX111" s="449"/>
      <c r="HY111" s="449"/>
      <c r="HZ111" s="449"/>
      <c r="IA111" s="449"/>
      <c r="IB111" s="449"/>
      <c r="IC111" s="449"/>
      <c r="ID111" s="449"/>
      <c r="IE111" s="449"/>
      <c r="IF111" s="449"/>
      <c r="IG111" s="449"/>
      <c r="IH111" s="449"/>
      <c r="II111" s="449"/>
      <c r="IJ111" s="449"/>
      <c r="IK111" s="449"/>
      <c r="IL111" s="449"/>
      <c r="IM111" s="449"/>
      <c r="IN111" s="449"/>
      <c r="IO111" s="449"/>
      <c r="IP111" s="449"/>
      <c r="IQ111" s="449"/>
      <c r="IR111" s="449"/>
      <c r="IS111" s="449"/>
      <c r="IT111" s="449"/>
      <c r="IU111" s="449"/>
      <c r="IV111" s="449"/>
      <c r="IW111" s="449"/>
      <c r="IX111" s="449"/>
    </row>
    <row r="112" spans="3:258" x14ac:dyDescent="0.2">
      <c r="C112" s="388" t="s">
        <v>881</v>
      </c>
      <c r="D112" s="389"/>
      <c r="E112" s="389"/>
      <c r="F112" s="389"/>
      <c r="G112" s="389"/>
      <c r="H112" s="389"/>
      <c r="I112" s="389"/>
      <c r="J112" s="389"/>
      <c r="K112" s="390"/>
      <c r="L112" s="391" t="str">
        <f>IFERROR(K112/#REF!-1,"")</f>
        <v/>
      </c>
      <c r="M112" s="449"/>
      <c r="N112" s="449"/>
      <c r="O112" s="449"/>
      <c r="P112" s="449"/>
      <c r="Q112" s="449"/>
      <c r="R112" s="449"/>
      <c r="S112" s="449"/>
      <c r="T112" s="449"/>
      <c r="U112" s="449"/>
      <c r="V112" s="449"/>
      <c r="W112" s="449"/>
      <c r="X112" s="449"/>
      <c r="Y112" s="449"/>
      <c r="Z112" s="449"/>
      <c r="AA112" s="449"/>
      <c r="AB112" s="449"/>
      <c r="AC112" s="449"/>
      <c r="AD112" s="449"/>
      <c r="AE112" s="449"/>
      <c r="AF112" s="449"/>
      <c r="AG112" s="449"/>
      <c r="AH112" s="449"/>
      <c r="AI112" s="449"/>
      <c r="AJ112" s="449"/>
      <c r="AK112" s="449"/>
      <c r="AL112" s="449"/>
      <c r="AM112" s="449"/>
      <c r="AN112" s="449"/>
      <c r="AO112" s="449"/>
      <c r="AP112" s="449"/>
      <c r="AQ112" s="449"/>
      <c r="AR112" s="449"/>
      <c r="AS112" s="449"/>
      <c r="AT112" s="449"/>
      <c r="AU112" s="449"/>
      <c r="AV112" s="449"/>
      <c r="AW112" s="449"/>
      <c r="AX112" s="449"/>
      <c r="AY112" s="449"/>
      <c r="AZ112" s="449"/>
      <c r="BA112" s="449"/>
      <c r="BB112" s="449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49"/>
      <c r="CV112" s="449"/>
      <c r="CW112" s="449"/>
      <c r="CX112" s="449"/>
      <c r="CY112" s="449"/>
      <c r="CZ112" s="449"/>
      <c r="DA112" s="449"/>
      <c r="DB112" s="449"/>
      <c r="DC112" s="449"/>
      <c r="DD112" s="449"/>
      <c r="DE112" s="449"/>
      <c r="DF112" s="449"/>
      <c r="DG112" s="449"/>
      <c r="DH112" s="449"/>
      <c r="DI112" s="449"/>
      <c r="DJ112" s="449"/>
      <c r="DK112" s="449"/>
      <c r="DL112" s="449"/>
      <c r="DM112" s="449"/>
      <c r="DN112" s="449"/>
      <c r="DO112" s="449"/>
      <c r="DP112" s="449"/>
      <c r="DQ112" s="449"/>
      <c r="DR112" s="449"/>
      <c r="DS112" s="449"/>
      <c r="DT112" s="449"/>
      <c r="DU112" s="449"/>
      <c r="DV112" s="449"/>
      <c r="DW112" s="449"/>
      <c r="DX112" s="449"/>
      <c r="DY112" s="449"/>
      <c r="DZ112" s="449"/>
      <c r="EA112" s="449"/>
      <c r="EB112" s="449"/>
      <c r="EC112" s="449"/>
      <c r="ED112" s="449"/>
      <c r="EE112" s="449"/>
      <c r="EF112" s="449"/>
      <c r="EG112" s="449"/>
      <c r="EH112" s="449"/>
      <c r="EI112" s="449"/>
      <c r="EJ112" s="449"/>
      <c r="EK112" s="449"/>
      <c r="EL112" s="449"/>
      <c r="EM112" s="449"/>
      <c r="EN112" s="449"/>
      <c r="EO112" s="449"/>
      <c r="EP112" s="449"/>
      <c r="EQ112" s="449"/>
      <c r="ER112" s="449"/>
      <c r="ES112" s="449"/>
      <c r="ET112" s="449"/>
      <c r="EU112" s="449"/>
      <c r="EV112" s="449"/>
      <c r="EW112" s="449"/>
      <c r="EX112" s="449"/>
      <c r="EY112" s="449"/>
      <c r="EZ112" s="449"/>
      <c r="FA112" s="449"/>
      <c r="FB112" s="449"/>
      <c r="FC112" s="449"/>
      <c r="FD112" s="449"/>
      <c r="FE112" s="449"/>
      <c r="FF112" s="449"/>
      <c r="FG112" s="449"/>
      <c r="FH112" s="449"/>
      <c r="FI112" s="449"/>
      <c r="FJ112" s="449"/>
      <c r="FK112" s="449"/>
      <c r="FL112" s="449"/>
      <c r="FM112" s="449"/>
      <c r="FN112" s="449"/>
      <c r="FO112" s="449"/>
      <c r="FP112" s="449"/>
      <c r="FQ112" s="449"/>
      <c r="FR112" s="449"/>
      <c r="FS112" s="449"/>
      <c r="FT112" s="449"/>
      <c r="FU112" s="449"/>
      <c r="FV112" s="449"/>
      <c r="FW112" s="449"/>
      <c r="FX112" s="449"/>
      <c r="FY112" s="449"/>
      <c r="FZ112" s="449"/>
      <c r="GA112" s="449"/>
      <c r="GB112" s="449"/>
      <c r="GC112" s="449"/>
      <c r="GD112" s="449"/>
      <c r="GE112" s="449"/>
      <c r="GF112" s="449"/>
      <c r="GG112" s="449"/>
      <c r="GH112" s="449"/>
      <c r="GI112" s="449"/>
      <c r="GJ112" s="449"/>
      <c r="GK112" s="449"/>
      <c r="GL112" s="449"/>
      <c r="GM112" s="449"/>
      <c r="GN112" s="449"/>
      <c r="GO112" s="449"/>
      <c r="GP112" s="449"/>
      <c r="GQ112" s="449"/>
      <c r="GR112" s="449"/>
      <c r="GS112" s="449"/>
      <c r="GT112" s="449"/>
      <c r="GU112" s="449"/>
      <c r="GV112" s="449"/>
      <c r="GW112" s="449"/>
      <c r="GX112" s="449"/>
      <c r="GY112" s="449"/>
      <c r="GZ112" s="449"/>
      <c r="HA112" s="449"/>
      <c r="HB112" s="449"/>
      <c r="HC112" s="449"/>
      <c r="HD112" s="449"/>
      <c r="HE112" s="449"/>
      <c r="HF112" s="449"/>
      <c r="HG112" s="449"/>
      <c r="HH112" s="449"/>
      <c r="HI112" s="449"/>
      <c r="HJ112" s="449"/>
      <c r="HK112" s="449"/>
      <c r="HL112" s="449"/>
      <c r="HM112" s="449"/>
      <c r="HN112" s="449"/>
      <c r="HO112" s="449"/>
      <c r="HP112" s="449"/>
      <c r="HQ112" s="449"/>
      <c r="HR112" s="449"/>
      <c r="HS112" s="449"/>
      <c r="HT112" s="449"/>
      <c r="HU112" s="449"/>
      <c r="HV112" s="449"/>
      <c r="HW112" s="449"/>
      <c r="HX112" s="449"/>
      <c r="HY112" s="449"/>
      <c r="HZ112" s="449"/>
      <c r="IA112" s="449"/>
      <c r="IB112" s="449"/>
      <c r="IC112" s="449"/>
      <c r="ID112" s="449"/>
      <c r="IE112" s="449"/>
      <c r="IF112" s="449"/>
      <c r="IG112" s="449"/>
      <c r="IH112" s="449"/>
      <c r="II112" s="449"/>
      <c r="IJ112" s="449"/>
      <c r="IK112" s="449"/>
      <c r="IL112" s="449"/>
      <c r="IM112" s="449"/>
      <c r="IN112" s="449"/>
      <c r="IO112" s="449"/>
      <c r="IP112" s="449"/>
      <c r="IQ112" s="449"/>
      <c r="IR112" s="449"/>
      <c r="IS112" s="449"/>
      <c r="IT112" s="449"/>
      <c r="IU112" s="449"/>
      <c r="IV112" s="449"/>
      <c r="IW112" s="449"/>
      <c r="IX112" s="449"/>
    </row>
    <row r="113" spans="3:258" x14ac:dyDescent="0.2">
      <c r="C113" s="392" t="s">
        <v>882</v>
      </c>
      <c r="D113" s="393" t="s">
        <v>877</v>
      </c>
      <c r="E113" s="392" t="s">
        <v>883</v>
      </c>
      <c r="F113" s="392"/>
      <c r="G113" s="393"/>
      <c r="H113" s="393"/>
      <c r="I113" s="393"/>
      <c r="J113" s="393"/>
      <c r="K113" s="454">
        <v>15</v>
      </c>
      <c r="L113" s="455">
        <f>K113*0.75</f>
        <v>11.25</v>
      </c>
      <c r="M113" s="449"/>
      <c r="N113" s="449"/>
      <c r="O113" s="449"/>
      <c r="P113" s="449"/>
      <c r="Q113" s="449"/>
      <c r="R113" s="449"/>
      <c r="S113" s="449"/>
      <c r="T113" s="449"/>
      <c r="U113" s="449"/>
      <c r="V113" s="449"/>
      <c r="W113" s="449"/>
      <c r="X113" s="449"/>
      <c r="Y113" s="449"/>
      <c r="Z113" s="449"/>
      <c r="AA113" s="449"/>
      <c r="AB113" s="449"/>
      <c r="AC113" s="449"/>
      <c r="AD113" s="449"/>
      <c r="AE113" s="449"/>
      <c r="AF113" s="449"/>
      <c r="AG113" s="449"/>
      <c r="AH113" s="449"/>
      <c r="AI113" s="449"/>
      <c r="AJ113" s="449"/>
      <c r="AK113" s="449"/>
      <c r="AL113" s="449"/>
      <c r="AM113" s="449"/>
      <c r="AN113" s="449"/>
      <c r="AO113" s="449"/>
      <c r="AP113" s="449"/>
      <c r="AQ113" s="449"/>
      <c r="AR113" s="449"/>
      <c r="AS113" s="449"/>
      <c r="AT113" s="449"/>
      <c r="AU113" s="449"/>
      <c r="AV113" s="449"/>
      <c r="AW113" s="449"/>
      <c r="AX113" s="449"/>
      <c r="AY113" s="449"/>
      <c r="AZ113" s="449"/>
      <c r="BA113" s="449"/>
      <c r="BB113" s="449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49"/>
      <c r="CV113" s="449"/>
      <c r="CW113" s="449"/>
      <c r="CX113" s="449"/>
      <c r="CY113" s="449"/>
      <c r="CZ113" s="449"/>
      <c r="DA113" s="449"/>
      <c r="DB113" s="449"/>
      <c r="DC113" s="449"/>
      <c r="DD113" s="449"/>
      <c r="DE113" s="449"/>
      <c r="DF113" s="449"/>
      <c r="DG113" s="449"/>
      <c r="DH113" s="449"/>
      <c r="DI113" s="449"/>
      <c r="DJ113" s="449"/>
      <c r="DK113" s="449"/>
      <c r="DL113" s="449"/>
      <c r="DM113" s="449"/>
      <c r="DN113" s="449"/>
      <c r="DO113" s="449"/>
      <c r="DP113" s="449"/>
      <c r="DQ113" s="449"/>
      <c r="DR113" s="449"/>
      <c r="DS113" s="449"/>
      <c r="DT113" s="449"/>
      <c r="DU113" s="449"/>
      <c r="DV113" s="449"/>
      <c r="DW113" s="449"/>
      <c r="DX113" s="449"/>
      <c r="DY113" s="449"/>
      <c r="DZ113" s="449"/>
      <c r="EA113" s="449"/>
      <c r="EB113" s="449"/>
      <c r="EC113" s="449"/>
      <c r="ED113" s="449"/>
      <c r="EE113" s="449"/>
      <c r="EF113" s="449"/>
      <c r="EG113" s="449"/>
      <c r="EH113" s="449"/>
      <c r="EI113" s="449"/>
      <c r="EJ113" s="449"/>
      <c r="EK113" s="449"/>
      <c r="EL113" s="449"/>
      <c r="EM113" s="449"/>
      <c r="EN113" s="449"/>
      <c r="EO113" s="449"/>
      <c r="EP113" s="449"/>
      <c r="EQ113" s="449"/>
      <c r="ER113" s="449"/>
      <c r="ES113" s="449"/>
      <c r="ET113" s="449"/>
      <c r="EU113" s="449"/>
      <c r="EV113" s="449"/>
      <c r="EW113" s="449"/>
      <c r="EX113" s="449"/>
      <c r="EY113" s="449"/>
      <c r="EZ113" s="449"/>
      <c r="FA113" s="449"/>
      <c r="FB113" s="449"/>
      <c r="FC113" s="449"/>
      <c r="FD113" s="449"/>
      <c r="FE113" s="449"/>
      <c r="FF113" s="449"/>
      <c r="FG113" s="449"/>
      <c r="FH113" s="449"/>
      <c r="FI113" s="449"/>
      <c r="FJ113" s="449"/>
      <c r="FK113" s="449"/>
      <c r="FL113" s="449"/>
      <c r="FM113" s="449"/>
      <c r="FN113" s="449"/>
      <c r="FO113" s="449"/>
      <c r="FP113" s="449"/>
      <c r="FQ113" s="449"/>
      <c r="FR113" s="449"/>
      <c r="FS113" s="449"/>
      <c r="FT113" s="449"/>
      <c r="FU113" s="449"/>
      <c r="FV113" s="449"/>
      <c r="FW113" s="449"/>
      <c r="FX113" s="449"/>
      <c r="FY113" s="449"/>
      <c r="FZ113" s="449"/>
      <c r="GA113" s="449"/>
      <c r="GB113" s="449"/>
      <c r="GC113" s="449"/>
      <c r="GD113" s="449"/>
      <c r="GE113" s="449"/>
      <c r="GF113" s="449"/>
      <c r="GG113" s="449"/>
      <c r="GH113" s="449"/>
      <c r="GI113" s="449"/>
      <c r="GJ113" s="449"/>
      <c r="GK113" s="449"/>
      <c r="GL113" s="449"/>
      <c r="GM113" s="449"/>
      <c r="GN113" s="449"/>
      <c r="GO113" s="449"/>
      <c r="GP113" s="449"/>
      <c r="GQ113" s="449"/>
      <c r="GR113" s="449"/>
      <c r="GS113" s="449"/>
      <c r="GT113" s="449"/>
      <c r="GU113" s="449"/>
      <c r="GV113" s="449"/>
      <c r="GW113" s="449"/>
      <c r="GX113" s="449"/>
      <c r="GY113" s="449"/>
      <c r="GZ113" s="449"/>
      <c r="HA113" s="449"/>
      <c r="HB113" s="449"/>
      <c r="HC113" s="449"/>
      <c r="HD113" s="449"/>
      <c r="HE113" s="449"/>
      <c r="HF113" s="449"/>
      <c r="HG113" s="449"/>
      <c r="HH113" s="449"/>
      <c r="HI113" s="449"/>
      <c r="HJ113" s="449"/>
      <c r="HK113" s="449"/>
      <c r="HL113" s="449"/>
      <c r="HM113" s="449"/>
      <c r="HN113" s="449"/>
      <c r="HO113" s="449"/>
      <c r="HP113" s="449"/>
      <c r="HQ113" s="449"/>
      <c r="HR113" s="449"/>
      <c r="HS113" s="449"/>
      <c r="HT113" s="449"/>
      <c r="HU113" s="449"/>
      <c r="HV113" s="449"/>
      <c r="HW113" s="449"/>
      <c r="HX113" s="449"/>
      <c r="HY113" s="449"/>
      <c r="HZ113" s="449"/>
      <c r="IA113" s="449"/>
      <c r="IB113" s="449"/>
      <c r="IC113" s="449"/>
      <c r="ID113" s="449"/>
      <c r="IE113" s="449"/>
      <c r="IF113" s="449"/>
      <c r="IG113" s="449"/>
      <c r="IH113" s="449"/>
      <c r="II113" s="449"/>
      <c r="IJ113" s="449"/>
      <c r="IK113" s="449"/>
      <c r="IL113" s="449"/>
      <c r="IM113" s="449"/>
      <c r="IN113" s="449"/>
      <c r="IO113" s="449"/>
      <c r="IP113" s="449"/>
      <c r="IQ113" s="449"/>
      <c r="IR113" s="449"/>
      <c r="IS113" s="449"/>
      <c r="IT113" s="449"/>
      <c r="IU113" s="449"/>
      <c r="IV113" s="449"/>
      <c r="IW113" s="449"/>
      <c r="IX113" s="449"/>
    </row>
    <row r="114" spans="3:258" x14ac:dyDescent="0.2">
      <c r="C114" s="392" t="s">
        <v>884</v>
      </c>
      <c r="D114" s="393" t="s">
        <v>877</v>
      </c>
      <c r="E114" s="392" t="s">
        <v>885</v>
      </c>
      <c r="F114" s="392"/>
      <c r="G114" s="393"/>
      <c r="H114" s="393"/>
      <c r="I114" s="393"/>
      <c r="J114" s="393"/>
      <c r="K114" s="454">
        <v>15</v>
      </c>
      <c r="L114" s="455">
        <f>K114*0.75</f>
        <v>11.25</v>
      </c>
      <c r="M114" s="449"/>
      <c r="N114" s="449"/>
      <c r="O114" s="449"/>
      <c r="P114" s="449"/>
      <c r="Q114" s="449"/>
      <c r="R114" s="449"/>
      <c r="S114" s="449"/>
      <c r="T114" s="449"/>
      <c r="U114" s="449"/>
      <c r="V114" s="449"/>
      <c r="W114" s="449"/>
      <c r="X114" s="449"/>
      <c r="Y114" s="449"/>
      <c r="Z114" s="449"/>
      <c r="AA114" s="449"/>
      <c r="AB114" s="449"/>
      <c r="AC114" s="449"/>
      <c r="AD114" s="449"/>
      <c r="AE114" s="449"/>
      <c r="AF114" s="449"/>
      <c r="AG114" s="449"/>
      <c r="AH114" s="449"/>
      <c r="AI114" s="449"/>
      <c r="AJ114" s="449"/>
      <c r="AK114" s="449"/>
      <c r="AL114" s="449"/>
      <c r="AM114" s="449"/>
      <c r="AN114" s="449"/>
      <c r="AO114" s="449"/>
      <c r="AP114" s="449"/>
      <c r="AQ114" s="449"/>
      <c r="AR114" s="449"/>
      <c r="AS114" s="449"/>
      <c r="AT114" s="449"/>
      <c r="AU114" s="449"/>
      <c r="AV114" s="449"/>
      <c r="AW114" s="449"/>
      <c r="AX114" s="449"/>
      <c r="AY114" s="449"/>
      <c r="AZ114" s="449"/>
      <c r="BA114" s="449"/>
      <c r="BB114" s="449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49"/>
      <c r="CV114" s="449"/>
      <c r="CW114" s="449"/>
      <c r="CX114" s="449"/>
      <c r="CY114" s="449"/>
      <c r="CZ114" s="449"/>
      <c r="DA114" s="449"/>
      <c r="DB114" s="449"/>
      <c r="DC114" s="449"/>
      <c r="DD114" s="449"/>
      <c r="DE114" s="449"/>
      <c r="DF114" s="449"/>
      <c r="DG114" s="449"/>
      <c r="DH114" s="449"/>
      <c r="DI114" s="449"/>
      <c r="DJ114" s="449"/>
      <c r="DK114" s="449"/>
      <c r="DL114" s="449"/>
      <c r="DM114" s="449"/>
      <c r="DN114" s="449"/>
      <c r="DO114" s="449"/>
      <c r="DP114" s="449"/>
      <c r="DQ114" s="449"/>
      <c r="DR114" s="449"/>
      <c r="DS114" s="449"/>
      <c r="DT114" s="449"/>
      <c r="DU114" s="449"/>
      <c r="DV114" s="449"/>
      <c r="DW114" s="449"/>
      <c r="DX114" s="449"/>
      <c r="DY114" s="449"/>
      <c r="DZ114" s="449"/>
      <c r="EA114" s="449"/>
      <c r="EB114" s="449"/>
      <c r="EC114" s="449"/>
      <c r="ED114" s="449"/>
      <c r="EE114" s="449"/>
      <c r="EF114" s="449"/>
      <c r="EG114" s="449"/>
      <c r="EH114" s="449"/>
      <c r="EI114" s="449"/>
      <c r="EJ114" s="449"/>
      <c r="EK114" s="449"/>
      <c r="EL114" s="449"/>
      <c r="EM114" s="449"/>
      <c r="EN114" s="449"/>
      <c r="EO114" s="449"/>
      <c r="EP114" s="449"/>
      <c r="EQ114" s="449"/>
      <c r="ER114" s="449"/>
      <c r="ES114" s="449"/>
      <c r="ET114" s="449"/>
      <c r="EU114" s="449"/>
      <c r="EV114" s="449"/>
      <c r="EW114" s="449"/>
      <c r="EX114" s="449"/>
      <c r="EY114" s="449"/>
      <c r="EZ114" s="449"/>
      <c r="FA114" s="449"/>
      <c r="FB114" s="449"/>
      <c r="FC114" s="449"/>
      <c r="FD114" s="449"/>
      <c r="FE114" s="449"/>
      <c r="FF114" s="449"/>
      <c r="FG114" s="449"/>
      <c r="FH114" s="449"/>
      <c r="FI114" s="449"/>
      <c r="FJ114" s="449"/>
      <c r="FK114" s="449"/>
      <c r="FL114" s="449"/>
      <c r="FM114" s="449"/>
      <c r="FN114" s="449"/>
      <c r="FO114" s="449"/>
      <c r="FP114" s="449"/>
      <c r="FQ114" s="449"/>
      <c r="FR114" s="449"/>
      <c r="FS114" s="449"/>
      <c r="FT114" s="449"/>
      <c r="FU114" s="449"/>
      <c r="FV114" s="449"/>
      <c r="FW114" s="449"/>
      <c r="FX114" s="449"/>
      <c r="FY114" s="449"/>
      <c r="FZ114" s="449"/>
      <c r="GA114" s="449"/>
      <c r="GB114" s="449"/>
      <c r="GC114" s="449"/>
      <c r="GD114" s="449"/>
      <c r="GE114" s="449"/>
      <c r="GF114" s="449"/>
      <c r="GG114" s="449"/>
      <c r="GH114" s="449"/>
      <c r="GI114" s="449"/>
      <c r="GJ114" s="449"/>
      <c r="GK114" s="449"/>
      <c r="GL114" s="449"/>
      <c r="GM114" s="449"/>
      <c r="GN114" s="449"/>
      <c r="GO114" s="449"/>
      <c r="GP114" s="449"/>
      <c r="GQ114" s="449"/>
      <c r="GR114" s="449"/>
      <c r="GS114" s="449"/>
      <c r="GT114" s="449"/>
      <c r="GU114" s="449"/>
      <c r="GV114" s="449"/>
      <c r="GW114" s="449"/>
      <c r="GX114" s="449"/>
      <c r="GY114" s="449"/>
      <c r="GZ114" s="449"/>
      <c r="HA114" s="449"/>
      <c r="HB114" s="449"/>
      <c r="HC114" s="449"/>
      <c r="HD114" s="449"/>
      <c r="HE114" s="449"/>
      <c r="HF114" s="449"/>
      <c r="HG114" s="449"/>
      <c r="HH114" s="449"/>
      <c r="HI114" s="449"/>
      <c r="HJ114" s="449"/>
      <c r="HK114" s="449"/>
      <c r="HL114" s="449"/>
      <c r="HM114" s="449"/>
      <c r="HN114" s="449"/>
      <c r="HO114" s="449"/>
      <c r="HP114" s="449"/>
      <c r="HQ114" s="449"/>
      <c r="HR114" s="449"/>
      <c r="HS114" s="449"/>
      <c r="HT114" s="449"/>
      <c r="HU114" s="449"/>
      <c r="HV114" s="449"/>
      <c r="HW114" s="449"/>
      <c r="HX114" s="449"/>
      <c r="HY114" s="449"/>
      <c r="HZ114" s="449"/>
      <c r="IA114" s="449"/>
      <c r="IB114" s="449"/>
      <c r="IC114" s="449"/>
      <c r="ID114" s="449"/>
      <c r="IE114" s="449"/>
      <c r="IF114" s="449"/>
      <c r="IG114" s="449"/>
      <c r="IH114" s="449"/>
      <c r="II114" s="449"/>
      <c r="IJ114" s="449"/>
      <c r="IK114" s="449"/>
      <c r="IL114" s="449"/>
      <c r="IM114" s="449"/>
      <c r="IN114" s="449"/>
      <c r="IO114" s="449"/>
      <c r="IP114" s="449"/>
      <c r="IQ114" s="449"/>
      <c r="IR114" s="449"/>
      <c r="IS114" s="449"/>
      <c r="IT114" s="449"/>
      <c r="IU114" s="449"/>
      <c r="IV114" s="449"/>
      <c r="IW114" s="449"/>
      <c r="IX114" s="449"/>
    </row>
    <row r="115" spans="3:258" x14ac:dyDescent="0.2">
      <c r="C115" s="388" t="s">
        <v>886</v>
      </c>
      <c r="D115" s="389"/>
      <c r="E115" s="389"/>
      <c r="F115" s="389"/>
      <c r="G115" s="389"/>
      <c r="H115" s="389"/>
      <c r="I115" s="389"/>
      <c r="J115" s="389"/>
      <c r="K115" s="390"/>
      <c r="L115" s="391" t="str">
        <f>IFERROR(K115/#REF!-1,"")</f>
        <v/>
      </c>
      <c r="M115" s="449"/>
      <c r="N115" s="449"/>
      <c r="O115" s="449"/>
      <c r="P115" s="449"/>
      <c r="Q115" s="449"/>
      <c r="R115" s="449"/>
      <c r="S115" s="449"/>
      <c r="T115" s="449"/>
      <c r="U115" s="449"/>
      <c r="V115" s="449"/>
      <c r="W115" s="449"/>
      <c r="X115" s="449"/>
      <c r="Y115" s="449"/>
      <c r="Z115" s="449"/>
      <c r="AA115" s="449"/>
      <c r="AB115" s="449"/>
      <c r="AC115" s="449"/>
      <c r="AD115" s="449"/>
      <c r="AE115" s="449"/>
      <c r="AF115" s="449"/>
      <c r="AG115" s="449"/>
      <c r="AH115" s="449"/>
      <c r="AI115" s="449"/>
      <c r="AJ115" s="449"/>
      <c r="AK115" s="449"/>
      <c r="AL115" s="449"/>
      <c r="AM115" s="449"/>
      <c r="AN115" s="449"/>
      <c r="AO115" s="449"/>
      <c r="AP115" s="449"/>
      <c r="AQ115" s="449"/>
      <c r="AR115" s="449"/>
      <c r="AS115" s="449"/>
      <c r="AT115" s="449"/>
      <c r="AU115" s="449"/>
      <c r="AV115" s="449"/>
      <c r="AW115" s="449"/>
      <c r="AX115" s="449"/>
      <c r="AY115" s="449"/>
      <c r="AZ115" s="449"/>
      <c r="BA115" s="449"/>
      <c r="BB115" s="449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49"/>
      <c r="CV115" s="449"/>
      <c r="CW115" s="449"/>
      <c r="CX115" s="449"/>
      <c r="CY115" s="449"/>
      <c r="CZ115" s="449"/>
      <c r="DA115" s="449"/>
      <c r="DB115" s="449"/>
      <c r="DC115" s="449"/>
      <c r="DD115" s="449"/>
      <c r="DE115" s="449"/>
      <c r="DF115" s="449"/>
      <c r="DG115" s="449"/>
      <c r="DH115" s="449"/>
      <c r="DI115" s="449"/>
      <c r="DJ115" s="449"/>
      <c r="DK115" s="449"/>
      <c r="DL115" s="449"/>
      <c r="DM115" s="449"/>
      <c r="DN115" s="449"/>
      <c r="DO115" s="449"/>
      <c r="DP115" s="449"/>
      <c r="DQ115" s="449"/>
      <c r="DR115" s="449"/>
      <c r="DS115" s="449"/>
      <c r="DT115" s="449"/>
      <c r="DU115" s="449"/>
      <c r="DV115" s="449"/>
      <c r="DW115" s="449"/>
      <c r="DX115" s="449"/>
      <c r="DY115" s="449"/>
      <c r="DZ115" s="449"/>
      <c r="EA115" s="449"/>
      <c r="EB115" s="449"/>
      <c r="EC115" s="449"/>
      <c r="ED115" s="449"/>
      <c r="EE115" s="449"/>
      <c r="EF115" s="449"/>
      <c r="EG115" s="449"/>
      <c r="EH115" s="449"/>
      <c r="EI115" s="449"/>
      <c r="EJ115" s="449"/>
      <c r="EK115" s="449"/>
      <c r="EL115" s="449"/>
      <c r="EM115" s="449"/>
      <c r="EN115" s="449"/>
      <c r="EO115" s="449"/>
      <c r="EP115" s="449"/>
      <c r="EQ115" s="449"/>
      <c r="ER115" s="449"/>
      <c r="ES115" s="449"/>
      <c r="ET115" s="449"/>
      <c r="EU115" s="449"/>
      <c r="EV115" s="449"/>
      <c r="EW115" s="449"/>
      <c r="EX115" s="449"/>
      <c r="EY115" s="449"/>
      <c r="EZ115" s="449"/>
      <c r="FA115" s="449"/>
      <c r="FB115" s="449"/>
      <c r="FC115" s="449"/>
      <c r="FD115" s="449"/>
      <c r="FE115" s="449"/>
      <c r="FF115" s="449"/>
      <c r="FG115" s="449"/>
      <c r="FH115" s="449"/>
      <c r="FI115" s="449"/>
      <c r="FJ115" s="449"/>
      <c r="FK115" s="449"/>
      <c r="FL115" s="449"/>
      <c r="FM115" s="449"/>
      <c r="FN115" s="449"/>
      <c r="FO115" s="449"/>
      <c r="FP115" s="449"/>
      <c r="FQ115" s="449"/>
      <c r="FR115" s="449"/>
      <c r="FS115" s="449"/>
      <c r="FT115" s="449"/>
      <c r="FU115" s="449"/>
      <c r="FV115" s="449"/>
      <c r="FW115" s="449"/>
      <c r="FX115" s="449"/>
      <c r="FY115" s="449"/>
      <c r="FZ115" s="449"/>
      <c r="GA115" s="449"/>
      <c r="GB115" s="449"/>
      <c r="GC115" s="449"/>
      <c r="GD115" s="449"/>
      <c r="GE115" s="449"/>
      <c r="GF115" s="449"/>
      <c r="GG115" s="449"/>
      <c r="GH115" s="449"/>
      <c r="GI115" s="449"/>
      <c r="GJ115" s="449"/>
      <c r="GK115" s="449"/>
      <c r="GL115" s="449"/>
      <c r="GM115" s="449"/>
      <c r="GN115" s="449"/>
      <c r="GO115" s="449"/>
      <c r="GP115" s="449"/>
      <c r="GQ115" s="449"/>
      <c r="GR115" s="449"/>
      <c r="GS115" s="449"/>
      <c r="GT115" s="449"/>
      <c r="GU115" s="449"/>
      <c r="GV115" s="449"/>
      <c r="GW115" s="449"/>
      <c r="GX115" s="449"/>
      <c r="GY115" s="449"/>
      <c r="GZ115" s="449"/>
      <c r="HA115" s="449"/>
      <c r="HB115" s="449"/>
      <c r="HC115" s="449"/>
      <c r="HD115" s="449"/>
      <c r="HE115" s="449"/>
      <c r="HF115" s="449"/>
      <c r="HG115" s="449"/>
      <c r="HH115" s="449"/>
      <c r="HI115" s="449"/>
      <c r="HJ115" s="449"/>
      <c r="HK115" s="449"/>
      <c r="HL115" s="449"/>
      <c r="HM115" s="449"/>
      <c r="HN115" s="449"/>
      <c r="HO115" s="449"/>
      <c r="HP115" s="449"/>
      <c r="HQ115" s="449"/>
      <c r="HR115" s="449"/>
      <c r="HS115" s="449"/>
      <c r="HT115" s="449"/>
      <c r="HU115" s="449"/>
      <c r="HV115" s="449"/>
      <c r="HW115" s="449"/>
      <c r="HX115" s="449"/>
      <c r="HY115" s="449"/>
      <c r="HZ115" s="449"/>
      <c r="IA115" s="449"/>
      <c r="IB115" s="449"/>
      <c r="IC115" s="449"/>
      <c r="ID115" s="449"/>
      <c r="IE115" s="449"/>
      <c r="IF115" s="449"/>
      <c r="IG115" s="449"/>
      <c r="IH115" s="449"/>
      <c r="II115" s="449"/>
      <c r="IJ115" s="449"/>
      <c r="IK115" s="449"/>
      <c r="IL115" s="449"/>
      <c r="IM115" s="449"/>
      <c r="IN115" s="449"/>
      <c r="IO115" s="449"/>
      <c r="IP115" s="449"/>
      <c r="IQ115" s="449"/>
      <c r="IR115" s="449"/>
      <c r="IS115" s="449"/>
      <c r="IT115" s="449"/>
      <c r="IU115" s="449"/>
      <c r="IV115" s="449"/>
      <c r="IW115" s="449"/>
      <c r="IX115" s="449"/>
    </row>
    <row r="116" spans="3:258" s="404" customFormat="1" ht="25.5" x14ac:dyDescent="0.2">
      <c r="C116" s="401"/>
      <c r="D116" s="403"/>
      <c r="E116" s="402" t="s">
        <v>887</v>
      </c>
      <c r="F116" s="402"/>
      <c r="G116" s="403"/>
      <c r="H116" s="403"/>
      <c r="I116" s="403"/>
      <c r="J116" s="403"/>
      <c r="K116" s="454">
        <v>672</v>
      </c>
      <c r="L116" s="455">
        <v>560</v>
      </c>
      <c r="M116" s="456"/>
      <c r="N116" s="456"/>
      <c r="O116" s="456"/>
      <c r="P116" s="456"/>
      <c r="Q116" s="456"/>
      <c r="R116" s="456"/>
      <c r="S116" s="456"/>
      <c r="T116" s="456"/>
      <c r="U116" s="456"/>
      <c r="V116" s="456"/>
      <c r="W116" s="456"/>
      <c r="X116" s="456"/>
      <c r="Y116" s="456"/>
      <c r="Z116" s="456"/>
      <c r="AA116" s="456"/>
      <c r="AB116" s="456"/>
      <c r="AC116" s="456"/>
      <c r="AD116" s="456"/>
      <c r="AE116" s="456"/>
      <c r="AF116" s="456"/>
      <c r="AG116" s="456"/>
      <c r="AH116" s="456"/>
      <c r="AI116" s="456"/>
      <c r="AJ116" s="456"/>
      <c r="AK116" s="456"/>
      <c r="AL116" s="456"/>
      <c r="AM116" s="456"/>
      <c r="AN116" s="456"/>
      <c r="AO116" s="456"/>
      <c r="AP116" s="456"/>
      <c r="AQ116" s="456"/>
      <c r="AR116" s="456"/>
      <c r="AS116" s="456"/>
      <c r="AT116" s="456"/>
      <c r="AU116" s="456"/>
      <c r="AV116" s="456"/>
      <c r="AW116" s="456"/>
      <c r="AX116" s="456"/>
      <c r="AY116" s="456"/>
      <c r="AZ116" s="456"/>
      <c r="BA116" s="456"/>
      <c r="BB116" s="456"/>
      <c r="BC116" s="456"/>
      <c r="BD116" s="456"/>
      <c r="BE116" s="456"/>
      <c r="BF116" s="456"/>
      <c r="BG116" s="456"/>
      <c r="BH116" s="456"/>
      <c r="BI116" s="456"/>
      <c r="BJ116" s="456"/>
      <c r="BK116" s="456"/>
      <c r="BL116" s="456"/>
      <c r="BM116" s="456"/>
      <c r="BN116" s="456"/>
      <c r="BO116" s="456"/>
      <c r="BP116" s="456"/>
      <c r="BQ116" s="456"/>
      <c r="BR116" s="456"/>
      <c r="BS116" s="456"/>
      <c r="BT116" s="456"/>
      <c r="BU116" s="456"/>
      <c r="BV116" s="456"/>
      <c r="BW116" s="456"/>
      <c r="BX116" s="456"/>
      <c r="BY116" s="456"/>
      <c r="BZ116" s="456"/>
      <c r="CA116" s="456"/>
      <c r="CB116" s="456"/>
      <c r="CC116" s="456"/>
      <c r="CD116" s="456"/>
      <c r="CE116" s="456"/>
      <c r="CF116" s="456"/>
      <c r="CG116" s="456"/>
      <c r="CH116" s="456"/>
      <c r="CI116" s="456"/>
      <c r="CJ116" s="456"/>
      <c r="CK116" s="456"/>
      <c r="CL116" s="456"/>
      <c r="CM116" s="456"/>
      <c r="CN116" s="456"/>
      <c r="CO116" s="456"/>
      <c r="CP116" s="456"/>
      <c r="CQ116" s="456"/>
      <c r="CR116" s="456"/>
      <c r="CS116" s="456"/>
      <c r="CT116" s="456"/>
      <c r="CU116" s="456"/>
      <c r="CV116" s="456"/>
      <c r="CW116" s="456"/>
      <c r="CX116" s="456"/>
      <c r="CY116" s="456"/>
      <c r="CZ116" s="456"/>
      <c r="DA116" s="456"/>
      <c r="DB116" s="456"/>
      <c r="DC116" s="456"/>
      <c r="DD116" s="456"/>
      <c r="DE116" s="456"/>
      <c r="DF116" s="456"/>
      <c r="DG116" s="456"/>
      <c r="DH116" s="456"/>
      <c r="DI116" s="456"/>
      <c r="DJ116" s="456"/>
      <c r="DK116" s="456"/>
      <c r="DL116" s="456"/>
      <c r="DM116" s="456"/>
      <c r="DN116" s="456"/>
      <c r="DO116" s="456"/>
      <c r="DP116" s="456"/>
      <c r="DQ116" s="456"/>
      <c r="DR116" s="456"/>
      <c r="DS116" s="456"/>
      <c r="DT116" s="456"/>
      <c r="DU116" s="456"/>
      <c r="DV116" s="456"/>
      <c r="DW116" s="456"/>
      <c r="DX116" s="456"/>
      <c r="DY116" s="456"/>
      <c r="DZ116" s="456"/>
      <c r="EA116" s="456"/>
      <c r="EB116" s="456"/>
      <c r="EC116" s="456"/>
      <c r="ED116" s="456"/>
      <c r="EE116" s="456"/>
      <c r="EF116" s="456"/>
      <c r="EG116" s="456"/>
      <c r="EH116" s="456"/>
      <c r="EI116" s="456"/>
      <c r="EJ116" s="456"/>
      <c r="EK116" s="456"/>
      <c r="EL116" s="456"/>
      <c r="EM116" s="456"/>
      <c r="EN116" s="456"/>
      <c r="EO116" s="456"/>
      <c r="EP116" s="456"/>
      <c r="EQ116" s="456"/>
      <c r="ER116" s="456"/>
      <c r="ES116" s="456"/>
      <c r="ET116" s="456"/>
      <c r="EU116" s="456"/>
      <c r="EV116" s="456"/>
      <c r="EW116" s="456"/>
      <c r="EX116" s="456"/>
      <c r="EY116" s="456"/>
      <c r="EZ116" s="456"/>
      <c r="FA116" s="456"/>
      <c r="FB116" s="456"/>
      <c r="FC116" s="456"/>
      <c r="FD116" s="456"/>
      <c r="FE116" s="456"/>
      <c r="FF116" s="456"/>
      <c r="FG116" s="456"/>
      <c r="FH116" s="456"/>
      <c r="FI116" s="456"/>
      <c r="FJ116" s="456"/>
      <c r="FK116" s="456"/>
      <c r="FL116" s="456"/>
      <c r="FM116" s="456"/>
      <c r="FN116" s="456"/>
      <c r="FO116" s="456"/>
      <c r="FP116" s="456"/>
      <c r="FQ116" s="456"/>
      <c r="FR116" s="456"/>
      <c r="FS116" s="456"/>
      <c r="FT116" s="456"/>
      <c r="FU116" s="456"/>
      <c r="FV116" s="456"/>
      <c r="FW116" s="456"/>
      <c r="FX116" s="456"/>
      <c r="FY116" s="456"/>
      <c r="FZ116" s="456"/>
      <c r="GA116" s="456"/>
      <c r="GB116" s="456"/>
      <c r="GC116" s="456"/>
      <c r="GD116" s="456"/>
      <c r="GE116" s="456"/>
      <c r="GF116" s="456"/>
      <c r="GG116" s="456"/>
      <c r="GH116" s="456"/>
      <c r="GI116" s="456"/>
      <c r="GJ116" s="456"/>
      <c r="GK116" s="456"/>
      <c r="GL116" s="456"/>
      <c r="GM116" s="456"/>
      <c r="GN116" s="456"/>
      <c r="GO116" s="456"/>
      <c r="GP116" s="456"/>
      <c r="GQ116" s="456"/>
      <c r="GR116" s="456"/>
      <c r="GS116" s="456"/>
      <c r="GT116" s="456"/>
      <c r="GU116" s="456"/>
      <c r="GV116" s="456"/>
      <c r="GW116" s="456"/>
      <c r="GX116" s="456"/>
      <c r="GY116" s="456"/>
      <c r="GZ116" s="456"/>
      <c r="HA116" s="456"/>
      <c r="HB116" s="456"/>
      <c r="HC116" s="456"/>
      <c r="HD116" s="456"/>
      <c r="HE116" s="456"/>
      <c r="HF116" s="456"/>
      <c r="HG116" s="456"/>
      <c r="HH116" s="456"/>
      <c r="HI116" s="456"/>
      <c r="HJ116" s="456"/>
      <c r="HK116" s="456"/>
      <c r="HL116" s="456"/>
      <c r="HM116" s="456"/>
      <c r="HN116" s="456"/>
      <c r="HO116" s="456"/>
      <c r="HP116" s="456"/>
      <c r="HQ116" s="456"/>
      <c r="HR116" s="456"/>
      <c r="HS116" s="456"/>
      <c r="HT116" s="456"/>
      <c r="HU116" s="456"/>
      <c r="HV116" s="456"/>
      <c r="HW116" s="456"/>
      <c r="HX116" s="456"/>
      <c r="HY116" s="456"/>
      <c r="HZ116" s="456"/>
      <c r="IA116" s="456"/>
      <c r="IB116" s="456"/>
      <c r="IC116" s="456"/>
      <c r="ID116" s="456"/>
      <c r="IE116" s="456"/>
      <c r="IF116" s="456"/>
      <c r="IG116" s="456"/>
      <c r="IH116" s="456"/>
      <c r="II116" s="456"/>
      <c r="IJ116" s="456"/>
      <c r="IK116" s="456"/>
      <c r="IL116" s="456"/>
      <c r="IM116" s="456"/>
      <c r="IN116" s="456"/>
      <c r="IO116" s="456"/>
      <c r="IP116" s="456"/>
      <c r="IQ116" s="456"/>
      <c r="IR116" s="456"/>
      <c r="IS116" s="456"/>
      <c r="IT116" s="456"/>
      <c r="IU116" s="456"/>
      <c r="IV116" s="456"/>
      <c r="IW116" s="456"/>
      <c r="IX116" s="456"/>
    </row>
    <row r="117" spans="3:258" x14ac:dyDescent="0.2">
      <c r="C117" s="384" t="s">
        <v>903</v>
      </c>
      <c r="D117" s="385"/>
      <c r="E117" s="385"/>
      <c r="F117" s="385"/>
      <c r="G117" s="385"/>
      <c r="H117" s="385"/>
      <c r="I117" s="385"/>
      <c r="J117" s="385"/>
      <c r="K117" s="386"/>
      <c r="L117" s="387" t="str">
        <f>IFERROR(K117/#REF!-1,"")</f>
        <v/>
      </c>
      <c r="M117" s="449"/>
      <c r="N117" s="449"/>
      <c r="O117" s="449"/>
      <c r="P117" s="449"/>
      <c r="Q117" s="449"/>
      <c r="R117" s="449"/>
      <c r="S117" s="449"/>
      <c r="T117" s="449"/>
      <c r="U117" s="449"/>
      <c r="V117" s="449"/>
      <c r="W117" s="449"/>
      <c r="X117" s="449"/>
      <c r="Y117" s="449"/>
      <c r="Z117" s="449"/>
      <c r="AA117" s="449"/>
      <c r="AB117" s="449"/>
      <c r="AC117" s="449"/>
      <c r="AD117" s="449"/>
      <c r="AE117" s="449"/>
      <c r="AF117" s="449"/>
      <c r="AG117" s="449"/>
      <c r="AH117" s="449"/>
      <c r="AI117" s="449"/>
      <c r="AJ117" s="449"/>
      <c r="AK117" s="449"/>
      <c r="AL117" s="449"/>
      <c r="AM117" s="449"/>
      <c r="AN117" s="449"/>
      <c r="AO117" s="449"/>
      <c r="AP117" s="449"/>
      <c r="AQ117" s="449"/>
      <c r="AR117" s="449"/>
      <c r="AS117" s="449"/>
      <c r="AT117" s="449"/>
      <c r="AU117" s="449"/>
      <c r="AV117" s="449"/>
      <c r="AW117" s="449"/>
      <c r="AX117" s="449"/>
      <c r="AY117" s="449"/>
      <c r="AZ117" s="449"/>
      <c r="BA117" s="449"/>
      <c r="BB117" s="449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49"/>
      <c r="CV117" s="449"/>
      <c r="CW117" s="449"/>
      <c r="CX117" s="449"/>
      <c r="CY117" s="449"/>
      <c r="CZ117" s="449"/>
      <c r="DA117" s="449"/>
      <c r="DB117" s="449"/>
      <c r="DC117" s="449"/>
      <c r="DD117" s="449"/>
      <c r="DE117" s="449"/>
      <c r="DF117" s="449"/>
      <c r="DG117" s="449"/>
      <c r="DH117" s="449"/>
      <c r="DI117" s="449"/>
      <c r="DJ117" s="449"/>
      <c r="DK117" s="449"/>
      <c r="DL117" s="449"/>
      <c r="DM117" s="449"/>
      <c r="DN117" s="449"/>
      <c r="DO117" s="449"/>
      <c r="DP117" s="449"/>
      <c r="DQ117" s="449"/>
      <c r="DR117" s="449"/>
      <c r="DS117" s="449"/>
      <c r="DT117" s="449"/>
      <c r="DU117" s="449"/>
      <c r="DV117" s="449"/>
      <c r="DW117" s="449"/>
      <c r="DX117" s="449"/>
      <c r="DY117" s="449"/>
      <c r="DZ117" s="449"/>
      <c r="EA117" s="449"/>
      <c r="EB117" s="449"/>
      <c r="EC117" s="449"/>
      <c r="ED117" s="449"/>
      <c r="EE117" s="449"/>
      <c r="EF117" s="449"/>
      <c r="EG117" s="449"/>
      <c r="EH117" s="449"/>
      <c r="EI117" s="449"/>
      <c r="EJ117" s="449"/>
      <c r="EK117" s="449"/>
      <c r="EL117" s="449"/>
      <c r="EM117" s="449"/>
      <c r="EN117" s="449"/>
      <c r="EO117" s="449"/>
      <c r="EP117" s="449"/>
      <c r="EQ117" s="449"/>
      <c r="ER117" s="449"/>
      <c r="ES117" s="449"/>
      <c r="ET117" s="449"/>
      <c r="EU117" s="449"/>
      <c r="EV117" s="449"/>
      <c r="EW117" s="449"/>
      <c r="EX117" s="449"/>
      <c r="EY117" s="449"/>
      <c r="EZ117" s="449"/>
      <c r="FA117" s="449"/>
      <c r="FB117" s="449"/>
      <c r="FC117" s="449"/>
      <c r="FD117" s="449"/>
      <c r="FE117" s="449"/>
      <c r="FF117" s="449"/>
      <c r="FG117" s="449"/>
      <c r="FH117" s="449"/>
      <c r="FI117" s="449"/>
      <c r="FJ117" s="449"/>
      <c r="FK117" s="449"/>
      <c r="FL117" s="449"/>
      <c r="FM117" s="449"/>
      <c r="FN117" s="449"/>
      <c r="FO117" s="449"/>
      <c r="FP117" s="449"/>
      <c r="FQ117" s="449"/>
      <c r="FR117" s="449"/>
      <c r="FS117" s="449"/>
      <c r="FT117" s="449"/>
      <c r="FU117" s="449"/>
      <c r="FV117" s="449"/>
      <c r="FW117" s="449"/>
      <c r="FX117" s="449"/>
      <c r="FY117" s="449"/>
      <c r="FZ117" s="449"/>
      <c r="GA117" s="449"/>
      <c r="GB117" s="449"/>
      <c r="GC117" s="449"/>
      <c r="GD117" s="449"/>
      <c r="GE117" s="449"/>
      <c r="GF117" s="449"/>
      <c r="GG117" s="449"/>
      <c r="GH117" s="449"/>
      <c r="GI117" s="449"/>
      <c r="GJ117" s="449"/>
      <c r="GK117" s="449"/>
      <c r="GL117" s="449"/>
      <c r="GM117" s="449"/>
      <c r="GN117" s="449"/>
      <c r="GO117" s="449"/>
      <c r="GP117" s="449"/>
      <c r="GQ117" s="449"/>
      <c r="GR117" s="449"/>
      <c r="GS117" s="449"/>
      <c r="GT117" s="449"/>
      <c r="GU117" s="449"/>
      <c r="GV117" s="449"/>
      <c r="GW117" s="449"/>
      <c r="GX117" s="449"/>
      <c r="GY117" s="449"/>
      <c r="GZ117" s="449"/>
      <c r="HA117" s="449"/>
      <c r="HB117" s="449"/>
      <c r="HC117" s="449"/>
      <c r="HD117" s="449"/>
      <c r="HE117" s="449"/>
      <c r="HF117" s="449"/>
      <c r="HG117" s="449"/>
      <c r="HH117" s="449"/>
      <c r="HI117" s="449"/>
      <c r="HJ117" s="449"/>
      <c r="HK117" s="449"/>
      <c r="HL117" s="449"/>
      <c r="HM117" s="449"/>
      <c r="HN117" s="449"/>
      <c r="HO117" s="449"/>
      <c r="HP117" s="449"/>
      <c r="HQ117" s="449"/>
      <c r="HR117" s="449"/>
      <c r="HS117" s="449"/>
      <c r="HT117" s="449"/>
      <c r="HU117" s="449"/>
      <c r="HV117" s="449"/>
      <c r="HW117" s="449"/>
      <c r="HX117" s="449"/>
      <c r="HY117" s="449"/>
      <c r="HZ117" s="449"/>
      <c r="IA117" s="449"/>
      <c r="IB117" s="449"/>
      <c r="IC117" s="449"/>
      <c r="ID117" s="449"/>
      <c r="IE117" s="449"/>
      <c r="IF117" s="449"/>
      <c r="IG117" s="449"/>
      <c r="IH117" s="449"/>
      <c r="II117" s="449"/>
      <c r="IJ117" s="449"/>
      <c r="IK117" s="449"/>
      <c r="IL117" s="449"/>
      <c r="IM117" s="449"/>
      <c r="IN117" s="449"/>
      <c r="IO117" s="449"/>
      <c r="IP117" s="449"/>
      <c r="IQ117" s="449"/>
      <c r="IR117" s="449"/>
      <c r="IS117" s="449"/>
      <c r="IT117" s="449"/>
      <c r="IU117" s="449"/>
      <c r="IV117" s="449"/>
      <c r="IW117" s="449"/>
      <c r="IX117" s="449"/>
    </row>
    <row r="118" spans="3:258" x14ac:dyDescent="0.2">
      <c r="C118" s="388" t="s">
        <v>1047</v>
      </c>
      <c r="D118" s="389"/>
      <c r="E118" s="389"/>
      <c r="F118" s="389"/>
      <c r="G118" s="389"/>
      <c r="H118" s="389"/>
      <c r="I118" s="389"/>
      <c r="J118" s="389"/>
      <c r="K118" s="390"/>
      <c r="L118" s="391" t="str">
        <f>IFERROR(K118/#REF!-1,"")</f>
        <v/>
      </c>
      <c r="M118" s="449"/>
      <c r="N118" s="449"/>
      <c r="O118" s="449"/>
      <c r="P118" s="449"/>
      <c r="Q118" s="449"/>
      <c r="R118" s="449"/>
      <c r="S118" s="449"/>
      <c r="T118" s="449"/>
      <c r="U118" s="449"/>
      <c r="V118" s="449"/>
      <c r="W118" s="449"/>
      <c r="X118" s="449"/>
      <c r="Y118" s="449"/>
      <c r="Z118" s="449"/>
      <c r="AA118" s="449"/>
      <c r="AB118" s="449"/>
      <c r="AC118" s="449"/>
      <c r="AD118" s="449"/>
      <c r="AE118" s="449"/>
      <c r="AF118" s="449"/>
      <c r="AG118" s="449"/>
      <c r="AH118" s="449"/>
      <c r="AI118" s="449"/>
      <c r="AJ118" s="449"/>
      <c r="AK118" s="449"/>
      <c r="AL118" s="449"/>
      <c r="AM118" s="449"/>
      <c r="AN118" s="449"/>
      <c r="AO118" s="449"/>
      <c r="AP118" s="449"/>
      <c r="AQ118" s="449"/>
      <c r="AR118" s="449"/>
      <c r="AS118" s="449"/>
      <c r="AT118" s="449"/>
      <c r="AU118" s="449"/>
      <c r="AV118" s="449"/>
      <c r="AW118" s="449"/>
      <c r="AX118" s="449"/>
      <c r="AY118" s="449"/>
      <c r="AZ118" s="449"/>
      <c r="BA118" s="449"/>
      <c r="BB118" s="449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49"/>
      <c r="CV118" s="449"/>
      <c r="CW118" s="449"/>
      <c r="CX118" s="449"/>
      <c r="CY118" s="449"/>
      <c r="CZ118" s="449"/>
      <c r="DA118" s="449"/>
      <c r="DB118" s="449"/>
      <c r="DC118" s="449"/>
      <c r="DD118" s="449"/>
      <c r="DE118" s="449"/>
      <c r="DF118" s="449"/>
      <c r="DG118" s="449"/>
      <c r="DH118" s="449"/>
      <c r="DI118" s="449"/>
      <c r="DJ118" s="449"/>
      <c r="DK118" s="449"/>
      <c r="DL118" s="449"/>
      <c r="DM118" s="449"/>
      <c r="DN118" s="449"/>
      <c r="DO118" s="449"/>
      <c r="DP118" s="449"/>
      <c r="DQ118" s="449"/>
      <c r="DR118" s="449"/>
      <c r="DS118" s="449"/>
      <c r="DT118" s="449"/>
      <c r="DU118" s="449"/>
      <c r="DV118" s="449"/>
      <c r="DW118" s="449"/>
      <c r="DX118" s="449"/>
      <c r="DY118" s="449"/>
      <c r="DZ118" s="449"/>
      <c r="EA118" s="449"/>
      <c r="EB118" s="449"/>
      <c r="EC118" s="449"/>
      <c r="ED118" s="449"/>
      <c r="EE118" s="449"/>
      <c r="EF118" s="449"/>
      <c r="EG118" s="449"/>
      <c r="EH118" s="449"/>
      <c r="EI118" s="449"/>
      <c r="EJ118" s="449"/>
      <c r="EK118" s="449"/>
      <c r="EL118" s="449"/>
      <c r="EM118" s="449"/>
      <c r="EN118" s="449"/>
      <c r="EO118" s="449"/>
      <c r="EP118" s="449"/>
      <c r="EQ118" s="449"/>
      <c r="ER118" s="449"/>
      <c r="ES118" s="449"/>
      <c r="ET118" s="449"/>
      <c r="EU118" s="449"/>
      <c r="EV118" s="449"/>
      <c r="EW118" s="449"/>
      <c r="EX118" s="449"/>
      <c r="EY118" s="449"/>
      <c r="EZ118" s="449"/>
      <c r="FA118" s="449"/>
      <c r="FB118" s="449"/>
      <c r="FC118" s="449"/>
      <c r="FD118" s="449"/>
      <c r="FE118" s="449"/>
      <c r="FF118" s="449"/>
      <c r="FG118" s="449"/>
      <c r="FH118" s="449"/>
      <c r="FI118" s="449"/>
      <c r="FJ118" s="449"/>
      <c r="FK118" s="449"/>
      <c r="FL118" s="449"/>
      <c r="FM118" s="449"/>
      <c r="FN118" s="449"/>
      <c r="FO118" s="449"/>
      <c r="FP118" s="449"/>
      <c r="FQ118" s="449"/>
      <c r="FR118" s="449"/>
      <c r="FS118" s="449"/>
      <c r="FT118" s="449"/>
      <c r="FU118" s="449"/>
      <c r="FV118" s="449"/>
      <c r="FW118" s="449"/>
      <c r="FX118" s="449"/>
      <c r="FY118" s="449"/>
      <c r="FZ118" s="449"/>
      <c r="GA118" s="449"/>
      <c r="GB118" s="449"/>
      <c r="GC118" s="449"/>
      <c r="GD118" s="449"/>
      <c r="GE118" s="449"/>
      <c r="GF118" s="449"/>
      <c r="GG118" s="449"/>
      <c r="GH118" s="449"/>
      <c r="GI118" s="449"/>
      <c r="GJ118" s="449"/>
      <c r="GK118" s="449"/>
      <c r="GL118" s="449"/>
      <c r="GM118" s="449"/>
      <c r="GN118" s="449"/>
      <c r="GO118" s="449"/>
      <c r="GP118" s="449"/>
      <c r="GQ118" s="449"/>
      <c r="GR118" s="449"/>
      <c r="GS118" s="449"/>
      <c r="GT118" s="449"/>
      <c r="GU118" s="449"/>
      <c r="GV118" s="449"/>
      <c r="GW118" s="449"/>
      <c r="GX118" s="449"/>
      <c r="GY118" s="449"/>
      <c r="GZ118" s="449"/>
      <c r="HA118" s="449"/>
      <c r="HB118" s="449"/>
      <c r="HC118" s="449"/>
      <c r="HD118" s="449"/>
      <c r="HE118" s="449"/>
      <c r="HF118" s="449"/>
      <c r="HG118" s="449"/>
      <c r="HH118" s="449"/>
      <c r="HI118" s="449"/>
      <c r="HJ118" s="449"/>
      <c r="HK118" s="449"/>
      <c r="HL118" s="449"/>
      <c r="HM118" s="449"/>
      <c r="HN118" s="449"/>
      <c r="HO118" s="449"/>
      <c r="HP118" s="449"/>
      <c r="HQ118" s="449"/>
      <c r="HR118" s="449"/>
      <c r="HS118" s="449"/>
      <c r="HT118" s="449"/>
      <c r="HU118" s="449"/>
      <c r="HV118" s="449"/>
      <c r="HW118" s="449"/>
      <c r="HX118" s="449"/>
      <c r="HY118" s="449"/>
      <c r="HZ118" s="449"/>
      <c r="IA118" s="449"/>
      <c r="IB118" s="449"/>
      <c r="IC118" s="449"/>
      <c r="ID118" s="449"/>
      <c r="IE118" s="449"/>
      <c r="IF118" s="449"/>
      <c r="IG118" s="449"/>
      <c r="IH118" s="449"/>
      <c r="II118" s="449"/>
      <c r="IJ118" s="449"/>
      <c r="IK118" s="449"/>
      <c r="IL118" s="449"/>
      <c r="IM118" s="449"/>
      <c r="IN118" s="449"/>
      <c r="IO118" s="449"/>
      <c r="IP118" s="449"/>
      <c r="IQ118" s="449"/>
      <c r="IR118" s="449"/>
      <c r="IS118" s="449"/>
      <c r="IT118" s="449"/>
      <c r="IU118" s="449"/>
      <c r="IV118" s="449"/>
      <c r="IW118" s="449"/>
      <c r="IX118" s="449"/>
    </row>
    <row r="119" spans="3:258" x14ac:dyDescent="0.2">
      <c r="C119" s="410" t="s">
        <v>1048</v>
      </c>
      <c r="D119" s="393" t="s">
        <v>877</v>
      </c>
      <c r="E119" s="410" t="s">
        <v>1049</v>
      </c>
      <c r="F119" s="410"/>
      <c r="G119" s="393">
        <v>1000</v>
      </c>
      <c r="H119" s="393">
        <v>160</v>
      </c>
      <c r="I119" s="393">
        <v>100</v>
      </c>
      <c r="J119" s="393">
        <v>21.4</v>
      </c>
      <c r="K119" s="397">
        <v>5714</v>
      </c>
      <c r="L119" s="398">
        <f>K119*0.7</f>
        <v>3999.7999999999997</v>
      </c>
      <c r="M119" s="449"/>
      <c r="N119" s="449"/>
      <c r="O119" s="449"/>
      <c r="P119" s="449"/>
      <c r="Q119" s="449"/>
      <c r="R119" s="449"/>
      <c r="S119" s="449"/>
      <c r="T119" s="449"/>
      <c r="U119" s="449"/>
      <c r="V119" s="449"/>
      <c r="W119" s="449"/>
      <c r="X119" s="449"/>
      <c r="Y119" s="449"/>
      <c r="Z119" s="449"/>
      <c r="AA119" s="449"/>
      <c r="AB119" s="449"/>
      <c r="AC119" s="449"/>
      <c r="AD119" s="449"/>
      <c r="AE119" s="449"/>
      <c r="AF119" s="449"/>
      <c r="AG119" s="449"/>
      <c r="AH119" s="449"/>
      <c r="AI119" s="449"/>
      <c r="AJ119" s="449"/>
      <c r="AK119" s="449"/>
      <c r="AL119" s="449"/>
      <c r="AM119" s="449"/>
      <c r="AN119" s="449"/>
      <c r="AO119" s="449"/>
      <c r="AP119" s="449"/>
      <c r="AQ119" s="449"/>
      <c r="AR119" s="449"/>
      <c r="AS119" s="449"/>
      <c r="AT119" s="449"/>
      <c r="AU119" s="449"/>
      <c r="AV119" s="449"/>
      <c r="AW119" s="449"/>
      <c r="AX119" s="449"/>
      <c r="AY119" s="449"/>
      <c r="AZ119" s="449"/>
      <c r="BA119" s="449"/>
      <c r="BB119" s="449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49"/>
      <c r="CV119" s="449"/>
      <c r="CW119" s="449"/>
      <c r="CX119" s="449"/>
      <c r="CY119" s="449"/>
      <c r="CZ119" s="449"/>
      <c r="DA119" s="449"/>
      <c r="DB119" s="449"/>
      <c r="DC119" s="449"/>
      <c r="DD119" s="449"/>
      <c r="DE119" s="449"/>
      <c r="DF119" s="449"/>
      <c r="DG119" s="449"/>
      <c r="DH119" s="449"/>
      <c r="DI119" s="449"/>
      <c r="DJ119" s="449"/>
      <c r="DK119" s="449"/>
      <c r="DL119" s="449"/>
      <c r="DM119" s="449"/>
      <c r="DN119" s="449"/>
      <c r="DO119" s="449"/>
      <c r="DP119" s="449"/>
      <c r="DQ119" s="449"/>
      <c r="DR119" s="449"/>
      <c r="DS119" s="449"/>
      <c r="DT119" s="449"/>
      <c r="DU119" s="449"/>
      <c r="DV119" s="449"/>
      <c r="DW119" s="449"/>
      <c r="DX119" s="449"/>
      <c r="DY119" s="449"/>
      <c r="DZ119" s="449"/>
      <c r="EA119" s="449"/>
      <c r="EB119" s="449"/>
      <c r="EC119" s="449"/>
      <c r="ED119" s="449"/>
      <c r="EE119" s="449"/>
      <c r="EF119" s="449"/>
      <c r="EG119" s="449"/>
      <c r="EH119" s="449"/>
      <c r="EI119" s="449"/>
      <c r="EJ119" s="449"/>
      <c r="EK119" s="449"/>
      <c r="EL119" s="449"/>
      <c r="EM119" s="449"/>
      <c r="EN119" s="449"/>
      <c r="EO119" s="449"/>
      <c r="EP119" s="449"/>
      <c r="EQ119" s="449"/>
      <c r="ER119" s="449"/>
      <c r="ES119" s="449"/>
      <c r="ET119" s="449"/>
      <c r="EU119" s="449"/>
      <c r="EV119" s="449"/>
      <c r="EW119" s="449"/>
      <c r="EX119" s="449"/>
      <c r="EY119" s="449"/>
      <c r="EZ119" s="449"/>
      <c r="FA119" s="449"/>
      <c r="FB119" s="449"/>
      <c r="FC119" s="449"/>
      <c r="FD119" s="449"/>
      <c r="FE119" s="449"/>
      <c r="FF119" s="449"/>
      <c r="FG119" s="449"/>
      <c r="FH119" s="449"/>
      <c r="FI119" s="449"/>
      <c r="FJ119" s="449"/>
      <c r="FK119" s="449"/>
      <c r="FL119" s="449"/>
      <c r="FM119" s="449"/>
      <c r="FN119" s="449"/>
      <c r="FO119" s="449"/>
      <c r="FP119" s="449"/>
      <c r="FQ119" s="449"/>
      <c r="FR119" s="449"/>
      <c r="FS119" s="449"/>
      <c r="FT119" s="449"/>
      <c r="FU119" s="449"/>
      <c r="FV119" s="449"/>
      <c r="FW119" s="449"/>
      <c r="FX119" s="449"/>
      <c r="FY119" s="449"/>
      <c r="FZ119" s="449"/>
      <c r="GA119" s="449"/>
      <c r="GB119" s="449"/>
      <c r="GC119" s="449"/>
      <c r="GD119" s="449"/>
      <c r="GE119" s="449"/>
      <c r="GF119" s="449"/>
      <c r="GG119" s="449"/>
      <c r="GH119" s="449"/>
      <c r="GI119" s="449"/>
      <c r="GJ119" s="449"/>
      <c r="GK119" s="449"/>
      <c r="GL119" s="449"/>
      <c r="GM119" s="449"/>
      <c r="GN119" s="449"/>
      <c r="GO119" s="449"/>
      <c r="GP119" s="449"/>
      <c r="GQ119" s="449"/>
      <c r="GR119" s="449"/>
      <c r="GS119" s="449"/>
      <c r="GT119" s="449"/>
      <c r="GU119" s="449"/>
      <c r="GV119" s="449"/>
      <c r="GW119" s="449"/>
      <c r="GX119" s="449"/>
      <c r="GY119" s="449"/>
      <c r="GZ119" s="449"/>
      <c r="HA119" s="449"/>
      <c r="HB119" s="449"/>
      <c r="HC119" s="449"/>
      <c r="HD119" s="449"/>
      <c r="HE119" s="449"/>
      <c r="HF119" s="449"/>
      <c r="HG119" s="449"/>
      <c r="HH119" s="449"/>
      <c r="HI119" s="449"/>
      <c r="HJ119" s="449"/>
      <c r="HK119" s="449"/>
      <c r="HL119" s="449"/>
      <c r="HM119" s="449"/>
      <c r="HN119" s="449"/>
      <c r="HO119" s="449"/>
      <c r="HP119" s="449"/>
      <c r="HQ119" s="449"/>
      <c r="HR119" s="449"/>
      <c r="HS119" s="449"/>
      <c r="HT119" s="449"/>
      <c r="HU119" s="449"/>
      <c r="HV119" s="449"/>
      <c r="HW119" s="449"/>
      <c r="HX119" s="449"/>
      <c r="HY119" s="449"/>
      <c r="HZ119" s="449"/>
      <c r="IA119" s="449"/>
      <c r="IB119" s="449"/>
      <c r="IC119" s="449"/>
      <c r="ID119" s="449"/>
      <c r="IE119" s="449"/>
      <c r="IF119" s="449"/>
      <c r="IG119" s="449"/>
      <c r="IH119" s="449"/>
      <c r="II119" s="449"/>
      <c r="IJ119" s="449"/>
      <c r="IK119" s="449"/>
      <c r="IL119" s="449"/>
      <c r="IM119" s="449"/>
      <c r="IN119" s="449"/>
      <c r="IO119" s="449"/>
      <c r="IP119" s="449"/>
      <c r="IQ119" s="449"/>
      <c r="IR119" s="449"/>
      <c r="IS119" s="449"/>
      <c r="IT119" s="449"/>
      <c r="IU119" s="449"/>
      <c r="IV119" s="449"/>
      <c r="IW119" s="449"/>
      <c r="IX119" s="449"/>
    </row>
    <row r="120" spans="3:258" x14ac:dyDescent="0.2">
      <c r="C120" s="410" t="s">
        <v>1050</v>
      </c>
      <c r="D120" s="393" t="s">
        <v>877</v>
      </c>
      <c r="E120" s="410" t="s">
        <v>1051</v>
      </c>
      <c r="F120" s="410"/>
      <c r="G120" s="393">
        <v>1000</v>
      </c>
      <c r="H120" s="393">
        <v>160</v>
      </c>
      <c r="I120" s="393">
        <v>210</v>
      </c>
      <c r="J120" s="393">
        <v>29.13</v>
      </c>
      <c r="K120" s="397">
        <v>6988</v>
      </c>
      <c r="L120" s="398">
        <f>K120*0.7</f>
        <v>4891.5999999999995</v>
      </c>
      <c r="M120" s="449"/>
      <c r="N120" s="449"/>
      <c r="O120" s="449"/>
      <c r="P120" s="449"/>
      <c r="Q120" s="449"/>
      <c r="R120" s="449"/>
      <c r="S120" s="449"/>
      <c r="T120" s="449"/>
      <c r="U120" s="449"/>
      <c r="V120" s="449"/>
      <c r="W120" s="449"/>
      <c r="X120" s="449"/>
      <c r="Y120" s="449"/>
      <c r="Z120" s="449"/>
      <c r="AA120" s="449"/>
      <c r="AB120" s="449"/>
      <c r="AC120" s="449"/>
      <c r="AD120" s="449"/>
      <c r="AE120" s="449"/>
      <c r="AF120" s="449"/>
      <c r="AG120" s="449"/>
      <c r="AH120" s="449"/>
      <c r="AI120" s="449"/>
      <c r="AJ120" s="449"/>
      <c r="AK120" s="449"/>
      <c r="AL120" s="449"/>
      <c r="AM120" s="449"/>
      <c r="AN120" s="449"/>
      <c r="AO120" s="449"/>
      <c r="AP120" s="449"/>
      <c r="AQ120" s="449"/>
      <c r="AR120" s="449"/>
      <c r="AS120" s="449"/>
      <c r="AT120" s="449"/>
      <c r="AU120" s="449"/>
      <c r="AV120" s="449"/>
      <c r="AW120" s="449"/>
      <c r="AX120" s="449"/>
      <c r="AY120" s="449"/>
      <c r="AZ120" s="449"/>
      <c r="BA120" s="449"/>
      <c r="BB120" s="449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49"/>
      <c r="CV120" s="449"/>
      <c r="CW120" s="449"/>
      <c r="CX120" s="449"/>
      <c r="CY120" s="449"/>
      <c r="CZ120" s="449"/>
      <c r="DA120" s="449"/>
      <c r="DB120" s="449"/>
      <c r="DC120" s="449"/>
      <c r="DD120" s="449"/>
      <c r="DE120" s="449"/>
      <c r="DF120" s="449"/>
      <c r="DG120" s="449"/>
      <c r="DH120" s="449"/>
      <c r="DI120" s="449"/>
      <c r="DJ120" s="449"/>
      <c r="DK120" s="449"/>
      <c r="DL120" s="449"/>
      <c r="DM120" s="449"/>
      <c r="DN120" s="449"/>
      <c r="DO120" s="449"/>
      <c r="DP120" s="449"/>
      <c r="DQ120" s="449"/>
      <c r="DR120" s="449"/>
      <c r="DS120" s="449"/>
      <c r="DT120" s="449"/>
      <c r="DU120" s="449"/>
      <c r="DV120" s="449"/>
      <c r="DW120" s="449"/>
      <c r="DX120" s="449"/>
      <c r="DY120" s="449"/>
      <c r="DZ120" s="449"/>
      <c r="EA120" s="449"/>
      <c r="EB120" s="449"/>
      <c r="EC120" s="449"/>
      <c r="ED120" s="449"/>
      <c r="EE120" s="449"/>
      <c r="EF120" s="449"/>
      <c r="EG120" s="449"/>
      <c r="EH120" s="449"/>
      <c r="EI120" s="449"/>
      <c r="EJ120" s="449"/>
      <c r="EK120" s="449"/>
      <c r="EL120" s="449"/>
      <c r="EM120" s="449"/>
      <c r="EN120" s="449"/>
      <c r="EO120" s="449"/>
      <c r="EP120" s="449"/>
      <c r="EQ120" s="449"/>
      <c r="ER120" s="449"/>
      <c r="ES120" s="449"/>
      <c r="ET120" s="449"/>
      <c r="EU120" s="449"/>
      <c r="EV120" s="449"/>
      <c r="EW120" s="449"/>
      <c r="EX120" s="449"/>
      <c r="EY120" s="449"/>
      <c r="EZ120" s="449"/>
      <c r="FA120" s="449"/>
      <c r="FB120" s="449"/>
      <c r="FC120" s="449"/>
      <c r="FD120" s="449"/>
      <c r="FE120" s="449"/>
      <c r="FF120" s="449"/>
      <c r="FG120" s="449"/>
      <c r="FH120" s="449"/>
      <c r="FI120" s="449"/>
      <c r="FJ120" s="449"/>
      <c r="FK120" s="449"/>
      <c r="FL120" s="449"/>
      <c r="FM120" s="449"/>
      <c r="FN120" s="449"/>
      <c r="FO120" s="449"/>
      <c r="FP120" s="449"/>
      <c r="FQ120" s="449"/>
      <c r="FR120" s="449"/>
      <c r="FS120" s="449"/>
      <c r="FT120" s="449"/>
      <c r="FU120" s="449"/>
      <c r="FV120" s="449"/>
      <c r="FW120" s="449"/>
      <c r="FX120" s="449"/>
      <c r="FY120" s="449"/>
      <c r="FZ120" s="449"/>
      <c r="GA120" s="449"/>
      <c r="GB120" s="449"/>
      <c r="GC120" s="449"/>
      <c r="GD120" s="449"/>
      <c r="GE120" s="449"/>
      <c r="GF120" s="449"/>
      <c r="GG120" s="449"/>
      <c r="GH120" s="449"/>
      <c r="GI120" s="449"/>
      <c r="GJ120" s="449"/>
      <c r="GK120" s="449"/>
      <c r="GL120" s="449"/>
      <c r="GM120" s="449"/>
      <c r="GN120" s="449"/>
      <c r="GO120" s="449"/>
      <c r="GP120" s="449"/>
      <c r="GQ120" s="449"/>
      <c r="GR120" s="449"/>
      <c r="GS120" s="449"/>
      <c r="GT120" s="449"/>
      <c r="GU120" s="449"/>
      <c r="GV120" s="449"/>
      <c r="GW120" s="449"/>
      <c r="GX120" s="449"/>
      <c r="GY120" s="449"/>
      <c r="GZ120" s="449"/>
      <c r="HA120" s="449"/>
      <c r="HB120" s="449"/>
      <c r="HC120" s="449"/>
      <c r="HD120" s="449"/>
      <c r="HE120" s="449"/>
      <c r="HF120" s="449"/>
      <c r="HG120" s="449"/>
      <c r="HH120" s="449"/>
      <c r="HI120" s="449"/>
      <c r="HJ120" s="449"/>
      <c r="HK120" s="449"/>
      <c r="HL120" s="449"/>
      <c r="HM120" s="449"/>
      <c r="HN120" s="449"/>
      <c r="HO120" s="449"/>
      <c r="HP120" s="449"/>
      <c r="HQ120" s="449"/>
      <c r="HR120" s="449"/>
      <c r="HS120" s="449"/>
      <c r="HT120" s="449"/>
      <c r="HU120" s="449"/>
      <c r="HV120" s="449"/>
      <c r="HW120" s="449"/>
      <c r="HX120" s="449"/>
      <c r="HY120" s="449"/>
      <c r="HZ120" s="449"/>
      <c r="IA120" s="449"/>
      <c r="IB120" s="449"/>
      <c r="IC120" s="449"/>
      <c r="ID120" s="449"/>
      <c r="IE120" s="449"/>
      <c r="IF120" s="449"/>
      <c r="IG120" s="449"/>
      <c r="IH120" s="449"/>
      <c r="II120" s="449"/>
      <c r="IJ120" s="449"/>
      <c r="IK120" s="449"/>
      <c r="IL120" s="449"/>
      <c r="IM120" s="449"/>
      <c r="IN120" s="449"/>
      <c r="IO120" s="449"/>
      <c r="IP120" s="449"/>
      <c r="IQ120" s="449"/>
      <c r="IR120" s="449"/>
      <c r="IS120" s="449"/>
      <c r="IT120" s="449"/>
      <c r="IU120" s="449"/>
      <c r="IV120" s="449"/>
      <c r="IW120" s="449"/>
      <c r="IX120" s="449"/>
    </row>
    <row r="121" spans="3:258" x14ac:dyDescent="0.2">
      <c r="C121" s="410" t="s">
        <v>1052</v>
      </c>
      <c r="D121" s="393" t="s">
        <v>877</v>
      </c>
      <c r="E121" s="410" t="s">
        <v>1053</v>
      </c>
      <c r="F121" s="410"/>
      <c r="G121" s="393">
        <v>1000</v>
      </c>
      <c r="H121" s="393">
        <v>160</v>
      </c>
      <c r="I121" s="393">
        <v>260</v>
      </c>
      <c r="J121" s="393">
        <v>33.049999999999997</v>
      </c>
      <c r="K121" s="397">
        <v>7689</v>
      </c>
      <c r="L121" s="398">
        <f>K121*0.7</f>
        <v>5382.2999999999993</v>
      </c>
      <c r="M121" s="449"/>
      <c r="N121" s="449"/>
      <c r="O121" s="449"/>
      <c r="P121" s="449"/>
      <c r="Q121" s="449"/>
      <c r="R121" s="449"/>
      <c r="S121" s="449"/>
      <c r="T121" s="449"/>
      <c r="U121" s="449"/>
      <c r="V121" s="449"/>
      <c r="W121" s="449"/>
      <c r="X121" s="449"/>
      <c r="Y121" s="449"/>
      <c r="Z121" s="449"/>
      <c r="AA121" s="449"/>
      <c r="AB121" s="449"/>
      <c r="AC121" s="449"/>
      <c r="AD121" s="449"/>
      <c r="AE121" s="449"/>
      <c r="AF121" s="449"/>
      <c r="AG121" s="449"/>
      <c r="AH121" s="449"/>
      <c r="AI121" s="449"/>
      <c r="AJ121" s="449"/>
      <c r="AK121" s="449"/>
      <c r="AL121" s="449"/>
      <c r="AM121" s="449"/>
      <c r="AN121" s="449"/>
      <c r="AO121" s="449"/>
      <c r="AP121" s="449"/>
      <c r="AQ121" s="449"/>
      <c r="AR121" s="449"/>
      <c r="AS121" s="449"/>
      <c r="AT121" s="449"/>
      <c r="AU121" s="449"/>
      <c r="AV121" s="449"/>
      <c r="AW121" s="449"/>
      <c r="AX121" s="449"/>
      <c r="AY121" s="449"/>
      <c r="AZ121" s="449"/>
      <c r="BA121" s="449"/>
      <c r="BB121" s="449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49"/>
      <c r="CV121" s="449"/>
      <c r="CW121" s="449"/>
      <c r="CX121" s="449"/>
      <c r="CY121" s="449"/>
      <c r="CZ121" s="449"/>
      <c r="DA121" s="449"/>
      <c r="DB121" s="449"/>
      <c r="DC121" s="449"/>
      <c r="DD121" s="449"/>
      <c r="DE121" s="449"/>
      <c r="DF121" s="449"/>
      <c r="DG121" s="449"/>
      <c r="DH121" s="449"/>
      <c r="DI121" s="449"/>
      <c r="DJ121" s="449"/>
      <c r="DK121" s="449"/>
      <c r="DL121" s="449"/>
      <c r="DM121" s="449"/>
      <c r="DN121" s="449"/>
      <c r="DO121" s="449"/>
      <c r="DP121" s="449"/>
      <c r="DQ121" s="449"/>
      <c r="DR121" s="449"/>
      <c r="DS121" s="449"/>
      <c r="DT121" s="449"/>
      <c r="DU121" s="449"/>
      <c r="DV121" s="449"/>
      <c r="DW121" s="449"/>
      <c r="DX121" s="449"/>
      <c r="DY121" s="449"/>
      <c r="DZ121" s="449"/>
      <c r="EA121" s="449"/>
      <c r="EB121" s="449"/>
      <c r="EC121" s="449"/>
      <c r="ED121" s="449"/>
      <c r="EE121" s="449"/>
      <c r="EF121" s="449"/>
      <c r="EG121" s="449"/>
      <c r="EH121" s="449"/>
      <c r="EI121" s="449"/>
      <c r="EJ121" s="449"/>
      <c r="EK121" s="449"/>
      <c r="EL121" s="449"/>
      <c r="EM121" s="449"/>
      <c r="EN121" s="449"/>
      <c r="EO121" s="449"/>
      <c r="EP121" s="449"/>
      <c r="EQ121" s="449"/>
      <c r="ER121" s="449"/>
      <c r="ES121" s="449"/>
      <c r="ET121" s="449"/>
      <c r="EU121" s="449"/>
      <c r="EV121" s="449"/>
      <c r="EW121" s="449"/>
      <c r="EX121" s="449"/>
      <c r="EY121" s="449"/>
      <c r="EZ121" s="449"/>
      <c r="FA121" s="449"/>
      <c r="FB121" s="449"/>
      <c r="FC121" s="449"/>
      <c r="FD121" s="449"/>
      <c r="FE121" s="449"/>
      <c r="FF121" s="449"/>
      <c r="FG121" s="449"/>
      <c r="FH121" s="449"/>
      <c r="FI121" s="449"/>
      <c r="FJ121" s="449"/>
      <c r="FK121" s="449"/>
      <c r="FL121" s="449"/>
      <c r="FM121" s="449"/>
      <c r="FN121" s="449"/>
      <c r="FO121" s="449"/>
      <c r="FP121" s="449"/>
      <c r="FQ121" s="449"/>
      <c r="FR121" s="449"/>
      <c r="FS121" s="449"/>
      <c r="FT121" s="449"/>
      <c r="FU121" s="449"/>
      <c r="FV121" s="449"/>
      <c r="FW121" s="449"/>
      <c r="FX121" s="449"/>
      <c r="FY121" s="449"/>
      <c r="FZ121" s="449"/>
      <c r="GA121" s="449"/>
      <c r="GB121" s="449"/>
      <c r="GC121" s="449"/>
      <c r="GD121" s="449"/>
      <c r="GE121" s="449"/>
      <c r="GF121" s="449"/>
      <c r="GG121" s="449"/>
      <c r="GH121" s="449"/>
      <c r="GI121" s="449"/>
      <c r="GJ121" s="449"/>
      <c r="GK121" s="449"/>
      <c r="GL121" s="449"/>
      <c r="GM121" s="449"/>
      <c r="GN121" s="449"/>
      <c r="GO121" s="449"/>
      <c r="GP121" s="449"/>
      <c r="GQ121" s="449"/>
      <c r="GR121" s="449"/>
      <c r="GS121" s="449"/>
      <c r="GT121" s="449"/>
      <c r="GU121" s="449"/>
      <c r="GV121" s="449"/>
      <c r="GW121" s="449"/>
      <c r="GX121" s="449"/>
      <c r="GY121" s="449"/>
      <c r="GZ121" s="449"/>
      <c r="HA121" s="449"/>
      <c r="HB121" s="449"/>
      <c r="HC121" s="449"/>
      <c r="HD121" s="449"/>
      <c r="HE121" s="449"/>
      <c r="HF121" s="449"/>
      <c r="HG121" s="449"/>
      <c r="HH121" s="449"/>
      <c r="HI121" s="449"/>
      <c r="HJ121" s="449"/>
      <c r="HK121" s="449"/>
      <c r="HL121" s="449"/>
      <c r="HM121" s="449"/>
      <c r="HN121" s="449"/>
      <c r="HO121" s="449"/>
      <c r="HP121" s="449"/>
      <c r="HQ121" s="449"/>
      <c r="HR121" s="449"/>
      <c r="HS121" s="449"/>
      <c r="HT121" s="449"/>
      <c r="HU121" s="449"/>
      <c r="HV121" s="449"/>
      <c r="HW121" s="449"/>
      <c r="HX121" s="449"/>
      <c r="HY121" s="449"/>
      <c r="HZ121" s="449"/>
      <c r="IA121" s="449"/>
      <c r="IB121" s="449"/>
      <c r="IC121" s="449"/>
      <c r="ID121" s="449"/>
      <c r="IE121" s="449"/>
      <c r="IF121" s="449"/>
      <c r="IG121" s="449"/>
      <c r="IH121" s="449"/>
      <c r="II121" s="449"/>
      <c r="IJ121" s="449"/>
      <c r="IK121" s="449"/>
      <c r="IL121" s="449"/>
      <c r="IM121" s="449"/>
      <c r="IN121" s="449"/>
      <c r="IO121" s="449"/>
      <c r="IP121" s="449"/>
      <c r="IQ121" s="449"/>
      <c r="IR121" s="449"/>
      <c r="IS121" s="449"/>
      <c r="IT121" s="449"/>
      <c r="IU121" s="449"/>
      <c r="IV121" s="449"/>
      <c r="IW121" s="449"/>
      <c r="IX121" s="449"/>
    </row>
    <row r="122" spans="3:258" x14ac:dyDescent="0.2">
      <c r="C122" s="410" t="s">
        <v>1054</v>
      </c>
      <c r="D122" s="393" t="s">
        <v>877</v>
      </c>
      <c r="E122" s="410" t="s">
        <v>1055</v>
      </c>
      <c r="F122" s="410"/>
      <c r="G122" s="393"/>
      <c r="H122" s="393">
        <v>160</v>
      </c>
      <c r="I122" s="393">
        <v>500</v>
      </c>
      <c r="J122" s="393">
        <v>30.5</v>
      </c>
      <c r="K122" s="397">
        <v>5970</v>
      </c>
      <c r="L122" s="398">
        <f>K122*0.7</f>
        <v>4179</v>
      </c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49"/>
      <c r="AG122" s="449"/>
      <c r="AH122" s="449"/>
      <c r="AI122" s="449"/>
      <c r="AJ122" s="449"/>
      <c r="AK122" s="449"/>
      <c r="AL122" s="449"/>
      <c r="AM122" s="449"/>
      <c r="AN122" s="449"/>
      <c r="AO122" s="449"/>
      <c r="AP122" s="449"/>
      <c r="AQ122" s="449"/>
      <c r="AR122" s="449"/>
      <c r="AS122" s="449"/>
      <c r="AT122" s="449"/>
      <c r="AU122" s="449"/>
      <c r="AV122" s="449"/>
      <c r="AW122" s="449"/>
      <c r="AX122" s="449"/>
      <c r="AY122" s="449"/>
      <c r="AZ122" s="449"/>
      <c r="BA122" s="449"/>
      <c r="BB122" s="449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49"/>
      <c r="CV122" s="449"/>
      <c r="CW122" s="449"/>
      <c r="CX122" s="449"/>
      <c r="CY122" s="449"/>
      <c r="CZ122" s="449"/>
      <c r="DA122" s="449"/>
      <c r="DB122" s="449"/>
      <c r="DC122" s="449"/>
      <c r="DD122" s="449"/>
      <c r="DE122" s="449"/>
      <c r="DF122" s="449"/>
      <c r="DG122" s="449"/>
      <c r="DH122" s="449"/>
      <c r="DI122" s="449"/>
      <c r="DJ122" s="449"/>
      <c r="DK122" s="449"/>
      <c r="DL122" s="449"/>
      <c r="DM122" s="449"/>
      <c r="DN122" s="449"/>
      <c r="DO122" s="449"/>
      <c r="DP122" s="449"/>
      <c r="DQ122" s="449"/>
      <c r="DR122" s="449"/>
      <c r="DS122" s="449"/>
      <c r="DT122" s="449"/>
      <c r="DU122" s="449"/>
      <c r="DV122" s="449"/>
      <c r="DW122" s="449"/>
      <c r="DX122" s="449"/>
      <c r="DY122" s="449"/>
      <c r="DZ122" s="449"/>
      <c r="EA122" s="449"/>
      <c r="EB122" s="449"/>
      <c r="EC122" s="449"/>
      <c r="ED122" s="449"/>
      <c r="EE122" s="449"/>
      <c r="EF122" s="449"/>
      <c r="EG122" s="449"/>
      <c r="EH122" s="449"/>
      <c r="EI122" s="449"/>
      <c r="EJ122" s="449"/>
      <c r="EK122" s="449"/>
      <c r="EL122" s="449"/>
      <c r="EM122" s="449"/>
      <c r="EN122" s="449"/>
      <c r="EO122" s="449"/>
      <c r="EP122" s="449"/>
      <c r="EQ122" s="449"/>
      <c r="ER122" s="449"/>
      <c r="ES122" s="449"/>
      <c r="ET122" s="449"/>
      <c r="EU122" s="449"/>
      <c r="EV122" s="449"/>
      <c r="EW122" s="449"/>
      <c r="EX122" s="449"/>
      <c r="EY122" s="449"/>
      <c r="EZ122" s="449"/>
      <c r="FA122" s="449"/>
      <c r="FB122" s="449"/>
      <c r="FC122" s="449"/>
      <c r="FD122" s="449"/>
      <c r="FE122" s="449"/>
      <c r="FF122" s="449"/>
      <c r="FG122" s="449"/>
      <c r="FH122" s="449"/>
      <c r="FI122" s="449"/>
      <c r="FJ122" s="449"/>
      <c r="FK122" s="449"/>
      <c r="FL122" s="449"/>
      <c r="FM122" s="449"/>
      <c r="FN122" s="449"/>
      <c r="FO122" s="449"/>
      <c r="FP122" s="449"/>
      <c r="FQ122" s="449"/>
      <c r="FR122" s="449"/>
      <c r="FS122" s="449"/>
      <c r="FT122" s="449"/>
      <c r="FU122" s="449"/>
      <c r="FV122" s="449"/>
      <c r="FW122" s="449"/>
      <c r="FX122" s="449"/>
      <c r="FY122" s="449"/>
      <c r="FZ122" s="449"/>
      <c r="GA122" s="449"/>
      <c r="GB122" s="449"/>
      <c r="GC122" s="449"/>
      <c r="GD122" s="449"/>
      <c r="GE122" s="449"/>
      <c r="GF122" s="449"/>
      <c r="GG122" s="449"/>
      <c r="GH122" s="449"/>
      <c r="GI122" s="449"/>
      <c r="GJ122" s="449"/>
      <c r="GK122" s="449"/>
      <c r="GL122" s="449"/>
      <c r="GM122" s="449"/>
      <c r="GN122" s="449"/>
      <c r="GO122" s="449"/>
      <c r="GP122" s="449"/>
      <c r="GQ122" s="449"/>
      <c r="GR122" s="449"/>
      <c r="GS122" s="449"/>
      <c r="GT122" s="449"/>
      <c r="GU122" s="449"/>
      <c r="GV122" s="449"/>
      <c r="GW122" s="449"/>
      <c r="GX122" s="449"/>
      <c r="GY122" s="449"/>
      <c r="GZ122" s="449"/>
      <c r="HA122" s="449"/>
      <c r="HB122" s="449"/>
      <c r="HC122" s="449"/>
      <c r="HD122" s="449"/>
      <c r="HE122" s="449"/>
      <c r="HF122" s="449"/>
      <c r="HG122" s="449"/>
      <c r="HH122" s="449"/>
      <c r="HI122" s="449"/>
      <c r="HJ122" s="449"/>
      <c r="HK122" s="449"/>
      <c r="HL122" s="449"/>
      <c r="HM122" s="449"/>
      <c r="HN122" s="449"/>
      <c r="HO122" s="449"/>
      <c r="HP122" s="449"/>
      <c r="HQ122" s="449"/>
      <c r="HR122" s="449"/>
      <c r="HS122" s="449"/>
      <c r="HT122" s="449"/>
      <c r="HU122" s="449"/>
      <c r="HV122" s="449"/>
      <c r="HW122" s="449"/>
      <c r="HX122" s="449"/>
      <c r="HY122" s="449"/>
      <c r="HZ122" s="449"/>
      <c r="IA122" s="449"/>
      <c r="IB122" s="449"/>
      <c r="IC122" s="449"/>
      <c r="ID122" s="449"/>
      <c r="IE122" s="449"/>
      <c r="IF122" s="449"/>
      <c r="IG122" s="449"/>
      <c r="IH122" s="449"/>
      <c r="II122" s="449"/>
      <c r="IJ122" s="449"/>
      <c r="IK122" s="449"/>
      <c r="IL122" s="449"/>
      <c r="IM122" s="449"/>
      <c r="IN122" s="449"/>
      <c r="IO122" s="449"/>
      <c r="IP122" s="449"/>
      <c r="IQ122" s="449"/>
      <c r="IR122" s="449"/>
      <c r="IS122" s="449"/>
      <c r="IT122" s="449"/>
      <c r="IU122" s="449"/>
      <c r="IV122" s="449"/>
      <c r="IW122" s="449"/>
      <c r="IX122" s="449"/>
    </row>
    <row r="123" spans="3:258" x14ac:dyDescent="0.2">
      <c r="C123" s="388" t="s">
        <v>1056</v>
      </c>
      <c r="D123" s="389"/>
      <c r="E123" s="389"/>
      <c r="F123" s="389"/>
      <c r="G123" s="389"/>
      <c r="H123" s="389"/>
      <c r="I123" s="389"/>
      <c r="J123" s="389"/>
      <c r="K123" s="390"/>
      <c r="L123" s="391" t="str">
        <f>IFERROR(K123/#REF!-1,"")</f>
        <v/>
      </c>
      <c r="M123" s="449"/>
      <c r="N123" s="449"/>
      <c r="O123" s="449"/>
      <c r="P123" s="449"/>
      <c r="Q123" s="449"/>
      <c r="R123" s="449"/>
      <c r="S123" s="449"/>
      <c r="T123" s="449"/>
      <c r="U123" s="449"/>
      <c r="V123" s="449"/>
      <c r="W123" s="449"/>
      <c r="X123" s="449"/>
      <c r="Y123" s="449"/>
      <c r="Z123" s="449"/>
      <c r="AA123" s="449"/>
      <c r="AB123" s="449"/>
      <c r="AC123" s="449"/>
      <c r="AD123" s="449"/>
      <c r="AE123" s="449"/>
      <c r="AF123" s="449"/>
      <c r="AG123" s="449"/>
      <c r="AH123" s="449"/>
      <c r="AI123" s="449"/>
      <c r="AJ123" s="449"/>
      <c r="AK123" s="449"/>
      <c r="AL123" s="449"/>
      <c r="AM123" s="449"/>
      <c r="AN123" s="449"/>
      <c r="AO123" s="449"/>
      <c r="AP123" s="449"/>
      <c r="AQ123" s="449"/>
      <c r="AR123" s="449"/>
      <c r="AS123" s="449"/>
      <c r="AT123" s="449"/>
      <c r="AU123" s="449"/>
      <c r="AV123" s="449"/>
      <c r="AW123" s="449"/>
      <c r="AX123" s="449"/>
      <c r="AY123" s="449"/>
      <c r="AZ123" s="449"/>
      <c r="BA123" s="449"/>
      <c r="BB123" s="449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49"/>
      <c r="CV123" s="449"/>
      <c r="CW123" s="449"/>
      <c r="CX123" s="449"/>
      <c r="CY123" s="449"/>
      <c r="CZ123" s="449"/>
      <c r="DA123" s="449"/>
      <c r="DB123" s="449"/>
      <c r="DC123" s="449"/>
      <c r="DD123" s="449"/>
      <c r="DE123" s="449"/>
      <c r="DF123" s="449"/>
      <c r="DG123" s="449"/>
      <c r="DH123" s="449"/>
      <c r="DI123" s="449"/>
      <c r="DJ123" s="449"/>
      <c r="DK123" s="449"/>
      <c r="DL123" s="449"/>
      <c r="DM123" s="449"/>
      <c r="DN123" s="449"/>
      <c r="DO123" s="449"/>
      <c r="DP123" s="449"/>
      <c r="DQ123" s="449"/>
      <c r="DR123" s="449"/>
      <c r="DS123" s="449"/>
      <c r="DT123" s="449"/>
      <c r="DU123" s="449"/>
      <c r="DV123" s="449"/>
      <c r="DW123" s="449"/>
      <c r="DX123" s="449"/>
      <c r="DY123" s="449"/>
      <c r="DZ123" s="449"/>
      <c r="EA123" s="449"/>
      <c r="EB123" s="449"/>
      <c r="EC123" s="449"/>
      <c r="ED123" s="449"/>
      <c r="EE123" s="449"/>
      <c r="EF123" s="449"/>
      <c r="EG123" s="449"/>
      <c r="EH123" s="449"/>
      <c r="EI123" s="449"/>
      <c r="EJ123" s="449"/>
      <c r="EK123" s="449"/>
      <c r="EL123" s="449"/>
      <c r="EM123" s="449"/>
      <c r="EN123" s="449"/>
      <c r="EO123" s="449"/>
      <c r="EP123" s="449"/>
      <c r="EQ123" s="449"/>
      <c r="ER123" s="449"/>
      <c r="ES123" s="449"/>
      <c r="ET123" s="449"/>
      <c r="EU123" s="449"/>
      <c r="EV123" s="449"/>
      <c r="EW123" s="449"/>
      <c r="EX123" s="449"/>
      <c r="EY123" s="449"/>
      <c r="EZ123" s="449"/>
      <c r="FA123" s="449"/>
      <c r="FB123" s="449"/>
      <c r="FC123" s="449"/>
      <c r="FD123" s="449"/>
      <c r="FE123" s="449"/>
      <c r="FF123" s="449"/>
      <c r="FG123" s="449"/>
      <c r="FH123" s="449"/>
      <c r="FI123" s="449"/>
      <c r="FJ123" s="449"/>
      <c r="FK123" s="449"/>
      <c r="FL123" s="449"/>
      <c r="FM123" s="449"/>
      <c r="FN123" s="449"/>
      <c r="FO123" s="449"/>
      <c r="FP123" s="449"/>
      <c r="FQ123" s="449"/>
      <c r="FR123" s="449"/>
      <c r="FS123" s="449"/>
      <c r="FT123" s="449"/>
      <c r="FU123" s="449"/>
      <c r="FV123" s="449"/>
      <c r="FW123" s="449"/>
      <c r="FX123" s="449"/>
      <c r="FY123" s="449"/>
      <c r="FZ123" s="449"/>
      <c r="GA123" s="449"/>
      <c r="GB123" s="449"/>
      <c r="GC123" s="449"/>
      <c r="GD123" s="449"/>
      <c r="GE123" s="449"/>
      <c r="GF123" s="449"/>
      <c r="GG123" s="449"/>
      <c r="GH123" s="449"/>
      <c r="GI123" s="449"/>
      <c r="GJ123" s="449"/>
      <c r="GK123" s="449"/>
      <c r="GL123" s="449"/>
      <c r="GM123" s="449"/>
      <c r="GN123" s="449"/>
      <c r="GO123" s="449"/>
      <c r="GP123" s="449"/>
      <c r="GQ123" s="449"/>
      <c r="GR123" s="449"/>
      <c r="GS123" s="449"/>
      <c r="GT123" s="449"/>
      <c r="GU123" s="449"/>
      <c r="GV123" s="449"/>
      <c r="GW123" s="449"/>
      <c r="GX123" s="449"/>
      <c r="GY123" s="449"/>
      <c r="GZ123" s="449"/>
      <c r="HA123" s="449"/>
      <c r="HB123" s="449"/>
      <c r="HC123" s="449"/>
      <c r="HD123" s="449"/>
      <c r="HE123" s="449"/>
      <c r="HF123" s="449"/>
      <c r="HG123" s="449"/>
      <c r="HH123" s="449"/>
      <c r="HI123" s="449"/>
      <c r="HJ123" s="449"/>
      <c r="HK123" s="449"/>
      <c r="HL123" s="449"/>
      <c r="HM123" s="449"/>
      <c r="HN123" s="449"/>
      <c r="HO123" s="449"/>
      <c r="HP123" s="449"/>
      <c r="HQ123" s="449"/>
      <c r="HR123" s="449"/>
      <c r="HS123" s="449"/>
      <c r="HT123" s="449"/>
      <c r="HU123" s="449"/>
      <c r="HV123" s="449"/>
      <c r="HW123" s="449"/>
      <c r="HX123" s="449"/>
      <c r="HY123" s="449"/>
      <c r="HZ123" s="449"/>
      <c r="IA123" s="449"/>
      <c r="IB123" s="449"/>
      <c r="IC123" s="449"/>
      <c r="ID123" s="449"/>
      <c r="IE123" s="449"/>
      <c r="IF123" s="449"/>
      <c r="IG123" s="449"/>
      <c r="IH123" s="449"/>
      <c r="II123" s="449"/>
      <c r="IJ123" s="449"/>
      <c r="IK123" s="449"/>
      <c r="IL123" s="449"/>
      <c r="IM123" s="449"/>
      <c r="IN123" s="449"/>
      <c r="IO123" s="449"/>
      <c r="IP123" s="449"/>
      <c r="IQ123" s="449"/>
      <c r="IR123" s="449"/>
      <c r="IS123" s="449"/>
      <c r="IT123" s="449"/>
      <c r="IU123" s="449"/>
      <c r="IV123" s="449"/>
      <c r="IW123" s="449"/>
      <c r="IX123" s="449"/>
    </row>
    <row r="124" spans="3:258" x14ac:dyDescent="0.2">
      <c r="C124" s="410" t="s">
        <v>1057</v>
      </c>
      <c r="D124" s="393" t="s">
        <v>867</v>
      </c>
      <c r="E124" s="410" t="s">
        <v>1058</v>
      </c>
      <c r="F124" s="410"/>
      <c r="G124" s="393">
        <v>1000</v>
      </c>
      <c r="H124" s="393">
        <v>160</v>
      </c>
      <c r="I124" s="393">
        <v>100</v>
      </c>
      <c r="J124" s="393">
        <f>J125-8</f>
        <v>22.33</v>
      </c>
      <c r="K124" s="397">
        <v>5970</v>
      </c>
      <c r="L124" s="398">
        <f>K124*0.7</f>
        <v>4179</v>
      </c>
      <c r="M124" s="449"/>
      <c r="N124" s="449"/>
      <c r="O124" s="449"/>
      <c r="P124" s="449"/>
      <c r="Q124" s="449"/>
      <c r="R124" s="449"/>
      <c r="S124" s="449"/>
      <c r="T124" s="449"/>
      <c r="U124" s="449"/>
      <c r="V124" s="449"/>
      <c r="W124" s="449"/>
      <c r="X124" s="449"/>
      <c r="Y124" s="449"/>
      <c r="Z124" s="449"/>
      <c r="AA124" s="449"/>
      <c r="AB124" s="449"/>
      <c r="AC124" s="449"/>
      <c r="AD124" s="449"/>
      <c r="AE124" s="449"/>
      <c r="AF124" s="449"/>
      <c r="AG124" s="449"/>
      <c r="AH124" s="449"/>
      <c r="AI124" s="449"/>
      <c r="AJ124" s="449"/>
      <c r="AK124" s="449"/>
      <c r="AL124" s="449"/>
      <c r="AM124" s="449"/>
      <c r="AN124" s="449"/>
      <c r="AO124" s="449"/>
      <c r="AP124" s="449"/>
      <c r="AQ124" s="449"/>
      <c r="AR124" s="449"/>
      <c r="AS124" s="449"/>
      <c r="AT124" s="449"/>
      <c r="AU124" s="449"/>
      <c r="AV124" s="449"/>
      <c r="AW124" s="449"/>
      <c r="AX124" s="449"/>
      <c r="AY124" s="449"/>
      <c r="AZ124" s="449"/>
      <c r="BA124" s="449"/>
      <c r="BB124" s="449"/>
      <c r="BC124" s="449"/>
      <c r="BD124" s="449"/>
      <c r="BE124" s="449"/>
      <c r="BF124" s="449"/>
      <c r="BG124" s="449"/>
      <c r="BH124" s="449"/>
      <c r="BI124" s="449"/>
      <c r="BJ124" s="449"/>
      <c r="BK124" s="449"/>
      <c r="BL124" s="449"/>
      <c r="BM124" s="449"/>
      <c r="BN124" s="449"/>
      <c r="BO124" s="449"/>
      <c r="BP124" s="449"/>
      <c r="BQ124" s="449"/>
      <c r="BR124" s="449"/>
      <c r="BS124" s="449"/>
      <c r="BT124" s="449"/>
      <c r="BU124" s="449"/>
      <c r="BV124" s="449"/>
      <c r="BW124" s="449"/>
      <c r="BX124" s="449"/>
      <c r="BY124" s="449"/>
      <c r="BZ124" s="449"/>
      <c r="CA124" s="449"/>
      <c r="CB124" s="449"/>
      <c r="CC124" s="449"/>
      <c r="CD124" s="449"/>
      <c r="CE124" s="449"/>
      <c r="CF124" s="449"/>
      <c r="CG124" s="449"/>
      <c r="CH124" s="449"/>
      <c r="CI124" s="449"/>
      <c r="CJ124" s="449"/>
      <c r="CK124" s="449"/>
      <c r="CL124" s="449"/>
      <c r="CM124" s="449"/>
      <c r="CN124" s="449"/>
      <c r="CO124" s="449"/>
      <c r="CP124" s="449"/>
      <c r="CQ124" s="449"/>
      <c r="CR124" s="449"/>
      <c r="CS124" s="449"/>
      <c r="CT124" s="449"/>
      <c r="CU124" s="449"/>
      <c r="CV124" s="449"/>
      <c r="CW124" s="449"/>
      <c r="CX124" s="449"/>
      <c r="CY124" s="449"/>
      <c r="CZ124" s="449"/>
      <c r="DA124" s="449"/>
      <c r="DB124" s="449"/>
      <c r="DC124" s="449"/>
      <c r="DD124" s="449"/>
      <c r="DE124" s="449"/>
      <c r="DF124" s="449"/>
      <c r="DG124" s="449"/>
      <c r="DH124" s="449"/>
      <c r="DI124" s="449"/>
      <c r="DJ124" s="449"/>
      <c r="DK124" s="449"/>
      <c r="DL124" s="449"/>
      <c r="DM124" s="449"/>
      <c r="DN124" s="449"/>
      <c r="DO124" s="449"/>
      <c r="DP124" s="449"/>
      <c r="DQ124" s="449"/>
      <c r="DR124" s="449"/>
      <c r="DS124" s="449"/>
      <c r="DT124" s="449"/>
      <c r="DU124" s="449"/>
      <c r="DV124" s="449"/>
      <c r="DW124" s="449"/>
      <c r="DX124" s="449"/>
      <c r="DY124" s="449"/>
      <c r="DZ124" s="449"/>
      <c r="EA124" s="449"/>
      <c r="EB124" s="449"/>
      <c r="EC124" s="449"/>
      <c r="ED124" s="449"/>
      <c r="EE124" s="449"/>
      <c r="EF124" s="449"/>
      <c r="EG124" s="449"/>
      <c r="EH124" s="449"/>
      <c r="EI124" s="449"/>
      <c r="EJ124" s="449"/>
      <c r="EK124" s="449"/>
      <c r="EL124" s="449"/>
      <c r="EM124" s="449"/>
      <c r="EN124" s="449"/>
      <c r="EO124" s="449"/>
      <c r="EP124" s="449"/>
      <c r="EQ124" s="449"/>
      <c r="ER124" s="449"/>
      <c r="ES124" s="449"/>
      <c r="ET124" s="449"/>
      <c r="EU124" s="449"/>
      <c r="EV124" s="449"/>
      <c r="EW124" s="449"/>
      <c r="EX124" s="449"/>
      <c r="EY124" s="449"/>
      <c r="EZ124" s="449"/>
      <c r="FA124" s="449"/>
      <c r="FB124" s="449"/>
      <c r="FC124" s="449"/>
      <c r="FD124" s="449"/>
      <c r="FE124" s="449"/>
      <c r="FF124" s="449"/>
      <c r="FG124" s="449"/>
      <c r="FH124" s="449"/>
      <c r="FI124" s="449"/>
      <c r="FJ124" s="449"/>
      <c r="FK124" s="449"/>
      <c r="FL124" s="449"/>
      <c r="FM124" s="449"/>
      <c r="FN124" s="449"/>
      <c r="FO124" s="449"/>
      <c r="FP124" s="449"/>
      <c r="FQ124" s="449"/>
      <c r="FR124" s="449"/>
      <c r="FS124" s="449"/>
      <c r="FT124" s="449"/>
      <c r="FU124" s="449"/>
      <c r="FV124" s="449"/>
      <c r="FW124" s="449"/>
      <c r="FX124" s="449"/>
      <c r="FY124" s="449"/>
      <c r="FZ124" s="449"/>
      <c r="GA124" s="449"/>
      <c r="GB124" s="449"/>
      <c r="GC124" s="449"/>
      <c r="GD124" s="449"/>
      <c r="GE124" s="449"/>
      <c r="GF124" s="449"/>
      <c r="GG124" s="449"/>
      <c r="GH124" s="449"/>
      <c r="GI124" s="449"/>
      <c r="GJ124" s="449"/>
      <c r="GK124" s="449"/>
      <c r="GL124" s="449"/>
      <c r="GM124" s="449"/>
      <c r="GN124" s="449"/>
      <c r="GO124" s="449"/>
      <c r="GP124" s="449"/>
      <c r="GQ124" s="449"/>
      <c r="GR124" s="449"/>
      <c r="GS124" s="449"/>
      <c r="GT124" s="449"/>
      <c r="GU124" s="449"/>
      <c r="GV124" s="449"/>
      <c r="GW124" s="449"/>
      <c r="GX124" s="449"/>
      <c r="GY124" s="449"/>
      <c r="GZ124" s="449"/>
      <c r="HA124" s="449"/>
      <c r="HB124" s="449"/>
      <c r="HC124" s="449"/>
      <c r="HD124" s="449"/>
      <c r="HE124" s="449"/>
      <c r="HF124" s="449"/>
      <c r="HG124" s="449"/>
      <c r="HH124" s="449"/>
      <c r="HI124" s="449"/>
      <c r="HJ124" s="449"/>
      <c r="HK124" s="449"/>
      <c r="HL124" s="449"/>
      <c r="HM124" s="449"/>
      <c r="HN124" s="449"/>
      <c r="HO124" s="449"/>
      <c r="HP124" s="449"/>
      <c r="HQ124" s="449"/>
      <c r="HR124" s="449"/>
      <c r="HS124" s="449"/>
      <c r="HT124" s="449"/>
      <c r="HU124" s="449"/>
      <c r="HV124" s="449"/>
      <c r="HW124" s="449"/>
      <c r="HX124" s="449"/>
      <c r="HY124" s="449"/>
      <c r="HZ124" s="449"/>
      <c r="IA124" s="449"/>
      <c r="IB124" s="449"/>
      <c r="IC124" s="449"/>
      <c r="ID124" s="449"/>
      <c r="IE124" s="449"/>
      <c r="IF124" s="449"/>
      <c r="IG124" s="449"/>
      <c r="IH124" s="449"/>
      <c r="II124" s="449"/>
      <c r="IJ124" s="449"/>
      <c r="IK124" s="449"/>
      <c r="IL124" s="449"/>
      <c r="IM124" s="449"/>
      <c r="IN124" s="449"/>
      <c r="IO124" s="449"/>
      <c r="IP124" s="449"/>
      <c r="IQ124" s="449"/>
      <c r="IR124" s="449"/>
      <c r="IS124" s="449"/>
      <c r="IT124" s="449"/>
      <c r="IU124" s="449"/>
      <c r="IV124" s="449"/>
      <c r="IW124" s="449"/>
      <c r="IX124" s="449"/>
    </row>
    <row r="125" spans="3:258" x14ac:dyDescent="0.2">
      <c r="C125" s="410" t="s">
        <v>1059</v>
      </c>
      <c r="D125" s="393" t="s">
        <v>867</v>
      </c>
      <c r="E125" s="410" t="s">
        <v>1060</v>
      </c>
      <c r="F125" s="410"/>
      <c r="G125" s="393">
        <v>1000</v>
      </c>
      <c r="H125" s="393">
        <v>160</v>
      </c>
      <c r="I125" s="393">
        <v>210</v>
      </c>
      <c r="J125" s="393">
        <v>30.33</v>
      </c>
      <c r="K125" s="397">
        <v>7804</v>
      </c>
      <c r="L125" s="398">
        <f>K125*0.7</f>
        <v>5462.7999999999993</v>
      </c>
      <c r="M125" s="449"/>
      <c r="N125" s="449"/>
      <c r="O125" s="449"/>
      <c r="P125" s="449"/>
      <c r="Q125" s="449"/>
      <c r="R125" s="449"/>
      <c r="S125" s="449"/>
      <c r="T125" s="449"/>
      <c r="U125" s="449"/>
      <c r="V125" s="449"/>
      <c r="W125" s="449"/>
      <c r="X125" s="449"/>
      <c r="Y125" s="449"/>
      <c r="Z125" s="449"/>
      <c r="AA125" s="449"/>
      <c r="AB125" s="449"/>
      <c r="AC125" s="449"/>
      <c r="AD125" s="449"/>
      <c r="AE125" s="449"/>
      <c r="AF125" s="449"/>
      <c r="AG125" s="449"/>
      <c r="AH125" s="449"/>
      <c r="AI125" s="449"/>
      <c r="AJ125" s="449"/>
      <c r="AK125" s="449"/>
      <c r="AL125" s="449"/>
      <c r="AM125" s="449"/>
      <c r="AN125" s="449"/>
      <c r="AO125" s="449"/>
      <c r="AP125" s="449"/>
      <c r="AQ125" s="449"/>
      <c r="AR125" s="449"/>
      <c r="AS125" s="449"/>
      <c r="AT125" s="449"/>
      <c r="AU125" s="449"/>
      <c r="AV125" s="449"/>
      <c r="AW125" s="449"/>
      <c r="AX125" s="449"/>
      <c r="AY125" s="449"/>
      <c r="AZ125" s="449"/>
      <c r="BA125" s="449"/>
      <c r="BB125" s="449"/>
      <c r="BC125" s="449"/>
      <c r="BD125" s="449"/>
      <c r="BE125" s="449"/>
      <c r="BF125" s="449"/>
      <c r="BG125" s="449"/>
      <c r="BH125" s="449"/>
      <c r="BI125" s="449"/>
      <c r="BJ125" s="449"/>
      <c r="BK125" s="449"/>
      <c r="BL125" s="449"/>
      <c r="BM125" s="449"/>
      <c r="BN125" s="449"/>
      <c r="BO125" s="449"/>
      <c r="BP125" s="449"/>
      <c r="BQ125" s="449"/>
      <c r="BR125" s="449"/>
      <c r="BS125" s="449"/>
      <c r="BT125" s="449"/>
      <c r="BU125" s="449"/>
      <c r="BV125" s="449"/>
      <c r="BW125" s="449"/>
      <c r="BX125" s="449"/>
      <c r="BY125" s="449"/>
      <c r="BZ125" s="449"/>
      <c r="CA125" s="449"/>
      <c r="CB125" s="449"/>
      <c r="CC125" s="449"/>
      <c r="CD125" s="449"/>
      <c r="CE125" s="449"/>
      <c r="CF125" s="449"/>
      <c r="CG125" s="449"/>
      <c r="CH125" s="449"/>
      <c r="CI125" s="449"/>
      <c r="CJ125" s="449"/>
      <c r="CK125" s="449"/>
      <c r="CL125" s="449"/>
      <c r="CM125" s="449"/>
      <c r="CN125" s="449"/>
      <c r="CO125" s="449"/>
      <c r="CP125" s="449"/>
      <c r="CQ125" s="449"/>
      <c r="CR125" s="449"/>
      <c r="CS125" s="449"/>
      <c r="CT125" s="449"/>
      <c r="CU125" s="449"/>
      <c r="CV125" s="449"/>
      <c r="CW125" s="449"/>
      <c r="CX125" s="449"/>
      <c r="CY125" s="449"/>
      <c r="CZ125" s="449"/>
      <c r="DA125" s="449"/>
      <c r="DB125" s="449"/>
      <c r="DC125" s="449"/>
      <c r="DD125" s="449"/>
      <c r="DE125" s="449"/>
      <c r="DF125" s="449"/>
      <c r="DG125" s="449"/>
      <c r="DH125" s="449"/>
      <c r="DI125" s="449"/>
      <c r="DJ125" s="449"/>
      <c r="DK125" s="449"/>
      <c r="DL125" s="449"/>
      <c r="DM125" s="449"/>
      <c r="DN125" s="449"/>
      <c r="DO125" s="449"/>
      <c r="DP125" s="449"/>
      <c r="DQ125" s="449"/>
      <c r="DR125" s="449"/>
      <c r="DS125" s="449"/>
      <c r="DT125" s="449"/>
      <c r="DU125" s="449"/>
      <c r="DV125" s="449"/>
      <c r="DW125" s="449"/>
      <c r="DX125" s="449"/>
      <c r="DY125" s="449"/>
      <c r="DZ125" s="449"/>
      <c r="EA125" s="449"/>
      <c r="EB125" s="449"/>
      <c r="EC125" s="449"/>
      <c r="ED125" s="449"/>
      <c r="EE125" s="449"/>
      <c r="EF125" s="449"/>
      <c r="EG125" s="449"/>
      <c r="EH125" s="449"/>
      <c r="EI125" s="449"/>
      <c r="EJ125" s="449"/>
      <c r="EK125" s="449"/>
      <c r="EL125" s="449"/>
      <c r="EM125" s="449"/>
      <c r="EN125" s="449"/>
      <c r="EO125" s="449"/>
      <c r="EP125" s="449"/>
      <c r="EQ125" s="449"/>
      <c r="ER125" s="449"/>
      <c r="ES125" s="449"/>
      <c r="ET125" s="449"/>
      <c r="EU125" s="449"/>
      <c r="EV125" s="449"/>
      <c r="EW125" s="449"/>
      <c r="EX125" s="449"/>
      <c r="EY125" s="449"/>
      <c r="EZ125" s="449"/>
      <c r="FA125" s="449"/>
      <c r="FB125" s="449"/>
      <c r="FC125" s="449"/>
      <c r="FD125" s="449"/>
      <c r="FE125" s="449"/>
      <c r="FF125" s="449"/>
      <c r="FG125" s="449"/>
      <c r="FH125" s="449"/>
      <c r="FI125" s="449"/>
      <c r="FJ125" s="449"/>
      <c r="FK125" s="449"/>
      <c r="FL125" s="449"/>
      <c r="FM125" s="449"/>
      <c r="FN125" s="449"/>
      <c r="FO125" s="449"/>
      <c r="FP125" s="449"/>
      <c r="FQ125" s="449"/>
      <c r="FR125" s="449"/>
      <c r="FS125" s="449"/>
      <c r="FT125" s="449"/>
      <c r="FU125" s="449"/>
      <c r="FV125" s="449"/>
      <c r="FW125" s="449"/>
      <c r="FX125" s="449"/>
      <c r="FY125" s="449"/>
      <c r="FZ125" s="449"/>
      <c r="GA125" s="449"/>
      <c r="GB125" s="449"/>
      <c r="GC125" s="449"/>
      <c r="GD125" s="449"/>
      <c r="GE125" s="449"/>
      <c r="GF125" s="449"/>
      <c r="GG125" s="449"/>
      <c r="GH125" s="449"/>
      <c r="GI125" s="449"/>
      <c r="GJ125" s="449"/>
      <c r="GK125" s="449"/>
      <c r="GL125" s="449"/>
      <c r="GM125" s="449"/>
      <c r="GN125" s="449"/>
      <c r="GO125" s="449"/>
      <c r="GP125" s="449"/>
      <c r="GQ125" s="449"/>
      <c r="GR125" s="449"/>
      <c r="GS125" s="449"/>
      <c r="GT125" s="449"/>
      <c r="GU125" s="449"/>
      <c r="GV125" s="449"/>
      <c r="GW125" s="449"/>
      <c r="GX125" s="449"/>
      <c r="GY125" s="449"/>
      <c r="GZ125" s="449"/>
      <c r="HA125" s="449"/>
      <c r="HB125" s="449"/>
      <c r="HC125" s="449"/>
      <c r="HD125" s="449"/>
      <c r="HE125" s="449"/>
      <c r="HF125" s="449"/>
      <c r="HG125" s="449"/>
      <c r="HH125" s="449"/>
      <c r="HI125" s="449"/>
      <c r="HJ125" s="449"/>
      <c r="HK125" s="449"/>
      <c r="HL125" s="449"/>
      <c r="HM125" s="449"/>
      <c r="HN125" s="449"/>
      <c r="HO125" s="449"/>
      <c r="HP125" s="449"/>
      <c r="HQ125" s="449"/>
      <c r="HR125" s="449"/>
      <c r="HS125" s="449"/>
      <c r="HT125" s="449"/>
      <c r="HU125" s="449"/>
      <c r="HV125" s="449"/>
      <c r="HW125" s="449"/>
      <c r="HX125" s="449"/>
      <c r="HY125" s="449"/>
      <c r="HZ125" s="449"/>
      <c r="IA125" s="449"/>
      <c r="IB125" s="449"/>
      <c r="IC125" s="449"/>
      <c r="ID125" s="449"/>
      <c r="IE125" s="449"/>
      <c r="IF125" s="449"/>
      <c r="IG125" s="449"/>
      <c r="IH125" s="449"/>
      <c r="II125" s="449"/>
      <c r="IJ125" s="449"/>
      <c r="IK125" s="449"/>
      <c r="IL125" s="449"/>
      <c r="IM125" s="449"/>
      <c r="IN125" s="449"/>
      <c r="IO125" s="449"/>
      <c r="IP125" s="449"/>
      <c r="IQ125" s="449"/>
      <c r="IR125" s="449"/>
      <c r="IS125" s="449"/>
      <c r="IT125" s="449"/>
      <c r="IU125" s="449"/>
      <c r="IV125" s="449"/>
      <c r="IW125" s="449"/>
      <c r="IX125" s="449"/>
    </row>
    <row r="126" spans="3:258" x14ac:dyDescent="0.2">
      <c r="C126" s="410" t="s">
        <v>1061</v>
      </c>
      <c r="D126" s="393" t="s">
        <v>867</v>
      </c>
      <c r="E126" s="410" t="s">
        <v>1062</v>
      </c>
      <c r="F126" s="410"/>
      <c r="G126" s="393">
        <v>1000</v>
      </c>
      <c r="H126" s="393">
        <v>160</v>
      </c>
      <c r="I126" s="393">
        <v>260</v>
      </c>
      <c r="J126" s="393">
        <v>34.229999999999997</v>
      </c>
      <c r="K126" s="397">
        <v>8160</v>
      </c>
      <c r="L126" s="398">
        <f>K126*0.7</f>
        <v>5712</v>
      </c>
      <c r="M126" s="449"/>
      <c r="N126" s="449"/>
      <c r="O126" s="449"/>
      <c r="P126" s="449"/>
      <c r="Q126" s="449"/>
      <c r="R126" s="449"/>
      <c r="S126" s="449"/>
      <c r="T126" s="449"/>
      <c r="U126" s="449"/>
      <c r="V126" s="449"/>
      <c r="W126" s="449"/>
      <c r="X126" s="449"/>
      <c r="Y126" s="449"/>
      <c r="Z126" s="449"/>
      <c r="AA126" s="449"/>
      <c r="AB126" s="449"/>
      <c r="AC126" s="449"/>
      <c r="AD126" s="449"/>
      <c r="AE126" s="449"/>
      <c r="AF126" s="449"/>
      <c r="AG126" s="449"/>
      <c r="AH126" s="449"/>
      <c r="AI126" s="449"/>
      <c r="AJ126" s="449"/>
      <c r="AK126" s="449"/>
      <c r="AL126" s="449"/>
      <c r="AM126" s="449"/>
      <c r="AN126" s="449"/>
      <c r="AO126" s="449"/>
      <c r="AP126" s="449"/>
      <c r="AQ126" s="449"/>
      <c r="AR126" s="449"/>
      <c r="AS126" s="449"/>
      <c r="AT126" s="449"/>
      <c r="AU126" s="449"/>
      <c r="AV126" s="449"/>
      <c r="AW126" s="449"/>
      <c r="AX126" s="449"/>
      <c r="AY126" s="449"/>
      <c r="AZ126" s="449"/>
      <c r="BA126" s="449"/>
      <c r="BB126" s="449"/>
      <c r="BC126" s="449"/>
      <c r="BD126" s="449"/>
      <c r="BE126" s="449"/>
      <c r="BF126" s="449"/>
      <c r="BG126" s="449"/>
      <c r="BH126" s="449"/>
      <c r="BI126" s="449"/>
      <c r="BJ126" s="449"/>
      <c r="BK126" s="449"/>
      <c r="BL126" s="449"/>
      <c r="BM126" s="449"/>
      <c r="BN126" s="449"/>
      <c r="BO126" s="449"/>
      <c r="BP126" s="449"/>
      <c r="BQ126" s="449"/>
      <c r="BR126" s="449"/>
      <c r="BS126" s="449"/>
      <c r="BT126" s="449"/>
      <c r="BU126" s="449"/>
      <c r="BV126" s="449"/>
      <c r="BW126" s="449"/>
      <c r="BX126" s="449"/>
      <c r="BY126" s="449"/>
      <c r="BZ126" s="449"/>
      <c r="CA126" s="449"/>
      <c r="CB126" s="449"/>
      <c r="CC126" s="449"/>
      <c r="CD126" s="449"/>
      <c r="CE126" s="449"/>
      <c r="CF126" s="449"/>
      <c r="CG126" s="449"/>
      <c r="CH126" s="449"/>
      <c r="CI126" s="449"/>
      <c r="CJ126" s="449"/>
      <c r="CK126" s="449"/>
      <c r="CL126" s="449"/>
      <c r="CM126" s="449"/>
      <c r="CN126" s="449"/>
      <c r="CO126" s="449"/>
      <c r="CP126" s="449"/>
      <c r="CQ126" s="449"/>
      <c r="CR126" s="449"/>
      <c r="CS126" s="449"/>
      <c r="CT126" s="449"/>
      <c r="CU126" s="449"/>
      <c r="CV126" s="449"/>
      <c r="CW126" s="449"/>
      <c r="CX126" s="449"/>
      <c r="CY126" s="449"/>
      <c r="CZ126" s="449"/>
      <c r="DA126" s="449"/>
      <c r="DB126" s="449"/>
      <c r="DC126" s="449"/>
      <c r="DD126" s="449"/>
      <c r="DE126" s="449"/>
      <c r="DF126" s="449"/>
      <c r="DG126" s="449"/>
      <c r="DH126" s="449"/>
      <c r="DI126" s="449"/>
      <c r="DJ126" s="449"/>
      <c r="DK126" s="449"/>
      <c r="DL126" s="449"/>
      <c r="DM126" s="449"/>
      <c r="DN126" s="449"/>
      <c r="DO126" s="449"/>
      <c r="DP126" s="449"/>
      <c r="DQ126" s="449"/>
      <c r="DR126" s="449"/>
      <c r="DS126" s="449"/>
      <c r="DT126" s="449"/>
      <c r="DU126" s="449"/>
      <c r="DV126" s="449"/>
      <c r="DW126" s="449"/>
      <c r="DX126" s="449"/>
      <c r="DY126" s="449"/>
      <c r="DZ126" s="449"/>
      <c r="EA126" s="449"/>
      <c r="EB126" s="449"/>
      <c r="EC126" s="449"/>
      <c r="ED126" s="449"/>
      <c r="EE126" s="449"/>
      <c r="EF126" s="449"/>
      <c r="EG126" s="449"/>
      <c r="EH126" s="449"/>
      <c r="EI126" s="449"/>
      <c r="EJ126" s="449"/>
      <c r="EK126" s="449"/>
      <c r="EL126" s="449"/>
      <c r="EM126" s="449"/>
      <c r="EN126" s="449"/>
      <c r="EO126" s="449"/>
      <c r="EP126" s="449"/>
      <c r="EQ126" s="449"/>
      <c r="ER126" s="449"/>
      <c r="ES126" s="449"/>
      <c r="ET126" s="449"/>
      <c r="EU126" s="449"/>
      <c r="EV126" s="449"/>
      <c r="EW126" s="449"/>
      <c r="EX126" s="449"/>
      <c r="EY126" s="449"/>
      <c r="EZ126" s="449"/>
      <c r="FA126" s="449"/>
      <c r="FB126" s="449"/>
      <c r="FC126" s="449"/>
      <c r="FD126" s="449"/>
      <c r="FE126" s="449"/>
      <c r="FF126" s="449"/>
      <c r="FG126" s="449"/>
      <c r="FH126" s="449"/>
      <c r="FI126" s="449"/>
      <c r="FJ126" s="449"/>
      <c r="FK126" s="449"/>
      <c r="FL126" s="449"/>
      <c r="FM126" s="449"/>
      <c r="FN126" s="449"/>
      <c r="FO126" s="449"/>
      <c r="FP126" s="449"/>
      <c r="FQ126" s="449"/>
      <c r="FR126" s="449"/>
      <c r="FS126" s="449"/>
      <c r="FT126" s="449"/>
      <c r="FU126" s="449"/>
      <c r="FV126" s="449"/>
      <c r="FW126" s="449"/>
      <c r="FX126" s="449"/>
      <c r="FY126" s="449"/>
      <c r="FZ126" s="449"/>
      <c r="GA126" s="449"/>
      <c r="GB126" s="449"/>
      <c r="GC126" s="449"/>
      <c r="GD126" s="449"/>
      <c r="GE126" s="449"/>
      <c r="GF126" s="449"/>
      <c r="GG126" s="449"/>
      <c r="GH126" s="449"/>
      <c r="GI126" s="449"/>
      <c r="GJ126" s="449"/>
      <c r="GK126" s="449"/>
      <c r="GL126" s="449"/>
      <c r="GM126" s="449"/>
      <c r="GN126" s="449"/>
      <c r="GO126" s="449"/>
      <c r="GP126" s="449"/>
      <c r="GQ126" s="449"/>
      <c r="GR126" s="449"/>
      <c r="GS126" s="449"/>
      <c r="GT126" s="449"/>
      <c r="GU126" s="449"/>
      <c r="GV126" s="449"/>
      <c r="GW126" s="449"/>
      <c r="GX126" s="449"/>
      <c r="GY126" s="449"/>
      <c r="GZ126" s="449"/>
      <c r="HA126" s="449"/>
      <c r="HB126" s="449"/>
      <c r="HC126" s="449"/>
      <c r="HD126" s="449"/>
      <c r="HE126" s="449"/>
      <c r="HF126" s="449"/>
      <c r="HG126" s="449"/>
      <c r="HH126" s="449"/>
      <c r="HI126" s="449"/>
      <c r="HJ126" s="449"/>
      <c r="HK126" s="449"/>
      <c r="HL126" s="449"/>
      <c r="HM126" s="449"/>
      <c r="HN126" s="449"/>
      <c r="HO126" s="449"/>
      <c r="HP126" s="449"/>
      <c r="HQ126" s="449"/>
      <c r="HR126" s="449"/>
      <c r="HS126" s="449"/>
      <c r="HT126" s="449"/>
      <c r="HU126" s="449"/>
      <c r="HV126" s="449"/>
      <c r="HW126" s="449"/>
      <c r="HX126" s="449"/>
      <c r="HY126" s="449"/>
      <c r="HZ126" s="449"/>
      <c r="IA126" s="449"/>
      <c r="IB126" s="449"/>
      <c r="IC126" s="449"/>
      <c r="ID126" s="449"/>
      <c r="IE126" s="449"/>
      <c r="IF126" s="449"/>
      <c r="IG126" s="449"/>
      <c r="IH126" s="449"/>
      <c r="II126" s="449"/>
      <c r="IJ126" s="449"/>
      <c r="IK126" s="449"/>
      <c r="IL126" s="449"/>
      <c r="IM126" s="449"/>
      <c r="IN126" s="449"/>
      <c r="IO126" s="449"/>
      <c r="IP126" s="449"/>
      <c r="IQ126" s="449"/>
      <c r="IR126" s="449"/>
      <c r="IS126" s="449"/>
      <c r="IT126" s="449"/>
      <c r="IU126" s="449"/>
      <c r="IV126" s="449"/>
      <c r="IW126" s="449"/>
      <c r="IX126" s="449"/>
    </row>
    <row r="127" spans="3:258" x14ac:dyDescent="0.2">
      <c r="C127" s="410" t="s">
        <v>1063</v>
      </c>
      <c r="D127" s="393" t="s">
        <v>867</v>
      </c>
      <c r="E127" s="410" t="s">
        <v>1064</v>
      </c>
      <c r="F127" s="410"/>
      <c r="G127" s="393">
        <v>500</v>
      </c>
      <c r="H127" s="393">
        <v>160</v>
      </c>
      <c r="I127" s="393">
        <v>500</v>
      </c>
      <c r="J127" s="393">
        <v>30.5</v>
      </c>
      <c r="K127" s="397">
        <v>6253</v>
      </c>
      <c r="L127" s="398">
        <f>K127*0.7</f>
        <v>4377.0999999999995</v>
      </c>
      <c r="M127" s="449"/>
      <c r="N127" s="449"/>
      <c r="O127" s="449"/>
      <c r="P127" s="449"/>
      <c r="Q127" s="449"/>
      <c r="R127" s="449"/>
      <c r="S127" s="449"/>
      <c r="T127" s="449"/>
      <c r="U127" s="449"/>
      <c r="V127" s="449"/>
      <c r="W127" s="449"/>
      <c r="X127" s="449"/>
      <c r="Y127" s="449"/>
      <c r="Z127" s="449"/>
      <c r="AA127" s="449"/>
      <c r="AB127" s="449"/>
      <c r="AC127" s="449"/>
      <c r="AD127" s="449"/>
      <c r="AE127" s="449"/>
      <c r="AF127" s="449"/>
      <c r="AG127" s="449"/>
      <c r="AH127" s="449"/>
      <c r="AI127" s="449"/>
      <c r="AJ127" s="449"/>
      <c r="AK127" s="449"/>
      <c r="AL127" s="449"/>
      <c r="AM127" s="449"/>
      <c r="AN127" s="449"/>
      <c r="AO127" s="449"/>
      <c r="AP127" s="449"/>
      <c r="AQ127" s="449"/>
      <c r="AR127" s="449"/>
      <c r="AS127" s="449"/>
      <c r="AT127" s="449"/>
      <c r="AU127" s="449"/>
      <c r="AV127" s="449"/>
      <c r="AW127" s="449"/>
      <c r="AX127" s="449"/>
      <c r="AY127" s="449"/>
      <c r="AZ127" s="449"/>
      <c r="BA127" s="449"/>
      <c r="BB127" s="449"/>
      <c r="BC127" s="449"/>
      <c r="BD127" s="449"/>
      <c r="BE127" s="449"/>
      <c r="BF127" s="449"/>
      <c r="BG127" s="449"/>
      <c r="BH127" s="449"/>
      <c r="BI127" s="449"/>
      <c r="BJ127" s="449"/>
      <c r="BK127" s="449"/>
      <c r="BL127" s="449"/>
      <c r="BM127" s="449"/>
      <c r="BN127" s="449"/>
      <c r="BO127" s="449"/>
      <c r="BP127" s="449"/>
      <c r="BQ127" s="449"/>
      <c r="BR127" s="449"/>
      <c r="BS127" s="449"/>
      <c r="BT127" s="449"/>
      <c r="BU127" s="449"/>
      <c r="BV127" s="449"/>
      <c r="BW127" s="449"/>
      <c r="BX127" s="449"/>
      <c r="BY127" s="449"/>
      <c r="BZ127" s="449"/>
      <c r="CA127" s="449"/>
      <c r="CB127" s="449"/>
      <c r="CC127" s="449"/>
      <c r="CD127" s="449"/>
      <c r="CE127" s="449"/>
      <c r="CF127" s="449"/>
      <c r="CG127" s="449"/>
      <c r="CH127" s="449"/>
      <c r="CI127" s="449"/>
      <c r="CJ127" s="449"/>
      <c r="CK127" s="449"/>
      <c r="CL127" s="449"/>
      <c r="CM127" s="449"/>
      <c r="CN127" s="449"/>
      <c r="CO127" s="449"/>
      <c r="CP127" s="449"/>
      <c r="CQ127" s="449"/>
      <c r="CR127" s="449"/>
      <c r="CS127" s="449"/>
      <c r="CT127" s="449"/>
      <c r="CU127" s="449"/>
      <c r="CV127" s="449"/>
      <c r="CW127" s="449"/>
      <c r="CX127" s="449"/>
      <c r="CY127" s="449"/>
      <c r="CZ127" s="449"/>
      <c r="DA127" s="449"/>
      <c r="DB127" s="449"/>
      <c r="DC127" s="449"/>
      <c r="DD127" s="449"/>
      <c r="DE127" s="449"/>
      <c r="DF127" s="449"/>
      <c r="DG127" s="449"/>
      <c r="DH127" s="449"/>
      <c r="DI127" s="449"/>
      <c r="DJ127" s="449"/>
      <c r="DK127" s="449"/>
      <c r="DL127" s="449"/>
      <c r="DM127" s="449"/>
      <c r="DN127" s="449"/>
      <c r="DO127" s="449"/>
      <c r="DP127" s="449"/>
      <c r="DQ127" s="449"/>
      <c r="DR127" s="449"/>
      <c r="DS127" s="449"/>
      <c r="DT127" s="449"/>
      <c r="DU127" s="449"/>
      <c r="DV127" s="449"/>
      <c r="DW127" s="449"/>
      <c r="DX127" s="449"/>
      <c r="DY127" s="449"/>
      <c r="DZ127" s="449"/>
      <c r="EA127" s="449"/>
      <c r="EB127" s="449"/>
      <c r="EC127" s="449"/>
      <c r="ED127" s="449"/>
      <c r="EE127" s="449"/>
      <c r="EF127" s="449"/>
      <c r="EG127" s="449"/>
      <c r="EH127" s="449"/>
      <c r="EI127" s="449"/>
      <c r="EJ127" s="449"/>
      <c r="EK127" s="449"/>
      <c r="EL127" s="449"/>
      <c r="EM127" s="449"/>
      <c r="EN127" s="449"/>
      <c r="EO127" s="449"/>
      <c r="EP127" s="449"/>
      <c r="EQ127" s="449"/>
      <c r="ER127" s="449"/>
      <c r="ES127" s="449"/>
      <c r="ET127" s="449"/>
      <c r="EU127" s="449"/>
      <c r="EV127" s="449"/>
      <c r="EW127" s="449"/>
      <c r="EX127" s="449"/>
      <c r="EY127" s="449"/>
      <c r="EZ127" s="449"/>
      <c r="FA127" s="449"/>
      <c r="FB127" s="449"/>
      <c r="FC127" s="449"/>
      <c r="FD127" s="449"/>
      <c r="FE127" s="449"/>
      <c r="FF127" s="449"/>
      <c r="FG127" s="449"/>
      <c r="FH127" s="449"/>
      <c r="FI127" s="449"/>
      <c r="FJ127" s="449"/>
      <c r="FK127" s="449"/>
      <c r="FL127" s="449"/>
      <c r="FM127" s="449"/>
      <c r="FN127" s="449"/>
      <c r="FO127" s="449"/>
      <c r="FP127" s="449"/>
      <c r="FQ127" s="449"/>
      <c r="FR127" s="449"/>
      <c r="FS127" s="449"/>
      <c r="FT127" s="449"/>
      <c r="FU127" s="449"/>
      <c r="FV127" s="449"/>
      <c r="FW127" s="449"/>
      <c r="FX127" s="449"/>
      <c r="FY127" s="449"/>
      <c r="FZ127" s="449"/>
      <c r="GA127" s="449"/>
      <c r="GB127" s="449"/>
      <c r="GC127" s="449"/>
      <c r="GD127" s="449"/>
      <c r="GE127" s="449"/>
      <c r="GF127" s="449"/>
      <c r="GG127" s="449"/>
      <c r="GH127" s="449"/>
      <c r="GI127" s="449"/>
      <c r="GJ127" s="449"/>
      <c r="GK127" s="449"/>
      <c r="GL127" s="449"/>
      <c r="GM127" s="449"/>
      <c r="GN127" s="449"/>
      <c r="GO127" s="449"/>
      <c r="GP127" s="449"/>
      <c r="GQ127" s="449"/>
      <c r="GR127" s="449"/>
      <c r="GS127" s="449"/>
      <c r="GT127" s="449"/>
      <c r="GU127" s="449"/>
      <c r="GV127" s="449"/>
      <c r="GW127" s="449"/>
      <c r="GX127" s="449"/>
      <c r="GY127" s="449"/>
      <c r="GZ127" s="449"/>
      <c r="HA127" s="449"/>
      <c r="HB127" s="449"/>
      <c r="HC127" s="449"/>
      <c r="HD127" s="449"/>
      <c r="HE127" s="449"/>
      <c r="HF127" s="449"/>
      <c r="HG127" s="449"/>
      <c r="HH127" s="449"/>
      <c r="HI127" s="449"/>
      <c r="HJ127" s="449"/>
      <c r="HK127" s="449"/>
      <c r="HL127" s="449"/>
      <c r="HM127" s="449"/>
      <c r="HN127" s="449"/>
      <c r="HO127" s="449"/>
      <c r="HP127" s="449"/>
      <c r="HQ127" s="449"/>
      <c r="HR127" s="449"/>
      <c r="HS127" s="449"/>
      <c r="HT127" s="449"/>
      <c r="HU127" s="449"/>
      <c r="HV127" s="449"/>
      <c r="HW127" s="449"/>
      <c r="HX127" s="449"/>
      <c r="HY127" s="449"/>
      <c r="HZ127" s="449"/>
      <c r="IA127" s="449"/>
      <c r="IB127" s="449"/>
      <c r="IC127" s="449"/>
      <c r="ID127" s="449"/>
      <c r="IE127" s="449"/>
      <c r="IF127" s="449"/>
      <c r="IG127" s="449"/>
      <c r="IH127" s="449"/>
      <c r="II127" s="449"/>
      <c r="IJ127" s="449"/>
      <c r="IK127" s="449"/>
      <c r="IL127" s="449"/>
      <c r="IM127" s="449"/>
      <c r="IN127" s="449"/>
      <c r="IO127" s="449"/>
      <c r="IP127" s="449"/>
      <c r="IQ127" s="449"/>
      <c r="IR127" s="449"/>
      <c r="IS127" s="449"/>
      <c r="IT127" s="449"/>
      <c r="IU127" s="449"/>
      <c r="IV127" s="449"/>
      <c r="IW127" s="449"/>
      <c r="IX127" s="449"/>
    </row>
    <row r="128" spans="3:258" x14ac:dyDescent="0.2">
      <c r="C128" s="384" t="s">
        <v>922</v>
      </c>
      <c r="D128" s="385"/>
      <c r="E128" s="385"/>
      <c r="F128" s="385"/>
      <c r="G128" s="385"/>
      <c r="H128" s="385"/>
      <c r="I128" s="385"/>
      <c r="J128" s="385"/>
      <c r="K128" s="386"/>
      <c r="L128" s="387" t="str">
        <f>IFERROR(K128/#REF!-1,"")</f>
        <v/>
      </c>
      <c r="M128" s="449"/>
      <c r="N128" s="449"/>
      <c r="O128" s="449"/>
      <c r="P128" s="449"/>
      <c r="Q128" s="449"/>
      <c r="R128" s="449"/>
      <c r="S128" s="449"/>
      <c r="T128" s="449"/>
      <c r="U128" s="449"/>
      <c r="V128" s="449"/>
      <c r="W128" s="449"/>
      <c r="X128" s="449"/>
      <c r="Y128" s="449"/>
      <c r="Z128" s="449"/>
      <c r="AA128" s="449"/>
      <c r="AB128" s="449"/>
      <c r="AC128" s="449"/>
      <c r="AD128" s="449"/>
      <c r="AE128" s="449"/>
      <c r="AF128" s="449"/>
      <c r="AG128" s="449"/>
      <c r="AH128" s="449"/>
      <c r="AI128" s="449"/>
      <c r="AJ128" s="449"/>
      <c r="AK128" s="449"/>
      <c r="AL128" s="449"/>
      <c r="AM128" s="449"/>
      <c r="AN128" s="449"/>
      <c r="AO128" s="449"/>
      <c r="AP128" s="449"/>
      <c r="AQ128" s="449"/>
      <c r="AR128" s="449"/>
      <c r="AS128" s="449"/>
      <c r="AT128" s="449"/>
      <c r="AU128" s="449"/>
      <c r="AV128" s="449"/>
      <c r="AW128" s="449"/>
      <c r="AX128" s="449"/>
      <c r="AY128" s="449"/>
      <c r="AZ128" s="449"/>
      <c r="BA128" s="449"/>
      <c r="BB128" s="449"/>
      <c r="BC128" s="449"/>
      <c r="BD128" s="449"/>
      <c r="BE128" s="449"/>
      <c r="BF128" s="449"/>
      <c r="BG128" s="449"/>
      <c r="BH128" s="449"/>
      <c r="BI128" s="449"/>
      <c r="BJ128" s="449"/>
      <c r="BK128" s="449"/>
      <c r="BL128" s="449"/>
      <c r="BM128" s="449"/>
      <c r="BN128" s="449"/>
      <c r="BO128" s="449"/>
      <c r="BP128" s="449"/>
      <c r="BQ128" s="449"/>
      <c r="BR128" s="449"/>
      <c r="BS128" s="449"/>
      <c r="BT128" s="449"/>
      <c r="BU128" s="449"/>
      <c r="BV128" s="449"/>
      <c r="BW128" s="449"/>
      <c r="BX128" s="449"/>
      <c r="BY128" s="449"/>
      <c r="BZ128" s="449"/>
      <c r="CA128" s="449"/>
      <c r="CB128" s="449"/>
      <c r="CC128" s="449"/>
      <c r="CD128" s="449"/>
      <c r="CE128" s="449"/>
      <c r="CF128" s="449"/>
      <c r="CG128" s="449"/>
      <c r="CH128" s="449"/>
      <c r="CI128" s="449"/>
      <c r="CJ128" s="449"/>
      <c r="CK128" s="449"/>
      <c r="CL128" s="449"/>
      <c r="CM128" s="449"/>
      <c r="CN128" s="449"/>
      <c r="CO128" s="449"/>
      <c r="CP128" s="449"/>
      <c r="CQ128" s="449"/>
      <c r="CR128" s="449"/>
      <c r="CS128" s="449"/>
      <c r="CT128" s="449"/>
      <c r="CU128" s="449"/>
      <c r="CV128" s="449"/>
      <c r="CW128" s="449"/>
      <c r="CX128" s="449"/>
      <c r="CY128" s="449"/>
      <c r="CZ128" s="449"/>
      <c r="DA128" s="449"/>
      <c r="DB128" s="449"/>
      <c r="DC128" s="449"/>
      <c r="DD128" s="449"/>
      <c r="DE128" s="449"/>
      <c r="DF128" s="449"/>
      <c r="DG128" s="449"/>
      <c r="DH128" s="449"/>
      <c r="DI128" s="449"/>
      <c r="DJ128" s="449"/>
      <c r="DK128" s="449"/>
      <c r="DL128" s="449"/>
      <c r="DM128" s="449"/>
      <c r="DN128" s="449"/>
      <c r="DO128" s="449"/>
      <c r="DP128" s="449"/>
      <c r="DQ128" s="449"/>
      <c r="DR128" s="449"/>
      <c r="DS128" s="449"/>
      <c r="DT128" s="449"/>
      <c r="DU128" s="449"/>
      <c r="DV128" s="449"/>
      <c r="DW128" s="449"/>
      <c r="DX128" s="449"/>
      <c r="DY128" s="449"/>
      <c r="DZ128" s="449"/>
      <c r="EA128" s="449"/>
      <c r="EB128" s="449"/>
      <c r="EC128" s="449"/>
      <c r="ED128" s="449"/>
      <c r="EE128" s="449"/>
      <c r="EF128" s="449"/>
      <c r="EG128" s="449"/>
      <c r="EH128" s="449"/>
      <c r="EI128" s="449"/>
      <c r="EJ128" s="449"/>
      <c r="EK128" s="449"/>
      <c r="EL128" s="449"/>
      <c r="EM128" s="449"/>
      <c r="EN128" s="449"/>
      <c r="EO128" s="449"/>
      <c r="EP128" s="449"/>
      <c r="EQ128" s="449"/>
      <c r="ER128" s="449"/>
      <c r="ES128" s="449"/>
      <c r="ET128" s="449"/>
      <c r="EU128" s="449"/>
      <c r="EV128" s="449"/>
      <c r="EW128" s="449"/>
      <c r="EX128" s="449"/>
      <c r="EY128" s="449"/>
      <c r="EZ128" s="449"/>
      <c r="FA128" s="449"/>
      <c r="FB128" s="449"/>
      <c r="FC128" s="449"/>
      <c r="FD128" s="449"/>
      <c r="FE128" s="449"/>
      <c r="FF128" s="449"/>
      <c r="FG128" s="449"/>
      <c r="FH128" s="449"/>
      <c r="FI128" s="449"/>
      <c r="FJ128" s="449"/>
      <c r="FK128" s="449"/>
      <c r="FL128" s="449"/>
      <c r="FM128" s="449"/>
      <c r="FN128" s="449"/>
      <c r="FO128" s="449"/>
      <c r="FP128" s="449"/>
      <c r="FQ128" s="449"/>
      <c r="FR128" s="449"/>
      <c r="FS128" s="449"/>
      <c r="FT128" s="449"/>
      <c r="FU128" s="449"/>
      <c r="FV128" s="449"/>
      <c r="FW128" s="449"/>
      <c r="FX128" s="449"/>
      <c r="FY128" s="449"/>
      <c r="FZ128" s="449"/>
      <c r="GA128" s="449"/>
      <c r="GB128" s="449"/>
      <c r="GC128" s="449"/>
      <c r="GD128" s="449"/>
      <c r="GE128" s="449"/>
      <c r="GF128" s="449"/>
      <c r="GG128" s="449"/>
      <c r="GH128" s="449"/>
      <c r="GI128" s="449"/>
      <c r="GJ128" s="449"/>
      <c r="GK128" s="449"/>
      <c r="GL128" s="449"/>
      <c r="GM128" s="449"/>
      <c r="GN128" s="449"/>
      <c r="GO128" s="449"/>
      <c r="GP128" s="449"/>
      <c r="GQ128" s="449"/>
      <c r="GR128" s="449"/>
      <c r="GS128" s="449"/>
      <c r="GT128" s="449"/>
      <c r="GU128" s="449"/>
      <c r="GV128" s="449"/>
      <c r="GW128" s="449"/>
      <c r="GX128" s="449"/>
      <c r="GY128" s="449"/>
      <c r="GZ128" s="449"/>
      <c r="HA128" s="449"/>
      <c r="HB128" s="449"/>
      <c r="HC128" s="449"/>
      <c r="HD128" s="449"/>
      <c r="HE128" s="449"/>
      <c r="HF128" s="449"/>
      <c r="HG128" s="449"/>
      <c r="HH128" s="449"/>
      <c r="HI128" s="449"/>
      <c r="HJ128" s="449"/>
      <c r="HK128" s="449"/>
      <c r="HL128" s="449"/>
      <c r="HM128" s="449"/>
      <c r="HN128" s="449"/>
      <c r="HO128" s="449"/>
      <c r="HP128" s="449"/>
      <c r="HQ128" s="449"/>
      <c r="HR128" s="449"/>
      <c r="HS128" s="449"/>
      <c r="HT128" s="449"/>
      <c r="HU128" s="449"/>
      <c r="HV128" s="449"/>
      <c r="HW128" s="449"/>
      <c r="HX128" s="449"/>
      <c r="HY128" s="449"/>
      <c r="HZ128" s="449"/>
      <c r="IA128" s="449"/>
      <c r="IB128" s="449"/>
      <c r="IC128" s="449"/>
      <c r="ID128" s="449"/>
      <c r="IE128" s="449"/>
      <c r="IF128" s="449"/>
      <c r="IG128" s="449"/>
      <c r="IH128" s="449"/>
      <c r="II128" s="449"/>
      <c r="IJ128" s="449"/>
      <c r="IK128" s="449"/>
      <c r="IL128" s="449"/>
      <c r="IM128" s="449"/>
      <c r="IN128" s="449"/>
      <c r="IO128" s="449"/>
      <c r="IP128" s="449"/>
      <c r="IQ128" s="449"/>
      <c r="IR128" s="449"/>
      <c r="IS128" s="449"/>
      <c r="IT128" s="449"/>
      <c r="IU128" s="449"/>
      <c r="IV128" s="449"/>
      <c r="IW128" s="449"/>
      <c r="IX128" s="449"/>
    </row>
    <row r="129" spans="3:258" x14ac:dyDescent="0.2">
      <c r="C129" s="388" t="s">
        <v>1065</v>
      </c>
      <c r="D129" s="389"/>
      <c r="E129" s="389"/>
      <c r="F129" s="389"/>
      <c r="G129" s="389"/>
      <c r="H129" s="389"/>
      <c r="I129" s="389"/>
      <c r="J129" s="389"/>
      <c r="K129" s="390"/>
      <c r="L129" s="391" t="str">
        <f>IFERROR(K129/#REF!-1,"")</f>
        <v/>
      </c>
      <c r="M129" s="449"/>
      <c r="N129" s="449"/>
      <c r="O129" s="449"/>
      <c r="P129" s="449"/>
      <c r="Q129" s="449"/>
      <c r="R129" s="449"/>
      <c r="S129" s="449"/>
      <c r="T129" s="449"/>
      <c r="U129" s="449"/>
      <c r="V129" s="449"/>
      <c r="W129" s="449"/>
      <c r="X129" s="449"/>
      <c r="Y129" s="449"/>
      <c r="Z129" s="449"/>
      <c r="AA129" s="449"/>
      <c r="AB129" s="449"/>
      <c r="AC129" s="449"/>
      <c r="AD129" s="449"/>
      <c r="AE129" s="449"/>
      <c r="AF129" s="449"/>
      <c r="AG129" s="449"/>
      <c r="AH129" s="449"/>
      <c r="AI129" s="449"/>
      <c r="AJ129" s="449"/>
      <c r="AK129" s="449"/>
      <c r="AL129" s="449"/>
      <c r="AM129" s="449"/>
      <c r="AN129" s="449"/>
      <c r="AO129" s="449"/>
      <c r="AP129" s="449"/>
      <c r="AQ129" s="449"/>
      <c r="AR129" s="449"/>
      <c r="AS129" s="449"/>
      <c r="AT129" s="449"/>
      <c r="AU129" s="449"/>
      <c r="AV129" s="449"/>
      <c r="AW129" s="449"/>
      <c r="AX129" s="449"/>
      <c r="AY129" s="449"/>
      <c r="AZ129" s="449"/>
      <c r="BA129" s="449"/>
      <c r="BB129" s="449"/>
      <c r="BC129" s="449"/>
      <c r="BD129" s="449"/>
      <c r="BE129" s="449"/>
      <c r="BF129" s="449"/>
      <c r="BG129" s="449"/>
      <c r="BH129" s="449"/>
      <c r="BI129" s="449"/>
      <c r="BJ129" s="449"/>
      <c r="BK129" s="449"/>
      <c r="BL129" s="449"/>
      <c r="BM129" s="449"/>
      <c r="BN129" s="449"/>
      <c r="BO129" s="449"/>
      <c r="BP129" s="449"/>
      <c r="BQ129" s="449"/>
      <c r="BR129" s="449"/>
      <c r="BS129" s="449"/>
      <c r="BT129" s="449"/>
      <c r="BU129" s="449"/>
      <c r="BV129" s="449"/>
      <c r="BW129" s="449"/>
      <c r="BX129" s="449"/>
      <c r="BY129" s="449"/>
      <c r="BZ129" s="449"/>
      <c r="CA129" s="449"/>
      <c r="CB129" s="449"/>
      <c r="CC129" s="449"/>
      <c r="CD129" s="449"/>
      <c r="CE129" s="449"/>
      <c r="CF129" s="449"/>
      <c r="CG129" s="449"/>
      <c r="CH129" s="449"/>
      <c r="CI129" s="449"/>
      <c r="CJ129" s="449"/>
      <c r="CK129" s="449"/>
      <c r="CL129" s="449"/>
      <c r="CM129" s="449"/>
      <c r="CN129" s="449"/>
      <c r="CO129" s="449"/>
      <c r="CP129" s="449"/>
      <c r="CQ129" s="449"/>
      <c r="CR129" s="449"/>
      <c r="CS129" s="449"/>
      <c r="CT129" s="449"/>
      <c r="CU129" s="449"/>
      <c r="CV129" s="449"/>
      <c r="CW129" s="449"/>
      <c r="CX129" s="449"/>
      <c r="CY129" s="449"/>
      <c r="CZ129" s="449"/>
      <c r="DA129" s="449"/>
      <c r="DB129" s="449"/>
      <c r="DC129" s="449"/>
      <c r="DD129" s="449"/>
      <c r="DE129" s="449"/>
      <c r="DF129" s="449"/>
      <c r="DG129" s="449"/>
      <c r="DH129" s="449"/>
      <c r="DI129" s="449"/>
      <c r="DJ129" s="449"/>
      <c r="DK129" s="449"/>
      <c r="DL129" s="449"/>
      <c r="DM129" s="449"/>
      <c r="DN129" s="449"/>
      <c r="DO129" s="449"/>
      <c r="DP129" s="449"/>
      <c r="DQ129" s="449"/>
      <c r="DR129" s="449"/>
      <c r="DS129" s="449"/>
      <c r="DT129" s="449"/>
      <c r="DU129" s="449"/>
      <c r="DV129" s="449"/>
      <c r="DW129" s="449"/>
      <c r="DX129" s="449"/>
      <c r="DY129" s="449"/>
      <c r="DZ129" s="449"/>
      <c r="EA129" s="449"/>
      <c r="EB129" s="449"/>
      <c r="EC129" s="449"/>
      <c r="ED129" s="449"/>
      <c r="EE129" s="449"/>
      <c r="EF129" s="449"/>
      <c r="EG129" s="449"/>
      <c r="EH129" s="449"/>
      <c r="EI129" s="449"/>
      <c r="EJ129" s="449"/>
      <c r="EK129" s="449"/>
      <c r="EL129" s="449"/>
      <c r="EM129" s="449"/>
      <c r="EN129" s="449"/>
      <c r="EO129" s="449"/>
      <c r="EP129" s="449"/>
      <c r="EQ129" s="449"/>
      <c r="ER129" s="449"/>
      <c r="ES129" s="449"/>
      <c r="ET129" s="449"/>
      <c r="EU129" s="449"/>
      <c r="EV129" s="449"/>
      <c r="EW129" s="449"/>
      <c r="EX129" s="449"/>
      <c r="EY129" s="449"/>
      <c r="EZ129" s="449"/>
      <c r="FA129" s="449"/>
      <c r="FB129" s="449"/>
      <c r="FC129" s="449"/>
      <c r="FD129" s="449"/>
      <c r="FE129" s="449"/>
      <c r="FF129" s="449"/>
      <c r="FG129" s="449"/>
      <c r="FH129" s="449"/>
      <c r="FI129" s="449"/>
      <c r="FJ129" s="449"/>
      <c r="FK129" s="449"/>
      <c r="FL129" s="449"/>
      <c r="FM129" s="449"/>
      <c r="FN129" s="449"/>
      <c r="FO129" s="449"/>
      <c r="FP129" s="449"/>
      <c r="FQ129" s="449"/>
      <c r="FR129" s="449"/>
      <c r="FS129" s="449"/>
      <c r="FT129" s="449"/>
      <c r="FU129" s="449"/>
      <c r="FV129" s="449"/>
      <c r="FW129" s="449"/>
      <c r="FX129" s="449"/>
      <c r="FY129" s="449"/>
      <c r="FZ129" s="449"/>
      <c r="GA129" s="449"/>
      <c r="GB129" s="449"/>
      <c r="GC129" s="449"/>
      <c r="GD129" s="449"/>
      <c r="GE129" s="449"/>
      <c r="GF129" s="449"/>
      <c r="GG129" s="449"/>
      <c r="GH129" s="449"/>
      <c r="GI129" s="449"/>
      <c r="GJ129" s="449"/>
      <c r="GK129" s="449"/>
      <c r="GL129" s="449"/>
      <c r="GM129" s="449"/>
      <c r="GN129" s="449"/>
      <c r="GO129" s="449"/>
      <c r="GP129" s="449"/>
      <c r="GQ129" s="449"/>
      <c r="GR129" s="449"/>
      <c r="GS129" s="449"/>
      <c r="GT129" s="449"/>
      <c r="GU129" s="449"/>
      <c r="GV129" s="449"/>
      <c r="GW129" s="449"/>
      <c r="GX129" s="449"/>
      <c r="GY129" s="449"/>
      <c r="GZ129" s="449"/>
      <c r="HA129" s="449"/>
      <c r="HB129" s="449"/>
      <c r="HC129" s="449"/>
      <c r="HD129" s="449"/>
      <c r="HE129" s="449"/>
      <c r="HF129" s="449"/>
      <c r="HG129" s="449"/>
      <c r="HH129" s="449"/>
      <c r="HI129" s="449"/>
      <c r="HJ129" s="449"/>
      <c r="HK129" s="449"/>
      <c r="HL129" s="449"/>
      <c r="HM129" s="449"/>
      <c r="HN129" s="449"/>
      <c r="HO129" s="449"/>
      <c r="HP129" s="449"/>
      <c r="HQ129" s="449"/>
      <c r="HR129" s="449"/>
      <c r="HS129" s="449"/>
      <c r="HT129" s="449"/>
      <c r="HU129" s="449"/>
      <c r="HV129" s="449"/>
      <c r="HW129" s="449"/>
      <c r="HX129" s="449"/>
      <c r="HY129" s="449"/>
      <c r="HZ129" s="449"/>
      <c r="IA129" s="449"/>
      <c r="IB129" s="449"/>
      <c r="IC129" s="449"/>
      <c r="ID129" s="449"/>
      <c r="IE129" s="449"/>
      <c r="IF129" s="449"/>
      <c r="IG129" s="449"/>
      <c r="IH129" s="449"/>
      <c r="II129" s="449"/>
      <c r="IJ129" s="449"/>
      <c r="IK129" s="449"/>
      <c r="IL129" s="449"/>
      <c r="IM129" s="449"/>
      <c r="IN129" s="449"/>
      <c r="IO129" s="449"/>
      <c r="IP129" s="449"/>
      <c r="IQ129" s="449"/>
      <c r="IR129" s="449"/>
      <c r="IS129" s="449"/>
      <c r="IT129" s="449"/>
      <c r="IU129" s="449"/>
      <c r="IV129" s="449"/>
      <c r="IW129" s="449"/>
      <c r="IX129" s="449"/>
    </row>
    <row r="130" spans="3:258" x14ac:dyDescent="0.2">
      <c r="C130" s="392" t="s">
        <v>1066</v>
      </c>
      <c r="D130" s="393" t="s">
        <v>877</v>
      </c>
      <c r="E130" s="392" t="s">
        <v>1067</v>
      </c>
      <c r="F130" s="392"/>
      <c r="G130" s="393">
        <v>1000</v>
      </c>
      <c r="H130" s="393">
        <v>210</v>
      </c>
      <c r="I130" s="393">
        <v>100</v>
      </c>
      <c r="J130" s="393">
        <v>15.9</v>
      </c>
      <c r="K130" s="452">
        <v>3849</v>
      </c>
      <c r="L130" s="453">
        <f>K130*0.7</f>
        <v>2694.2999999999997</v>
      </c>
      <c r="M130" s="449"/>
      <c r="N130" s="449"/>
      <c r="O130" s="449"/>
      <c r="P130" s="449"/>
      <c r="Q130" s="449"/>
      <c r="R130" s="449"/>
      <c r="S130" s="449"/>
      <c r="T130" s="449"/>
      <c r="U130" s="449"/>
      <c r="V130" s="449"/>
      <c r="W130" s="449"/>
      <c r="X130" s="449"/>
      <c r="Y130" s="449"/>
      <c r="Z130" s="449"/>
      <c r="AA130" s="449"/>
      <c r="AB130" s="449"/>
      <c r="AC130" s="449"/>
      <c r="AD130" s="449"/>
      <c r="AE130" s="449"/>
      <c r="AF130" s="449"/>
      <c r="AG130" s="449"/>
      <c r="AH130" s="449"/>
      <c r="AI130" s="449"/>
      <c r="AJ130" s="449"/>
      <c r="AK130" s="449"/>
      <c r="AL130" s="449"/>
      <c r="AM130" s="449"/>
      <c r="AN130" s="449"/>
      <c r="AO130" s="449"/>
      <c r="AP130" s="449"/>
      <c r="AQ130" s="449"/>
      <c r="AR130" s="449"/>
      <c r="AS130" s="449"/>
      <c r="AT130" s="449"/>
      <c r="AU130" s="449"/>
      <c r="AV130" s="449"/>
      <c r="AW130" s="449"/>
      <c r="AX130" s="449"/>
      <c r="AY130" s="449"/>
      <c r="AZ130" s="449"/>
      <c r="BA130" s="449"/>
      <c r="BB130" s="449"/>
      <c r="BC130" s="449"/>
      <c r="BD130" s="449"/>
      <c r="BE130" s="449"/>
      <c r="BF130" s="449"/>
      <c r="BG130" s="449"/>
      <c r="BH130" s="449"/>
      <c r="BI130" s="449"/>
      <c r="BJ130" s="449"/>
      <c r="BK130" s="449"/>
      <c r="BL130" s="449"/>
      <c r="BM130" s="449"/>
      <c r="BN130" s="449"/>
      <c r="BO130" s="449"/>
      <c r="BP130" s="449"/>
      <c r="BQ130" s="449"/>
      <c r="BR130" s="449"/>
      <c r="BS130" s="449"/>
      <c r="BT130" s="449"/>
      <c r="BU130" s="449"/>
      <c r="BV130" s="449"/>
      <c r="BW130" s="449"/>
      <c r="BX130" s="449"/>
      <c r="BY130" s="449"/>
      <c r="BZ130" s="449"/>
      <c r="CA130" s="449"/>
      <c r="CB130" s="449"/>
      <c r="CC130" s="449"/>
      <c r="CD130" s="449"/>
      <c r="CE130" s="449"/>
      <c r="CF130" s="449"/>
      <c r="CG130" s="449"/>
      <c r="CH130" s="449"/>
      <c r="CI130" s="449"/>
      <c r="CJ130" s="449"/>
      <c r="CK130" s="449"/>
      <c r="CL130" s="449"/>
      <c r="CM130" s="449"/>
      <c r="CN130" s="449"/>
      <c r="CO130" s="449"/>
      <c r="CP130" s="449"/>
      <c r="CQ130" s="449"/>
      <c r="CR130" s="449"/>
      <c r="CS130" s="449"/>
      <c r="CT130" s="449"/>
      <c r="CU130" s="449"/>
      <c r="CV130" s="449"/>
      <c r="CW130" s="449"/>
      <c r="CX130" s="449"/>
      <c r="CY130" s="449"/>
      <c r="CZ130" s="449"/>
      <c r="DA130" s="449"/>
      <c r="DB130" s="449"/>
      <c r="DC130" s="449"/>
      <c r="DD130" s="449"/>
      <c r="DE130" s="449"/>
      <c r="DF130" s="449"/>
      <c r="DG130" s="449"/>
      <c r="DH130" s="449"/>
      <c r="DI130" s="449"/>
      <c r="DJ130" s="449"/>
      <c r="DK130" s="449"/>
      <c r="DL130" s="449"/>
      <c r="DM130" s="449"/>
      <c r="DN130" s="449"/>
      <c r="DO130" s="449"/>
      <c r="DP130" s="449"/>
      <c r="DQ130" s="449"/>
      <c r="DR130" s="449"/>
      <c r="DS130" s="449"/>
      <c r="DT130" s="449"/>
      <c r="DU130" s="449"/>
      <c r="DV130" s="449"/>
      <c r="DW130" s="449"/>
      <c r="DX130" s="449"/>
      <c r="DY130" s="449"/>
      <c r="DZ130" s="449"/>
      <c r="EA130" s="449"/>
      <c r="EB130" s="449"/>
      <c r="EC130" s="449"/>
      <c r="ED130" s="449"/>
      <c r="EE130" s="449"/>
      <c r="EF130" s="449"/>
      <c r="EG130" s="449"/>
      <c r="EH130" s="449"/>
      <c r="EI130" s="449"/>
      <c r="EJ130" s="449"/>
      <c r="EK130" s="449"/>
      <c r="EL130" s="449"/>
      <c r="EM130" s="449"/>
      <c r="EN130" s="449"/>
      <c r="EO130" s="449"/>
      <c r="EP130" s="449"/>
      <c r="EQ130" s="449"/>
      <c r="ER130" s="449"/>
      <c r="ES130" s="449"/>
      <c r="ET130" s="449"/>
      <c r="EU130" s="449"/>
      <c r="EV130" s="449"/>
      <c r="EW130" s="449"/>
      <c r="EX130" s="449"/>
      <c r="EY130" s="449"/>
      <c r="EZ130" s="449"/>
      <c r="FA130" s="449"/>
      <c r="FB130" s="449"/>
      <c r="FC130" s="449"/>
      <c r="FD130" s="449"/>
      <c r="FE130" s="449"/>
      <c r="FF130" s="449"/>
      <c r="FG130" s="449"/>
      <c r="FH130" s="449"/>
      <c r="FI130" s="449"/>
      <c r="FJ130" s="449"/>
      <c r="FK130" s="449"/>
      <c r="FL130" s="449"/>
      <c r="FM130" s="449"/>
      <c r="FN130" s="449"/>
      <c r="FO130" s="449"/>
      <c r="FP130" s="449"/>
      <c r="FQ130" s="449"/>
      <c r="FR130" s="449"/>
      <c r="FS130" s="449"/>
      <c r="FT130" s="449"/>
      <c r="FU130" s="449"/>
      <c r="FV130" s="449"/>
      <c r="FW130" s="449"/>
      <c r="FX130" s="449"/>
      <c r="FY130" s="449"/>
      <c r="FZ130" s="449"/>
      <c r="GA130" s="449"/>
      <c r="GB130" s="449"/>
      <c r="GC130" s="449"/>
      <c r="GD130" s="449"/>
      <c r="GE130" s="449"/>
      <c r="GF130" s="449"/>
      <c r="GG130" s="449"/>
      <c r="GH130" s="449"/>
      <c r="GI130" s="449"/>
      <c r="GJ130" s="449"/>
      <c r="GK130" s="449"/>
      <c r="GL130" s="449"/>
      <c r="GM130" s="449"/>
      <c r="GN130" s="449"/>
      <c r="GO130" s="449"/>
      <c r="GP130" s="449"/>
      <c r="GQ130" s="449"/>
      <c r="GR130" s="449"/>
      <c r="GS130" s="449"/>
      <c r="GT130" s="449"/>
      <c r="GU130" s="449"/>
      <c r="GV130" s="449"/>
      <c r="GW130" s="449"/>
      <c r="GX130" s="449"/>
      <c r="GY130" s="449"/>
      <c r="GZ130" s="449"/>
      <c r="HA130" s="449"/>
      <c r="HB130" s="449"/>
      <c r="HC130" s="449"/>
      <c r="HD130" s="449"/>
      <c r="HE130" s="449"/>
      <c r="HF130" s="449"/>
      <c r="HG130" s="449"/>
      <c r="HH130" s="449"/>
      <c r="HI130" s="449"/>
      <c r="HJ130" s="449"/>
      <c r="HK130" s="449"/>
      <c r="HL130" s="449"/>
      <c r="HM130" s="449"/>
      <c r="HN130" s="449"/>
      <c r="HO130" s="449"/>
      <c r="HP130" s="449"/>
      <c r="HQ130" s="449"/>
      <c r="HR130" s="449"/>
      <c r="HS130" s="449"/>
      <c r="HT130" s="449"/>
      <c r="HU130" s="449"/>
      <c r="HV130" s="449"/>
      <c r="HW130" s="449"/>
      <c r="HX130" s="449"/>
      <c r="HY130" s="449"/>
      <c r="HZ130" s="449"/>
      <c r="IA130" s="449"/>
      <c r="IB130" s="449"/>
      <c r="IC130" s="449"/>
      <c r="ID130" s="449"/>
      <c r="IE130" s="449"/>
      <c r="IF130" s="449"/>
      <c r="IG130" s="449"/>
      <c r="IH130" s="449"/>
      <c r="II130" s="449"/>
      <c r="IJ130" s="449"/>
      <c r="IK130" s="449"/>
      <c r="IL130" s="449"/>
      <c r="IM130" s="449"/>
      <c r="IN130" s="449"/>
      <c r="IO130" s="449"/>
      <c r="IP130" s="449"/>
      <c r="IQ130" s="449"/>
      <c r="IR130" s="449"/>
      <c r="IS130" s="449"/>
      <c r="IT130" s="449"/>
      <c r="IU130" s="449"/>
      <c r="IV130" s="449"/>
      <c r="IW130" s="449"/>
      <c r="IX130" s="449"/>
    </row>
    <row r="131" spans="3:258" x14ac:dyDescent="0.2">
      <c r="C131" s="392" t="s">
        <v>1068</v>
      </c>
      <c r="D131" s="393" t="s">
        <v>877</v>
      </c>
      <c r="E131" s="392" t="s">
        <v>1069</v>
      </c>
      <c r="F131" s="392"/>
      <c r="G131" s="393">
        <v>1000</v>
      </c>
      <c r="H131" s="393">
        <v>210</v>
      </c>
      <c r="I131" s="393">
        <v>210</v>
      </c>
      <c r="J131" s="393">
        <v>22.58</v>
      </c>
      <c r="K131" s="452">
        <v>5105</v>
      </c>
      <c r="L131" s="453">
        <f>K131*0.7</f>
        <v>3573.5</v>
      </c>
      <c r="M131" s="449"/>
      <c r="N131" s="449"/>
      <c r="O131" s="449"/>
      <c r="P131" s="449"/>
      <c r="Q131" s="449"/>
      <c r="R131" s="449"/>
      <c r="S131" s="449"/>
      <c r="T131" s="449"/>
      <c r="U131" s="449"/>
      <c r="V131" s="449"/>
      <c r="W131" s="449"/>
      <c r="X131" s="449"/>
      <c r="Y131" s="449"/>
      <c r="Z131" s="449"/>
      <c r="AA131" s="449"/>
      <c r="AB131" s="449"/>
      <c r="AC131" s="449"/>
      <c r="AD131" s="449"/>
      <c r="AE131" s="449"/>
      <c r="AF131" s="449"/>
      <c r="AG131" s="449"/>
      <c r="AH131" s="449"/>
      <c r="AI131" s="449"/>
      <c r="AJ131" s="449"/>
      <c r="AK131" s="449"/>
      <c r="AL131" s="449"/>
      <c r="AM131" s="449"/>
      <c r="AN131" s="449"/>
      <c r="AO131" s="449"/>
      <c r="AP131" s="449"/>
      <c r="AQ131" s="449"/>
      <c r="AR131" s="449"/>
      <c r="AS131" s="449"/>
      <c r="AT131" s="449"/>
      <c r="AU131" s="449"/>
      <c r="AV131" s="449"/>
      <c r="AW131" s="449"/>
      <c r="AX131" s="449"/>
      <c r="AY131" s="449"/>
      <c r="AZ131" s="449"/>
      <c r="BA131" s="449"/>
      <c r="BB131" s="449"/>
      <c r="BC131" s="449"/>
      <c r="BD131" s="449"/>
      <c r="BE131" s="449"/>
      <c r="BF131" s="449"/>
      <c r="BG131" s="449"/>
      <c r="BH131" s="449"/>
      <c r="BI131" s="449"/>
      <c r="BJ131" s="449"/>
      <c r="BK131" s="449"/>
      <c r="BL131" s="449"/>
      <c r="BM131" s="449"/>
      <c r="BN131" s="449"/>
      <c r="BO131" s="449"/>
      <c r="BP131" s="449"/>
      <c r="BQ131" s="449"/>
      <c r="BR131" s="449"/>
      <c r="BS131" s="449"/>
      <c r="BT131" s="449"/>
      <c r="BU131" s="449"/>
      <c r="BV131" s="449"/>
      <c r="BW131" s="449"/>
      <c r="BX131" s="449"/>
      <c r="BY131" s="449"/>
      <c r="BZ131" s="449"/>
      <c r="CA131" s="449"/>
      <c r="CB131" s="449"/>
      <c r="CC131" s="449"/>
      <c r="CD131" s="449"/>
      <c r="CE131" s="449"/>
      <c r="CF131" s="449"/>
      <c r="CG131" s="449"/>
      <c r="CH131" s="449"/>
      <c r="CI131" s="449"/>
      <c r="CJ131" s="449"/>
      <c r="CK131" s="449"/>
      <c r="CL131" s="449"/>
      <c r="CM131" s="449"/>
      <c r="CN131" s="449"/>
      <c r="CO131" s="449"/>
      <c r="CP131" s="449"/>
      <c r="CQ131" s="449"/>
      <c r="CR131" s="449"/>
      <c r="CS131" s="449"/>
      <c r="CT131" s="449"/>
      <c r="CU131" s="449"/>
      <c r="CV131" s="449"/>
      <c r="CW131" s="449"/>
      <c r="CX131" s="449"/>
      <c r="CY131" s="449"/>
      <c r="CZ131" s="449"/>
      <c r="DA131" s="449"/>
      <c r="DB131" s="449"/>
      <c r="DC131" s="449"/>
      <c r="DD131" s="449"/>
      <c r="DE131" s="449"/>
      <c r="DF131" s="449"/>
      <c r="DG131" s="449"/>
      <c r="DH131" s="449"/>
      <c r="DI131" s="449"/>
      <c r="DJ131" s="449"/>
      <c r="DK131" s="449"/>
      <c r="DL131" s="449"/>
      <c r="DM131" s="449"/>
      <c r="DN131" s="449"/>
      <c r="DO131" s="449"/>
      <c r="DP131" s="449"/>
      <c r="DQ131" s="449"/>
      <c r="DR131" s="449"/>
      <c r="DS131" s="449"/>
      <c r="DT131" s="449"/>
      <c r="DU131" s="449"/>
      <c r="DV131" s="449"/>
      <c r="DW131" s="449"/>
      <c r="DX131" s="449"/>
      <c r="DY131" s="449"/>
      <c r="DZ131" s="449"/>
      <c r="EA131" s="449"/>
      <c r="EB131" s="449"/>
      <c r="EC131" s="449"/>
      <c r="ED131" s="449"/>
      <c r="EE131" s="449"/>
      <c r="EF131" s="449"/>
      <c r="EG131" s="449"/>
      <c r="EH131" s="449"/>
      <c r="EI131" s="449"/>
      <c r="EJ131" s="449"/>
      <c r="EK131" s="449"/>
      <c r="EL131" s="449"/>
      <c r="EM131" s="449"/>
      <c r="EN131" s="449"/>
      <c r="EO131" s="449"/>
      <c r="EP131" s="449"/>
      <c r="EQ131" s="449"/>
      <c r="ER131" s="449"/>
      <c r="ES131" s="449"/>
      <c r="ET131" s="449"/>
      <c r="EU131" s="449"/>
      <c r="EV131" s="449"/>
      <c r="EW131" s="449"/>
      <c r="EX131" s="449"/>
      <c r="EY131" s="449"/>
      <c r="EZ131" s="449"/>
      <c r="FA131" s="449"/>
      <c r="FB131" s="449"/>
      <c r="FC131" s="449"/>
      <c r="FD131" s="449"/>
      <c r="FE131" s="449"/>
      <c r="FF131" s="449"/>
      <c r="FG131" s="449"/>
      <c r="FH131" s="449"/>
      <c r="FI131" s="449"/>
      <c r="FJ131" s="449"/>
      <c r="FK131" s="449"/>
      <c r="FL131" s="449"/>
      <c r="FM131" s="449"/>
      <c r="FN131" s="449"/>
      <c r="FO131" s="449"/>
      <c r="FP131" s="449"/>
      <c r="FQ131" s="449"/>
      <c r="FR131" s="449"/>
      <c r="FS131" s="449"/>
      <c r="FT131" s="449"/>
      <c r="FU131" s="449"/>
      <c r="FV131" s="449"/>
      <c r="FW131" s="449"/>
      <c r="FX131" s="449"/>
      <c r="FY131" s="449"/>
      <c r="FZ131" s="449"/>
      <c r="GA131" s="449"/>
      <c r="GB131" s="449"/>
      <c r="GC131" s="449"/>
      <c r="GD131" s="449"/>
      <c r="GE131" s="449"/>
      <c r="GF131" s="449"/>
      <c r="GG131" s="449"/>
      <c r="GH131" s="449"/>
      <c r="GI131" s="449"/>
      <c r="GJ131" s="449"/>
      <c r="GK131" s="449"/>
      <c r="GL131" s="449"/>
      <c r="GM131" s="449"/>
      <c r="GN131" s="449"/>
      <c r="GO131" s="449"/>
      <c r="GP131" s="449"/>
      <c r="GQ131" s="449"/>
      <c r="GR131" s="449"/>
      <c r="GS131" s="449"/>
      <c r="GT131" s="449"/>
      <c r="GU131" s="449"/>
      <c r="GV131" s="449"/>
      <c r="GW131" s="449"/>
      <c r="GX131" s="449"/>
      <c r="GY131" s="449"/>
      <c r="GZ131" s="449"/>
      <c r="HA131" s="449"/>
      <c r="HB131" s="449"/>
      <c r="HC131" s="449"/>
      <c r="HD131" s="449"/>
      <c r="HE131" s="449"/>
      <c r="HF131" s="449"/>
      <c r="HG131" s="449"/>
      <c r="HH131" s="449"/>
      <c r="HI131" s="449"/>
      <c r="HJ131" s="449"/>
      <c r="HK131" s="449"/>
      <c r="HL131" s="449"/>
      <c r="HM131" s="449"/>
      <c r="HN131" s="449"/>
      <c r="HO131" s="449"/>
      <c r="HP131" s="449"/>
      <c r="HQ131" s="449"/>
      <c r="HR131" s="449"/>
      <c r="HS131" s="449"/>
      <c r="HT131" s="449"/>
      <c r="HU131" s="449"/>
      <c r="HV131" s="449"/>
      <c r="HW131" s="449"/>
      <c r="HX131" s="449"/>
      <c r="HY131" s="449"/>
      <c r="HZ131" s="449"/>
      <c r="IA131" s="449"/>
      <c r="IB131" s="449"/>
      <c r="IC131" s="449"/>
      <c r="ID131" s="449"/>
      <c r="IE131" s="449"/>
      <c r="IF131" s="449"/>
      <c r="IG131" s="449"/>
      <c r="IH131" s="449"/>
      <c r="II131" s="449"/>
      <c r="IJ131" s="449"/>
      <c r="IK131" s="449"/>
      <c r="IL131" s="449"/>
      <c r="IM131" s="449"/>
      <c r="IN131" s="449"/>
      <c r="IO131" s="449"/>
      <c r="IP131" s="449"/>
      <c r="IQ131" s="449"/>
      <c r="IR131" s="449"/>
      <c r="IS131" s="449"/>
      <c r="IT131" s="449"/>
      <c r="IU131" s="449"/>
      <c r="IV131" s="449"/>
      <c r="IW131" s="449"/>
      <c r="IX131" s="449"/>
    </row>
    <row r="132" spans="3:258" x14ac:dyDescent="0.2">
      <c r="C132" s="392" t="s">
        <v>1070</v>
      </c>
      <c r="D132" s="393" t="s">
        <v>877</v>
      </c>
      <c r="E132" s="392" t="s">
        <v>1071</v>
      </c>
      <c r="F132" s="392"/>
      <c r="G132" s="393">
        <v>1000</v>
      </c>
      <c r="H132" s="393">
        <v>210</v>
      </c>
      <c r="I132" s="393">
        <v>260</v>
      </c>
      <c r="J132" s="393">
        <v>26.58</v>
      </c>
      <c r="K132" s="452">
        <v>5905</v>
      </c>
      <c r="L132" s="453">
        <f>K132*0.7</f>
        <v>4133.5</v>
      </c>
      <c r="M132" s="449"/>
      <c r="N132" s="449"/>
      <c r="O132" s="449"/>
      <c r="P132" s="449"/>
      <c r="Q132" s="449"/>
      <c r="R132" s="449"/>
      <c r="S132" s="449"/>
      <c r="T132" s="449"/>
      <c r="U132" s="449"/>
      <c r="V132" s="449"/>
      <c r="W132" s="449"/>
      <c r="X132" s="449"/>
      <c r="Y132" s="449"/>
      <c r="Z132" s="449"/>
      <c r="AA132" s="449"/>
      <c r="AB132" s="449"/>
      <c r="AC132" s="449"/>
      <c r="AD132" s="449"/>
      <c r="AE132" s="449"/>
      <c r="AF132" s="449"/>
      <c r="AG132" s="449"/>
      <c r="AH132" s="449"/>
      <c r="AI132" s="449"/>
      <c r="AJ132" s="449"/>
      <c r="AK132" s="449"/>
      <c r="AL132" s="449"/>
      <c r="AM132" s="449"/>
      <c r="AN132" s="449"/>
      <c r="AO132" s="449"/>
      <c r="AP132" s="449"/>
      <c r="AQ132" s="449"/>
      <c r="AR132" s="449"/>
      <c r="AS132" s="449"/>
      <c r="AT132" s="449"/>
      <c r="AU132" s="449"/>
      <c r="AV132" s="449"/>
      <c r="AW132" s="449"/>
      <c r="AX132" s="449"/>
      <c r="AY132" s="449"/>
      <c r="AZ132" s="449"/>
      <c r="BA132" s="449"/>
      <c r="BB132" s="449"/>
      <c r="BC132" s="449"/>
      <c r="BD132" s="449"/>
      <c r="BE132" s="449"/>
      <c r="BF132" s="449"/>
      <c r="BG132" s="449"/>
      <c r="BH132" s="449"/>
      <c r="BI132" s="449"/>
      <c r="BJ132" s="449"/>
      <c r="BK132" s="449"/>
      <c r="BL132" s="449"/>
      <c r="BM132" s="449"/>
      <c r="BN132" s="449"/>
      <c r="BO132" s="449"/>
      <c r="BP132" s="449"/>
      <c r="BQ132" s="449"/>
      <c r="BR132" s="449"/>
      <c r="BS132" s="449"/>
      <c r="BT132" s="449"/>
      <c r="BU132" s="449"/>
      <c r="BV132" s="449"/>
      <c r="BW132" s="449"/>
      <c r="BX132" s="449"/>
      <c r="BY132" s="449"/>
      <c r="BZ132" s="449"/>
      <c r="CA132" s="449"/>
      <c r="CB132" s="449"/>
      <c r="CC132" s="449"/>
      <c r="CD132" s="449"/>
      <c r="CE132" s="449"/>
      <c r="CF132" s="449"/>
      <c r="CG132" s="449"/>
      <c r="CH132" s="449"/>
      <c r="CI132" s="449"/>
      <c r="CJ132" s="449"/>
      <c r="CK132" s="449"/>
      <c r="CL132" s="449"/>
      <c r="CM132" s="449"/>
      <c r="CN132" s="449"/>
      <c r="CO132" s="449"/>
      <c r="CP132" s="449"/>
      <c r="CQ132" s="449"/>
      <c r="CR132" s="449"/>
      <c r="CS132" s="449"/>
      <c r="CT132" s="449"/>
      <c r="CU132" s="449"/>
      <c r="CV132" s="449"/>
      <c r="CW132" s="449"/>
      <c r="CX132" s="449"/>
      <c r="CY132" s="449"/>
      <c r="CZ132" s="449"/>
      <c r="DA132" s="449"/>
      <c r="DB132" s="449"/>
      <c r="DC132" s="449"/>
      <c r="DD132" s="449"/>
      <c r="DE132" s="449"/>
      <c r="DF132" s="449"/>
      <c r="DG132" s="449"/>
      <c r="DH132" s="449"/>
      <c r="DI132" s="449"/>
      <c r="DJ132" s="449"/>
      <c r="DK132" s="449"/>
      <c r="DL132" s="449"/>
      <c r="DM132" s="449"/>
      <c r="DN132" s="449"/>
      <c r="DO132" s="449"/>
      <c r="DP132" s="449"/>
      <c r="DQ132" s="449"/>
      <c r="DR132" s="449"/>
      <c r="DS132" s="449"/>
      <c r="DT132" s="449"/>
      <c r="DU132" s="449"/>
      <c r="DV132" s="449"/>
      <c r="DW132" s="449"/>
      <c r="DX132" s="449"/>
      <c r="DY132" s="449"/>
      <c r="DZ132" s="449"/>
      <c r="EA132" s="449"/>
      <c r="EB132" s="449"/>
      <c r="EC132" s="449"/>
      <c r="ED132" s="449"/>
      <c r="EE132" s="449"/>
      <c r="EF132" s="449"/>
      <c r="EG132" s="449"/>
      <c r="EH132" s="449"/>
      <c r="EI132" s="449"/>
      <c r="EJ132" s="449"/>
      <c r="EK132" s="449"/>
      <c r="EL132" s="449"/>
      <c r="EM132" s="449"/>
      <c r="EN132" s="449"/>
      <c r="EO132" s="449"/>
      <c r="EP132" s="449"/>
      <c r="EQ132" s="449"/>
      <c r="ER132" s="449"/>
      <c r="ES132" s="449"/>
      <c r="ET132" s="449"/>
      <c r="EU132" s="449"/>
      <c r="EV132" s="449"/>
      <c r="EW132" s="449"/>
      <c r="EX132" s="449"/>
      <c r="EY132" s="449"/>
      <c r="EZ132" s="449"/>
      <c r="FA132" s="449"/>
      <c r="FB132" s="449"/>
      <c r="FC132" s="449"/>
      <c r="FD132" s="449"/>
      <c r="FE132" s="449"/>
      <c r="FF132" s="449"/>
      <c r="FG132" s="449"/>
      <c r="FH132" s="449"/>
      <c r="FI132" s="449"/>
      <c r="FJ132" s="449"/>
      <c r="FK132" s="449"/>
      <c r="FL132" s="449"/>
      <c r="FM132" s="449"/>
      <c r="FN132" s="449"/>
      <c r="FO132" s="449"/>
      <c r="FP132" s="449"/>
      <c r="FQ132" s="449"/>
      <c r="FR132" s="449"/>
      <c r="FS132" s="449"/>
      <c r="FT132" s="449"/>
      <c r="FU132" s="449"/>
      <c r="FV132" s="449"/>
      <c r="FW132" s="449"/>
      <c r="FX132" s="449"/>
      <c r="FY132" s="449"/>
      <c r="FZ132" s="449"/>
      <c r="GA132" s="449"/>
      <c r="GB132" s="449"/>
      <c r="GC132" s="449"/>
      <c r="GD132" s="449"/>
      <c r="GE132" s="449"/>
      <c r="GF132" s="449"/>
      <c r="GG132" s="449"/>
      <c r="GH132" s="449"/>
      <c r="GI132" s="449"/>
      <c r="GJ132" s="449"/>
      <c r="GK132" s="449"/>
      <c r="GL132" s="449"/>
      <c r="GM132" s="449"/>
      <c r="GN132" s="449"/>
      <c r="GO132" s="449"/>
      <c r="GP132" s="449"/>
      <c r="GQ132" s="449"/>
      <c r="GR132" s="449"/>
      <c r="GS132" s="449"/>
      <c r="GT132" s="449"/>
      <c r="GU132" s="449"/>
      <c r="GV132" s="449"/>
      <c r="GW132" s="449"/>
      <c r="GX132" s="449"/>
      <c r="GY132" s="449"/>
      <c r="GZ132" s="449"/>
      <c r="HA132" s="449"/>
      <c r="HB132" s="449"/>
      <c r="HC132" s="449"/>
      <c r="HD132" s="449"/>
      <c r="HE132" s="449"/>
      <c r="HF132" s="449"/>
      <c r="HG132" s="449"/>
      <c r="HH132" s="449"/>
      <c r="HI132" s="449"/>
      <c r="HJ132" s="449"/>
      <c r="HK132" s="449"/>
      <c r="HL132" s="449"/>
      <c r="HM132" s="449"/>
      <c r="HN132" s="449"/>
      <c r="HO132" s="449"/>
      <c r="HP132" s="449"/>
      <c r="HQ132" s="449"/>
      <c r="HR132" s="449"/>
      <c r="HS132" s="449"/>
      <c r="HT132" s="449"/>
      <c r="HU132" s="449"/>
      <c r="HV132" s="449"/>
      <c r="HW132" s="449"/>
      <c r="HX132" s="449"/>
      <c r="HY132" s="449"/>
      <c r="HZ132" s="449"/>
      <c r="IA132" s="449"/>
      <c r="IB132" s="449"/>
      <c r="IC132" s="449"/>
      <c r="ID132" s="449"/>
      <c r="IE132" s="449"/>
      <c r="IF132" s="449"/>
      <c r="IG132" s="449"/>
      <c r="IH132" s="449"/>
      <c r="II132" s="449"/>
      <c r="IJ132" s="449"/>
      <c r="IK132" s="449"/>
      <c r="IL132" s="449"/>
      <c r="IM132" s="449"/>
      <c r="IN132" s="449"/>
      <c r="IO132" s="449"/>
      <c r="IP132" s="449"/>
      <c r="IQ132" s="449"/>
      <c r="IR132" s="449"/>
      <c r="IS132" s="449"/>
      <c r="IT132" s="449"/>
      <c r="IU132" s="449"/>
      <c r="IV132" s="449"/>
      <c r="IW132" s="449"/>
      <c r="IX132" s="449"/>
    </row>
    <row r="133" spans="3:258" x14ac:dyDescent="0.2">
      <c r="C133" s="392" t="s">
        <v>1072</v>
      </c>
      <c r="D133" s="393" t="s">
        <v>877</v>
      </c>
      <c r="E133" s="392" t="s">
        <v>1073</v>
      </c>
      <c r="F133" s="392"/>
      <c r="G133" s="393">
        <v>1000</v>
      </c>
      <c r="H133" s="393">
        <v>210</v>
      </c>
      <c r="I133" s="393">
        <v>310</v>
      </c>
      <c r="J133" s="393">
        <v>30.91</v>
      </c>
      <c r="K133" s="452">
        <v>6678</v>
      </c>
      <c r="L133" s="453">
        <f>K133*0.7</f>
        <v>4674.5999999999995</v>
      </c>
      <c r="M133" s="449"/>
      <c r="N133" s="449"/>
      <c r="O133" s="449"/>
      <c r="P133" s="449"/>
      <c r="Q133" s="449"/>
      <c r="R133" s="449"/>
      <c r="S133" s="449"/>
      <c r="T133" s="449"/>
      <c r="U133" s="449"/>
      <c r="V133" s="449"/>
      <c r="W133" s="449"/>
      <c r="X133" s="449"/>
      <c r="Y133" s="449"/>
      <c r="Z133" s="449"/>
      <c r="AA133" s="449"/>
      <c r="AB133" s="449"/>
      <c r="AC133" s="449"/>
      <c r="AD133" s="449"/>
      <c r="AE133" s="449"/>
      <c r="AF133" s="449"/>
      <c r="AG133" s="449"/>
      <c r="AH133" s="449"/>
      <c r="AI133" s="449"/>
      <c r="AJ133" s="449"/>
      <c r="AK133" s="449"/>
      <c r="AL133" s="449"/>
      <c r="AM133" s="449"/>
      <c r="AN133" s="449"/>
      <c r="AO133" s="449"/>
      <c r="AP133" s="449"/>
      <c r="AQ133" s="449"/>
      <c r="AR133" s="449"/>
      <c r="AS133" s="449"/>
      <c r="AT133" s="449"/>
      <c r="AU133" s="449"/>
      <c r="AV133" s="449"/>
      <c r="AW133" s="449"/>
      <c r="AX133" s="449"/>
      <c r="AY133" s="449"/>
      <c r="AZ133" s="449"/>
      <c r="BA133" s="449"/>
      <c r="BB133" s="449"/>
      <c r="BC133" s="449"/>
      <c r="BD133" s="449"/>
      <c r="BE133" s="449"/>
      <c r="BF133" s="449"/>
      <c r="BG133" s="449"/>
      <c r="BH133" s="449"/>
      <c r="BI133" s="449"/>
      <c r="BJ133" s="449"/>
      <c r="BK133" s="449"/>
      <c r="BL133" s="449"/>
      <c r="BM133" s="449"/>
      <c r="BN133" s="449"/>
      <c r="BO133" s="449"/>
      <c r="BP133" s="449"/>
      <c r="BQ133" s="449"/>
      <c r="BR133" s="449"/>
      <c r="BS133" s="449"/>
      <c r="BT133" s="449"/>
      <c r="BU133" s="449"/>
      <c r="BV133" s="449"/>
      <c r="BW133" s="449"/>
      <c r="BX133" s="449"/>
      <c r="BY133" s="449"/>
      <c r="BZ133" s="449"/>
      <c r="CA133" s="449"/>
      <c r="CB133" s="449"/>
      <c r="CC133" s="449"/>
      <c r="CD133" s="449"/>
      <c r="CE133" s="449"/>
      <c r="CF133" s="449"/>
      <c r="CG133" s="449"/>
      <c r="CH133" s="449"/>
      <c r="CI133" s="449"/>
      <c r="CJ133" s="449"/>
      <c r="CK133" s="449"/>
      <c r="CL133" s="449"/>
      <c r="CM133" s="449"/>
      <c r="CN133" s="449"/>
      <c r="CO133" s="449"/>
      <c r="CP133" s="449"/>
      <c r="CQ133" s="449"/>
      <c r="CR133" s="449"/>
      <c r="CS133" s="449"/>
      <c r="CT133" s="449"/>
      <c r="CU133" s="449"/>
      <c r="CV133" s="449"/>
      <c r="CW133" s="449"/>
      <c r="CX133" s="449"/>
      <c r="CY133" s="449"/>
      <c r="CZ133" s="449"/>
      <c r="DA133" s="449"/>
      <c r="DB133" s="449"/>
      <c r="DC133" s="449"/>
      <c r="DD133" s="449"/>
      <c r="DE133" s="449"/>
      <c r="DF133" s="449"/>
      <c r="DG133" s="449"/>
      <c r="DH133" s="449"/>
      <c r="DI133" s="449"/>
      <c r="DJ133" s="449"/>
      <c r="DK133" s="449"/>
      <c r="DL133" s="449"/>
      <c r="DM133" s="449"/>
      <c r="DN133" s="449"/>
      <c r="DO133" s="449"/>
      <c r="DP133" s="449"/>
      <c r="DQ133" s="449"/>
      <c r="DR133" s="449"/>
      <c r="DS133" s="449"/>
      <c r="DT133" s="449"/>
      <c r="DU133" s="449"/>
      <c r="DV133" s="449"/>
      <c r="DW133" s="449"/>
      <c r="DX133" s="449"/>
      <c r="DY133" s="449"/>
      <c r="DZ133" s="449"/>
      <c r="EA133" s="449"/>
      <c r="EB133" s="449"/>
      <c r="EC133" s="449"/>
      <c r="ED133" s="449"/>
      <c r="EE133" s="449"/>
      <c r="EF133" s="449"/>
      <c r="EG133" s="449"/>
      <c r="EH133" s="449"/>
      <c r="EI133" s="449"/>
      <c r="EJ133" s="449"/>
      <c r="EK133" s="449"/>
      <c r="EL133" s="449"/>
      <c r="EM133" s="449"/>
      <c r="EN133" s="449"/>
      <c r="EO133" s="449"/>
      <c r="EP133" s="449"/>
      <c r="EQ133" s="449"/>
      <c r="ER133" s="449"/>
      <c r="ES133" s="449"/>
      <c r="ET133" s="449"/>
      <c r="EU133" s="449"/>
      <c r="EV133" s="449"/>
      <c r="EW133" s="449"/>
      <c r="EX133" s="449"/>
      <c r="EY133" s="449"/>
      <c r="EZ133" s="449"/>
      <c r="FA133" s="449"/>
      <c r="FB133" s="449"/>
      <c r="FC133" s="449"/>
      <c r="FD133" s="449"/>
      <c r="FE133" s="449"/>
      <c r="FF133" s="449"/>
      <c r="FG133" s="449"/>
      <c r="FH133" s="449"/>
      <c r="FI133" s="449"/>
      <c r="FJ133" s="449"/>
      <c r="FK133" s="449"/>
      <c r="FL133" s="449"/>
      <c r="FM133" s="449"/>
      <c r="FN133" s="449"/>
      <c r="FO133" s="449"/>
      <c r="FP133" s="449"/>
      <c r="FQ133" s="449"/>
      <c r="FR133" s="449"/>
      <c r="FS133" s="449"/>
      <c r="FT133" s="449"/>
      <c r="FU133" s="449"/>
      <c r="FV133" s="449"/>
      <c r="FW133" s="449"/>
      <c r="FX133" s="449"/>
      <c r="FY133" s="449"/>
      <c r="FZ133" s="449"/>
      <c r="GA133" s="449"/>
      <c r="GB133" s="449"/>
      <c r="GC133" s="449"/>
      <c r="GD133" s="449"/>
      <c r="GE133" s="449"/>
      <c r="GF133" s="449"/>
      <c r="GG133" s="449"/>
      <c r="GH133" s="449"/>
      <c r="GI133" s="449"/>
      <c r="GJ133" s="449"/>
      <c r="GK133" s="449"/>
      <c r="GL133" s="449"/>
      <c r="GM133" s="449"/>
      <c r="GN133" s="449"/>
      <c r="GO133" s="449"/>
      <c r="GP133" s="449"/>
      <c r="GQ133" s="449"/>
      <c r="GR133" s="449"/>
      <c r="GS133" s="449"/>
      <c r="GT133" s="449"/>
      <c r="GU133" s="449"/>
      <c r="GV133" s="449"/>
      <c r="GW133" s="449"/>
      <c r="GX133" s="449"/>
      <c r="GY133" s="449"/>
      <c r="GZ133" s="449"/>
      <c r="HA133" s="449"/>
      <c r="HB133" s="449"/>
      <c r="HC133" s="449"/>
      <c r="HD133" s="449"/>
      <c r="HE133" s="449"/>
      <c r="HF133" s="449"/>
      <c r="HG133" s="449"/>
      <c r="HH133" s="449"/>
      <c r="HI133" s="449"/>
      <c r="HJ133" s="449"/>
      <c r="HK133" s="449"/>
      <c r="HL133" s="449"/>
      <c r="HM133" s="449"/>
      <c r="HN133" s="449"/>
      <c r="HO133" s="449"/>
      <c r="HP133" s="449"/>
      <c r="HQ133" s="449"/>
      <c r="HR133" s="449"/>
      <c r="HS133" s="449"/>
      <c r="HT133" s="449"/>
      <c r="HU133" s="449"/>
      <c r="HV133" s="449"/>
      <c r="HW133" s="449"/>
      <c r="HX133" s="449"/>
      <c r="HY133" s="449"/>
      <c r="HZ133" s="449"/>
      <c r="IA133" s="449"/>
      <c r="IB133" s="449"/>
      <c r="IC133" s="449"/>
      <c r="ID133" s="449"/>
      <c r="IE133" s="449"/>
      <c r="IF133" s="449"/>
      <c r="IG133" s="449"/>
      <c r="IH133" s="449"/>
      <c r="II133" s="449"/>
      <c r="IJ133" s="449"/>
      <c r="IK133" s="449"/>
      <c r="IL133" s="449"/>
      <c r="IM133" s="449"/>
      <c r="IN133" s="449"/>
      <c r="IO133" s="449"/>
      <c r="IP133" s="449"/>
      <c r="IQ133" s="449"/>
      <c r="IR133" s="449"/>
      <c r="IS133" s="449"/>
      <c r="IT133" s="449"/>
      <c r="IU133" s="449"/>
      <c r="IV133" s="449"/>
      <c r="IW133" s="449"/>
      <c r="IX133" s="449"/>
    </row>
    <row r="134" spans="3:258" x14ac:dyDescent="0.2">
      <c r="C134" s="392" t="s">
        <v>1074</v>
      </c>
      <c r="D134" s="393" t="s">
        <v>877</v>
      </c>
      <c r="E134" s="411" t="s">
        <v>1075</v>
      </c>
      <c r="F134" s="411"/>
      <c r="G134" s="393">
        <v>500</v>
      </c>
      <c r="H134" s="393">
        <v>210</v>
      </c>
      <c r="I134" s="393">
        <v>500</v>
      </c>
      <c r="J134" s="393">
        <v>26.81</v>
      </c>
      <c r="K134" s="452">
        <v>4205</v>
      </c>
      <c r="L134" s="453">
        <f>K134*0.7</f>
        <v>2943.5</v>
      </c>
      <c r="M134" s="449"/>
      <c r="N134" s="449"/>
      <c r="O134" s="449"/>
      <c r="P134" s="449"/>
      <c r="Q134" s="449"/>
      <c r="R134" s="449"/>
      <c r="S134" s="449"/>
      <c r="T134" s="449"/>
      <c r="U134" s="449"/>
      <c r="V134" s="449"/>
      <c r="W134" s="449"/>
      <c r="X134" s="449"/>
      <c r="Y134" s="449"/>
      <c r="Z134" s="449"/>
      <c r="AA134" s="449"/>
      <c r="AB134" s="449"/>
      <c r="AC134" s="449"/>
      <c r="AD134" s="449"/>
      <c r="AE134" s="449"/>
      <c r="AF134" s="449"/>
      <c r="AG134" s="449"/>
      <c r="AH134" s="449"/>
      <c r="AI134" s="449"/>
      <c r="AJ134" s="449"/>
      <c r="AK134" s="449"/>
      <c r="AL134" s="449"/>
      <c r="AM134" s="449"/>
      <c r="AN134" s="449"/>
      <c r="AO134" s="449"/>
      <c r="AP134" s="449"/>
      <c r="AQ134" s="449"/>
      <c r="AR134" s="449"/>
      <c r="AS134" s="449"/>
      <c r="AT134" s="449"/>
      <c r="AU134" s="449"/>
      <c r="AV134" s="449"/>
      <c r="AW134" s="449"/>
      <c r="AX134" s="449"/>
      <c r="AY134" s="449"/>
      <c r="AZ134" s="449"/>
      <c r="BA134" s="449"/>
      <c r="BB134" s="449"/>
      <c r="BC134" s="449"/>
      <c r="BD134" s="449"/>
      <c r="BE134" s="449"/>
      <c r="BF134" s="449"/>
      <c r="BG134" s="449"/>
      <c r="BH134" s="449"/>
      <c r="BI134" s="449"/>
      <c r="BJ134" s="449"/>
      <c r="BK134" s="449"/>
      <c r="BL134" s="449"/>
      <c r="BM134" s="449"/>
      <c r="BN134" s="449"/>
      <c r="BO134" s="449"/>
      <c r="BP134" s="449"/>
      <c r="BQ134" s="449"/>
      <c r="BR134" s="449"/>
      <c r="BS134" s="449"/>
      <c r="BT134" s="449"/>
      <c r="BU134" s="449"/>
      <c r="BV134" s="449"/>
      <c r="BW134" s="449"/>
      <c r="BX134" s="449"/>
      <c r="BY134" s="449"/>
      <c r="BZ134" s="449"/>
      <c r="CA134" s="449"/>
      <c r="CB134" s="449"/>
      <c r="CC134" s="449"/>
      <c r="CD134" s="449"/>
      <c r="CE134" s="449"/>
      <c r="CF134" s="449"/>
      <c r="CG134" s="449"/>
      <c r="CH134" s="449"/>
      <c r="CI134" s="449"/>
      <c r="CJ134" s="449"/>
      <c r="CK134" s="449"/>
      <c r="CL134" s="449"/>
      <c r="CM134" s="449"/>
      <c r="CN134" s="449"/>
      <c r="CO134" s="449"/>
      <c r="CP134" s="449"/>
      <c r="CQ134" s="449"/>
      <c r="CR134" s="449"/>
      <c r="CS134" s="449"/>
      <c r="CT134" s="449"/>
      <c r="CU134" s="449"/>
      <c r="CV134" s="449"/>
      <c r="CW134" s="449"/>
      <c r="CX134" s="449"/>
      <c r="CY134" s="449"/>
      <c r="CZ134" s="449"/>
      <c r="DA134" s="449"/>
      <c r="DB134" s="449"/>
      <c r="DC134" s="449"/>
      <c r="DD134" s="449"/>
      <c r="DE134" s="449"/>
      <c r="DF134" s="449"/>
      <c r="DG134" s="449"/>
      <c r="DH134" s="449"/>
      <c r="DI134" s="449"/>
      <c r="DJ134" s="449"/>
      <c r="DK134" s="449"/>
      <c r="DL134" s="449"/>
      <c r="DM134" s="449"/>
      <c r="DN134" s="449"/>
      <c r="DO134" s="449"/>
      <c r="DP134" s="449"/>
      <c r="DQ134" s="449"/>
      <c r="DR134" s="449"/>
      <c r="DS134" s="449"/>
      <c r="DT134" s="449"/>
      <c r="DU134" s="449"/>
      <c r="DV134" s="449"/>
      <c r="DW134" s="449"/>
      <c r="DX134" s="449"/>
      <c r="DY134" s="449"/>
      <c r="DZ134" s="449"/>
      <c r="EA134" s="449"/>
      <c r="EB134" s="449"/>
      <c r="EC134" s="449"/>
      <c r="ED134" s="449"/>
      <c r="EE134" s="449"/>
      <c r="EF134" s="449"/>
      <c r="EG134" s="449"/>
      <c r="EH134" s="449"/>
      <c r="EI134" s="449"/>
      <c r="EJ134" s="449"/>
      <c r="EK134" s="449"/>
      <c r="EL134" s="449"/>
      <c r="EM134" s="449"/>
      <c r="EN134" s="449"/>
      <c r="EO134" s="449"/>
      <c r="EP134" s="449"/>
      <c r="EQ134" s="449"/>
      <c r="ER134" s="449"/>
      <c r="ES134" s="449"/>
      <c r="ET134" s="449"/>
      <c r="EU134" s="449"/>
      <c r="EV134" s="449"/>
      <c r="EW134" s="449"/>
      <c r="EX134" s="449"/>
      <c r="EY134" s="449"/>
      <c r="EZ134" s="449"/>
      <c r="FA134" s="449"/>
      <c r="FB134" s="449"/>
      <c r="FC134" s="449"/>
      <c r="FD134" s="449"/>
      <c r="FE134" s="449"/>
      <c r="FF134" s="449"/>
      <c r="FG134" s="449"/>
      <c r="FH134" s="449"/>
      <c r="FI134" s="449"/>
      <c r="FJ134" s="449"/>
      <c r="FK134" s="449"/>
      <c r="FL134" s="449"/>
      <c r="FM134" s="449"/>
      <c r="FN134" s="449"/>
      <c r="FO134" s="449"/>
      <c r="FP134" s="449"/>
      <c r="FQ134" s="449"/>
      <c r="FR134" s="449"/>
      <c r="FS134" s="449"/>
      <c r="FT134" s="449"/>
      <c r="FU134" s="449"/>
      <c r="FV134" s="449"/>
      <c r="FW134" s="449"/>
      <c r="FX134" s="449"/>
      <c r="FY134" s="449"/>
      <c r="FZ134" s="449"/>
      <c r="GA134" s="449"/>
      <c r="GB134" s="449"/>
      <c r="GC134" s="449"/>
      <c r="GD134" s="449"/>
      <c r="GE134" s="449"/>
      <c r="GF134" s="449"/>
      <c r="GG134" s="449"/>
      <c r="GH134" s="449"/>
      <c r="GI134" s="449"/>
      <c r="GJ134" s="449"/>
      <c r="GK134" s="449"/>
      <c r="GL134" s="449"/>
      <c r="GM134" s="449"/>
      <c r="GN134" s="449"/>
      <c r="GO134" s="449"/>
      <c r="GP134" s="449"/>
      <c r="GQ134" s="449"/>
      <c r="GR134" s="449"/>
      <c r="GS134" s="449"/>
      <c r="GT134" s="449"/>
      <c r="GU134" s="449"/>
      <c r="GV134" s="449"/>
      <c r="GW134" s="449"/>
      <c r="GX134" s="449"/>
      <c r="GY134" s="449"/>
      <c r="GZ134" s="449"/>
      <c r="HA134" s="449"/>
      <c r="HB134" s="449"/>
      <c r="HC134" s="449"/>
      <c r="HD134" s="449"/>
      <c r="HE134" s="449"/>
      <c r="HF134" s="449"/>
      <c r="HG134" s="449"/>
      <c r="HH134" s="449"/>
      <c r="HI134" s="449"/>
      <c r="HJ134" s="449"/>
      <c r="HK134" s="449"/>
      <c r="HL134" s="449"/>
      <c r="HM134" s="449"/>
      <c r="HN134" s="449"/>
      <c r="HO134" s="449"/>
      <c r="HP134" s="449"/>
      <c r="HQ134" s="449"/>
      <c r="HR134" s="449"/>
      <c r="HS134" s="449"/>
      <c r="HT134" s="449"/>
      <c r="HU134" s="449"/>
      <c r="HV134" s="449"/>
      <c r="HW134" s="449"/>
      <c r="HX134" s="449"/>
      <c r="HY134" s="449"/>
      <c r="HZ134" s="449"/>
      <c r="IA134" s="449"/>
      <c r="IB134" s="449"/>
      <c r="IC134" s="449"/>
      <c r="ID134" s="449"/>
      <c r="IE134" s="449"/>
      <c r="IF134" s="449"/>
      <c r="IG134" s="449"/>
      <c r="IH134" s="449"/>
      <c r="II134" s="449"/>
      <c r="IJ134" s="449"/>
      <c r="IK134" s="449"/>
      <c r="IL134" s="449"/>
      <c r="IM134" s="449"/>
      <c r="IN134" s="449"/>
      <c r="IO134" s="449"/>
      <c r="IP134" s="449"/>
      <c r="IQ134" s="449"/>
      <c r="IR134" s="449"/>
      <c r="IS134" s="449"/>
      <c r="IT134" s="449"/>
      <c r="IU134" s="449"/>
      <c r="IV134" s="449"/>
      <c r="IW134" s="449"/>
      <c r="IX134" s="449"/>
    </row>
    <row r="135" spans="3:258" x14ac:dyDescent="0.2">
      <c r="C135" s="388" t="s">
        <v>936</v>
      </c>
      <c r="D135" s="389"/>
      <c r="E135" s="389"/>
      <c r="F135" s="389"/>
      <c r="G135" s="389"/>
      <c r="H135" s="389"/>
      <c r="I135" s="389"/>
      <c r="J135" s="389"/>
      <c r="K135" s="390"/>
      <c r="L135" s="391" t="str">
        <f>IFERROR(K135/#REF!-1,"")</f>
        <v/>
      </c>
      <c r="M135" s="449"/>
      <c r="N135" s="449"/>
      <c r="O135" s="449"/>
      <c r="P135" s="449"/>
      <c r="Q135" s="449"/>
      <c r="R135" s="449"/>
      <c r="S135" s="449"/>
      <c r="T135" s="449"/>
      <c r="U135" s="449"/>
      <c r="V135" s="449"/>
      <c r="W135" s="449"/>
      <c r="X135" s="449"/>
      <c r="Y135" s="449"/>
      <c r="Z135" s="449"/>
      <c r="AA135" s="449"/>
      <c r="AB135" s="449"/>
      <c r="AC135" s="449"/>
      <c r="AD135" s="449"/>
      <c r="AE135" s="449"/>
      <c r="AF135" s="449"/>
      <c r="AG135" s="449"/>
      <c r="AH135" s="449"/>
      <c r="AI135" s="449"/>
      <c r="AJ135" s="449"/>
      <c r="AK135" s="449"/>
      <c r="AL135" s="449"/>
      <c r="AM135" s="449"/>
      <c r="AN135" s="449"/>
      <c r="AO135" s="449"/>
      <c r="AP135" s="449"/>
      <c r="AQ135" s="449"/>
      <c r="AR135" s="449"/>
      <c r="AS135" s="449"/>
      <c r="AT135" s="449"/>
      <c r="AU135" s="449"/>
      <c r="AV135" s="449"/>
      <c r="AW135" s="449"/>
      <c r="AX135" s="449"/>
      <c r="AY135" s="449"/>
      <c r="AZ135" s="449"/>
      <c r="BA135" s="449"/>
      <c r="BB135" s="449"/>
      <c r="BC135" s="449"/>
      <c r="BD135" s="449"/>
      <c r="BE135" s="449"/>
      <c r="BF135" s="449"/>
      <c r="BG135" s="449"/>
      <c r="BH135" s="449"/>
      <c r="BI135" s="449"/>
      <c r="BJ135" s="449"/>
      <c r="BK135" s="449"/>
      <c r="BL135" s="449"/>
      <c r="BM135" s="449"/>
      <c r="BN135" s="449"/>
      <c r="BO135" s="449"/>
      <c r="BP135" s="449"/>
      <c r="BQ135" s="449"/>
      <c r="BR135" s="449"/>
      <c r="BS135" s="449"/>
      <c r="BT135" s="449"/>
      <c r="BU135" s="449"/>
      <c r="BV135" s="449"/>
      <c r="BW135" s="449"/>
      <c r="BX135" s="449"/>
      <c r="BY135" s="449"/>
      <c r="BZ135" s="449"/>
      <c r="CA135" s="449"/>
      <c r="CB135" s="449"/>
      <c r="CC135" s="449"/>
      <c r="CD135" s="449"/>
      <c r="CE135" s="449"/>
      <c r="CF135" s="449"/>
      <c r="CG135" s="449"/>
      <c r="CH135" s="449"/>
      <c r="CI135" s="449"/>
      <c r="CJ135" s="449"/>
      <c r="CK135" s="449"/>
      <c r="CL135" s="449"/>
      <c r="CM135" s="449"/>
      <c r="CN135" s="449"/>
      <c r="CO135" s="449"/>
      <c r="CP135" s="449"/>
      <c r="CQ135" s="449"/>
      <c r="CR135" s="449"/>
      <c r="CS135" s="449"/>
      <c r="CT135" s="449"/>
      <c r="CU135" s="449"/>
      <c r="CV135" s="449"/>
      <c r="CW135" s="449"/>
      <c r="CX135" s="449"/>
      <c r="CY135" s="449"/>
      <c r="CZ135" s="449"/>
      <c r="DA135" s="449"/>
      <c r="DB135" s="449"/>
      <c r="DC135" s="449"/>
      <c r="DD135" s="449"/>
      <c r="DE135" s="449"/>
      <c r="DF135" s="449"/>
      <c r="DG135" s="449"/>
      <c r="DH135" s="449"/>
      <c r="DI135" s="449"/>
      <c r="DJ135" s="449"/>
      <c r="DK135" s="449"/>
      <c r="DL135" s="449"/>
      <c r="DM135" s="449"/>
      <c r="DN135" s="449"/>
      <c r="DO135" s="449"/>
      <c r="DP135" s="449"/>
      <c r="DQ135" s="449"/>
      <c r="DR135" s="449"/>
      <c r="DS135" s="449"/>
      <c r="DT135" s="449"/>
      <c r="DU135" s="449"/>
      <c r="DV135" s="449"/>
      <c r="DW135" s="449"/>
      <c r="DX135" s="449"/>
      <c r="DY135" s="449"/>
      <c r="DZ135" s="449"/>
      <c r="EA135" s="449"/>
      <c r="EB135" s="449"/>
      <c r="EC135" s="449"/>
      <c r="ED135" s="449"/>
      <c r="EE135" s="449"/>
      <c r="EF135" s="449"/>
      <c r="EG135" s="449"/>
      <c r="EH135" s="449"/>
      <c r="EI135" s="449"/>
      <c r="EJ135" s="449"/>
      <c r="EK135" s="449"/>
      <c r="EL135" s="449"/>
      <c r="EM135" s="449"/>
      <c r="EN135" s="449"/>
      <c r="EO135" s="449"/>
      <c r="EP135" s="449"/>
      <c r="EQ135" s="449"/>
      <c r="ER135" s="449"/>
      <c r="ES135" s="449"/>
      <c r="ET135" s="449"/>
      <c r="EU135" s="449"/>
      <c r="EV135" s="449"/>
      <c r="EW135" s="449"/>
      <c r="EX135" s="449"/>
      <c r="EY135" s="449"/>
      <c r="EZ135" s="449"/>
      <c r="FA135" s="449"/>
      <c r="FB135" s="449"/>
      <c r="FC135" s="449"/>
      <c r="FD135" s="449"/>
      <c r="FE135" s="449"/>
      <c r="FF135" s="449"/>
      <c r="FG135" s="449"/>
      <c r="FH135" s="449"/>
      <c r="FI135" s="449"/>
      <c r="FJ135" s="449"/>
      <c r="FK135" s="449"/>
      <c r="FL135" s="449"/>
      <c r="FM135" s="449"/>
      <c r="FN135" s="449"/>
      <c r="FO135" s="449"/>
      <c r="FP135" s="449"/>
      <c r="FQ135" s="449"/>
      <c r="FR135" s="449"/>
      <c r="FS135" s="449"/>
      <c r="FT135" s="449"/>
      <c r="FU135" s="449"/>
      <c r="FV135" s="449"/>
      <c r="FW135" s="449"/>
      <c r="FX135" s="449"/>
      <c r="FY135" s="449"/>
      <c r="FZ135" s="449"/>
      <c r="GA135" s="449"/>
      <c r="GB135" s="449"/>
      <c r="GC135" s="449"/>
      <c r="GD135" s="449"/>
      <c r="GE135" s="449"/>
      <c r="GF135" s="449"/>
      <c r="GG135" s="449"/>
      <c r="GH135" s="449"/>
      <c r="GI135" s="449"/>
      <c r="GJ135" s="449"/>
      <c r="GK135" s="449"/>
      <c r="GL135" s="449"/>
      <c r="GM135" s="449"/>
      <c r="GN135" s="449"/>
      <c r="GO135" s="449"/>
      <c r="GP135" s="449"/>
      <c r="GQ135" s="449"/>
      <c r="GR135" s="449"/>
      <c r="GS135" s="449"/>
      <c r="GT135" s="449"/>
      <c r="GU135" s="449"/>
      <c r="GV135" s="449"/>
      <c r="GW135" s="449"/>
      <c r="GX135" s="449"/>
      <c r="GY135" s="449"/>
      <c r="GZ135" s="449"/>
      <c r="HA135" s="449"/>
      <c r="HB135" s="449"/>
      <c r="HC135" s="449"/>
      <c r="HD135" s="449"/>
      <c r="HE135" s="449"/>
      <c r="HF135" s="449"/>
      <c r="HG135" s="449"/>
      <c r="HH135" s="449"/>
      <c r="HI135" s="449"/>
      <c r="HJ135" s="449"/>
      <c r="HK135" s="449"/>
      <c r="HL135" s="449"/>
      <c r="HM135" s="449"/>
      <c r="HN135" s="449"/>
      <c r="HO135" s="449"/>
      <c r="HP135" s="449"/>
      <c r="HQ135" s="449"/>
      <c r="HR135" s="449"/>
      <c r="HS135" s="449"/>
      <c r="HT135" s="449"/>
      <c r="HU135" s="449"/>
      <c r="HV135" s="449"/>
      <c r="HW135" s="449"/>
      <c r="HX135" s="449"/>
      <c r="HY135" s="449"/>
      <c r="HZ135" s="449"/>
      <c r="IA135" s="449"/>
      <c r="IB135" s="449"/>
      <c r="IC135" s="449"/>
      <c r="ID135" s="449"/>
      <c r="IE135" s="449"/>
      <c r="IF135" s="449"/>
      <c r="IG135" s="449"/>
      <c r="IH135" s="449"/>
      <c r="II135" s="449"/>
      <c r="IJ135" s="449"/>
      <c r="IK135" s="449"/>
      <c r="IL135" s="449"/>
      <c r="IM135" s="449"/>
      <c r="IN135" s="449"/>
      <c r="IO135" s="449"/>
      <c r="IP135" s="449"/>
      <c r="IQ135" s="449"/>
      <c r="IR135" s="449"/>
      <c r="IS135" s="449"/>
      <c r="IT135" s="449"/>
      <c r="IU135" s="449"/>
      <c r="IV135" s="449"/>
      <c r="IW135" s="449"/>
      <c r="IX135" s="449"/>
    </row>
    <row r="136" spans="3:258" x14ac:dyDescent="0.2">
      <c r="C136" s="416" t="s">
        <v>937</v>
      </c>
      <c r="D136" s="393" t="s">
        <v>877</v>
      </c>
      <c r="E136" s="417" t="s">
        <v>938</v>
      </c>
      <c r="F136" s="417"/>
      <c r="G136" s="393">
        <v>498</v>
      </c>
      <c r="H136" s="393">
        <v>198</v>
      </c>
      <c r="I136" s="393">
        <v>32</v>
      </c>
      <c r="J136" s="393">
        <v>5.8</v>
      </c>
      <c r="K136" s="397">
        <v>2035</v>
      </c>
      <c r="L136" s="398">
        <f>K136*0.65</f>
        <v>1322.75</v>
      </c>
      <c r="M136" s="449"/>
      <c r="N136" s="449"/>
      <c r="O136" s="449"/>
      <c r="P136" s="449"/>
      <c r="Q136" s="449"/>
      <c r="R136" s="449"/>
      <c r="S136" s="449"/>
      <c r="T136" s="449"/>
      <c r="U136" s="449"/>
      <c r="V136" s="449"/>
      <c r="W136" s="449"/>
      <c r="X136" s="449"/>
      <c r="Y136" s="449"/>
      <c r="Z136" s="449"/>
      <c r="AA136" s="449"/>
      <c r="AB136" s="449"/>
      <c r="AC136" s="449"/>
      <c r="AD136" s="449"/>
      <c r="AE136" s="449"/>
      <c r="AF136" s="449"/>
      <c r="AG136" s="449"/>
      <c r="AH136" s="449"/>
      <c r="AI136" s="449"/>
      <c r="AJ136" s="449"/>
      <c r="AK136" s="449"/>
      <c r="AL136" s="449"/>
      <c r="AM136" s="449"/>
      <c r="AN136" s="449"/>
      <c r="AO136" s="449"/>
      <c r="AP136" s="449"/>
      <c r="AQ136" s="449"/>
      <c r="AR136" s="449"/>
      <c r="AS136" s="449"/>
      <c r="AT136" s="449"/>
      <c r="AU136" s="449"/>
      <c r="AV136" s="449"/>
      <c r="AW136" s="449"/>
      <c r="AX136" s="449"/>
      <c r="AY136" s="449"/>
      <c r="AZ136" s="449"/>
      <c r="BA136" s="449"/>
      <c r="BB136" s="449"/>
      <c r="BC136" s="449"/>
      <c r="BD136" s="449"/>
      <c r="BE136" s="449"/>
      <c r="BF136" s="449"/>
      <c r="BG136" s="449"/>
      <c r="BH136" s="449"/>
      <c r="BI136" s="449"/>
      <c r="BJ136" s="449"/>
      <c r="BK136" s="449"/>
      <c r="BL136" s="449"/>
      <c r="BM136" s="449"/>
      <c r="BN136" s="449"/>
      <c r="BO136" s="449"/>
      <c r="BP136" s="449"/>
      <c r="BQ136" s="449"/>
      <c r="BR136" s="449"/>
      <c r="BS136" s="449"/>
      <c r="BT136" s="449"/>
      <c r="BU136" s="449"/>
      <c r="BV136" s="449"/>
      <c r="BW136" s="449"/>
      <c r="BX136" s="449"/>
      <c r="BY136" s="449"/>
      <c r="BZ136" s="449"/>
      <c r="CA136" s="449"/>
      <c r="CB136" s="449"/>
      <c r="CC136" s="449"/>
      <c r="CD136" s="449"/>
      <c r="CE136" s="449"/>
      <c r="CF136" s="449"/>
      <c r="CG136" s="449"/>
      <c r="CH136" s="449"/>
      <c r="CI136" s="449"/>
      <c r="CJ136" s="449"/>
      <c r="CK136" s="449"/>
      <c r="CL136" s="449"/>
      <c r="CM136" s="449"/>
      <c r="CN136" s="449"/>
      <c r="CO136" s="449"/>
      <c r="CP136" s="449"/>
      <c r="CQ136" s="449"/>
      <c r="CR136" s="449"/>
      <c r="CS136" s="449"/>
      <c r="CT136" s="449"/>
      <c r="CU136" s="449"/>
      <c r="CV136" s="449"/>
      <c r="CW136" s="449"/>
      <c r="CX136" s="449"/>
      <c r="CY136" s="449"/>
      <c r="CZ136" s="449"/>
      <c r="DA136" s="449"/>
      <c r="DB136" s="449"/>
      <c r="DC136" s="449"/>
      <c r="DD136" s="449"/>
      <c r="DE136" s="449"/>
      <c r="DF136" s="449"/>
      <c r="DG136" s="449"/>
      <c r="DH136" s="449"/>
      <c r="DI136" s="449"/>
      <c r="DJ136" s="449"/>
      <c r="DK136" s="449"/>
      <c r="DL136" s="449"/>
      <c r="DM136" s="449"/>
      <c r="DN136" s="449"/>
      <c r="DO136" s="449"/>
      <c r="DP136" s="449"/>
      <c r="DQ136" s="449"/>
      <c r="DR136" s="449"/>
      <c r="DS136" s="449"/>
      <c r="DT136" s="449"/>
      <c r="DU136" s="449"/>
      <c r="DV136" s="449"/>
      <c r="DW136" s="449"/>
      <c r="DX136" s="449"/>
      <c r="DY136" s="449"/>
      <c r="DZ136" s="449"/>
      <c r="EA136" s="449"/>
      <c r="EB136" s="449"/>
      <c r="EC136" s="449"/>
      <c r="ED136" s="449"/>
      <c r="EE136" s="449"/>
      <c r="EF136" s="449"/>
      <c r="EG136" s="449"/>
      <c r="EH136" s="449"/>
      <c r="EI136" s="449"/>
      <c r="EJ136" s="449"/>
      <c r="EK136" s="449"/>
      <c r="EL136" s="449"/>
      <c r="EM136" s="449"/>
      <c r="EN136" s="449"/>
      <c r="EO136" s="449"/>
      <c r="EP136" s="449"/>
      <c r="EQ136" s="449"/>
      <c r="ER136" s="449"/>
      <c r="ES136" s="449"/>
      <c r="ET136" s="449"/>
      <c r="EU136" s="449"/>
      <c r="EV136" s="449"/>
      <c r="EW136" s="449"/>
      <c r="EX136" s="449"/>
      <c r="EY136" s="449"/>
      <c r="EZ136" s="449"/>
      <c r="FA136" s="449"/>
      <c r="FB136" s="449"/>
      <c r="FC136" s="449"/>
      <c r="FD136" s="449"/>
      <c r="FE136" s="449"/>
      <c r="FF136" s="449"/>
      <c r="FG136" s="449"/>
      <c r="FH136" s="449"/>
      <c r="FI136" s="449"/>
      <c r="FJ136" s="449"/>
      <c r="FK136" s="449"/>
      <c r="FL136" s="449"/>
      <c r="FM136" s="449"/>
      <c r="FN136" s="449"/>
      <c r="FO136" s="449"/>
      <c r="FP136" s="449"/>
      <c r="FQ136" s="449"/>
      <c r="FR136" s="449"/>
      <c r="FS136" s="449"/>
      <c r="FT136" s="449"/>
      <c r="FU136" s="449"/>
      <c r="FV136" s="449"/>
      <c r="FW136" s="449"/>
      <c r="FX136" s="449"/>
      <c r="FY136" s="449"/>
      <c r="FZ136" s="449"/>
      <c r="GA136" s="449"/>
      <c r="GB136" s="449"/>
      <c r="GC136" s="449"/>
      <c r="GD136" s="449"/>
      <c r="GE136" s="449"/>
      <c r="GF136" s="449"/>
      <c r="GG136" s="449"/>
      <c r="GH136" s="449"/>
      <c r="GI136" s="449"/>
      <c r="GJ136" s="449"/>
      <c r="GK136" s="449"/>
      <c r="GL136" s="449"/>
      <c r="GM136" s="449"/>
      <c r="GN136" s="449"/>
      <c r="GO136" s="449"/>
      <c r="GP136" s="449"/>
      <c r="GQ136" s="449"/>
      <c r="GR136" s="449"/>
      <c r="GS136" s="449"/>
      <c r="GT136" s="449"/>
      <c r="GU136" s="449"/>
      <c r="GV136" s="449"/>
      <c r="GW136" s="449"/>
      <c r="GX136" s="449"/>
      <c r="GY136" s="449"/>
      <c r="GZ136" s="449"/>
      <c r="HA136" s="449"/>
      <c r="HB136" s="449"/>
      <c r="HC136" s="449"/>
      <c r="HD136" s="449"/>
      <c r="HE136" s="449"/>
      <c r="HF136" s="449"/>
      <c r="HG136" s="449"/>
      <c r="HH136" s="449"/>
      <c r="HI136" s="449"/>
      <c r="HJ136" s="449"/>
      <c r="HK136" s="449"/>
      <c r="HL136" s="449"/>
      <c r="HM136" s="449"/>
      <c r="HN136" s="449"/>
      <c r="HO136" s="449"/>
      <c r="HP136" s="449"/>
      <c r="HQ136" s="449"/>
      <c r="HR136" s="449"/>
      <c r="HS136" s="449"/>
      <c r="HT136" s="449"/>
      <c r="HU136" s="449"/>
      <c r="HV136" s="449"/>
      <c r="HW136" s="449"/>
      <c r="HX136" s="449"/>
      <c r="HY136" s="449"/>
      <c r="HZ136" s="449"/>
      <c r="IA136" s="449"/>
      <c r="IB136" s="449"/>
      <c r="IC136" s="449"/>
      <c r="ID136" s="449"/>
      <c r="IE136" s="449"/>
      <c r="IF136" s="449"/>
      <c r="IG136" s="449"/>
      <c r="IH136" s="449"/>
      <c r="II136" s="449"/>
      <c r="IJ136" s="449"/>
      <c r="IK136" s="449"/>
      <c r="IL136" s="449"/>
      <c r="IM136" s="449"/>
      <c r="IN136" s="449"/>
      <c r="IO136" s="449"/>
      <c r="IP136" s="449"/>
      <c r="IQ136" s="449"/>
      <c r="IR136" s="449"/>
      <c r="IS136" s="449"/>
      <c r="IT136" s="449"/>
      <c r="IU136" s="449"/>
      <c r="IV136" s="449"/>
      <c r="IW136" s="449"/>
      <c r="IX136" s="449"/>
    </row>
    <row r="137" spans="3:258" x14ac:dyDescent="0.2">
      <c r="C137" s="418" t="s">
        <v>939</v>
      </c>
      <c r="D137" s="393" t="s">
        <v>880</v>
      </c>
      <c r="E137" s="417" t="s">
        <v>940</v>
      </c>
      <c r="F137" s="417"/>
      <c r="G137" s="393">
        <v>498</v>
      </c>
      <c r="H137" s="393">
        <v>198</v>
      </c>
      <c r="I137" s="393">
        <v>46</v>
      </c>
      <c r="J137" s="393">
        <v>7</v>
      </c>
      <c r="K137" s="397">
        <v>2300</v>
      </c>
      <c r="L137" s="398">
        <f>K137*0.65</f>
        <v>1495</v>
      </c>
      <c r="M137" s="449"/>
      <c r="N137" s="449"/>
      <c r="O137" s="449"/>
      <c r="P137" s="449"/>
      <c r="Q137" s="449"/>
      <c r="R137" s="449"/>
      <c r="S137" s="449"/>
      <c r="T137" s="449"/>
      <c r="U137" s="449"/>
      <c r="V137" s="449"/>
      <c r="W137" s="449"/>
      <c r="X137" s="449"/>
      <c r="Y137" s="449"/>
      <c r="Z137" s="449"/>
      <c r="AA137" s="449"/>
      <c r="AB137" s="449"/>
      <c r="AC137" s="449"/>
      <c r="AD137" s="449"/>
      <c r="AE137" s="449"/>
      <c r="AF137" s="449"/>
      <c r="AG137" s="449"/>
      <c r="AH137" s="449"/>
      <c r="AI137" s="449"/>
      <c r="AJ137" s="449"/>
      <c r="AK137" s="449"/>
      <c r="AL137" s="449"/>
      <c r="AM137" s="449"/>
      <c r="AN137" s="449"/>
      <c r="AO137" s="449"/>
      <c r="AP137" s="449"/>
      <c r="AQ137" s="449"/>
      <c r="AR137" s="449"/>
      <c r="AS137" s="449"/>
      <c r="AT137" s="449"/>
      <c r="AU137" s="449"/>
      <c r="AV137" s="449"/>
      <c r="AW137" s="449"/>
      <c r="AX137" s="449"/>
      <c r="AY137" s="449"/>
      <c r="AZ137" s="449"/>
      <c r="BA137" s="449"/>
      <c r="BB137" s="449"/>
      <c r="BC137" s="449"/>
      <c r="BD137" s="449"/>
      <c r="BE137" s="449"/>
      <c r="BF137" s="449"/>
      <c r="BG137" s="449"/>
      <c r="BH137" s="449"/>
      <c r="BI137" s="449"/>
      <c r="BJ137" s="449"/>
      <c r="BK137" s="449"/>
      <c r="BL137" s="449"/>
      <c r="BM137" s="449"/>
      <c r="BN137" s="449"/>
      <c r="BO137" s="449"/>
      <c r="BP137" s="449"/>
      <c r="BQ137" s="449"/>
      <c r="BR137" s="449"/>
      <c r="BS137" s="449"/>
      <c r="BT137" s="449"/>
      <c r="BU137" s="449"/>
      <c r="BV137" s="449"/>
      <c r="BW137" s="449"/>
      <c r="BX137" s="449"/>
      <c r="BY137" s="449"/>
      <c r="BZ137" s="449"/>
      <c r="CA137" s="449"/>
      <c r="CB137" s="449"/>
      <c r="CC137" s="449"/>
      <c r="CD137" s="449"/>
      <c r="CE137" s="449"/>
      <c r="CF137" s="449"/>
      <c r="CG137" s="449"/>
      <c r="CH137" s="449"/>
      <c r="CI137" s="449"/>
      <c r="CJ137" s="449"/>
      <c r="CK137" s="449"/>
      <c r="CL137" s="449"/>
      <c r="CM137" s="449"/>
      <c r="CN137" s="449"/>
      <c r="CO137" s="449"/>
      <c r="CP137" s="449"/>
      <c r="CQ137" s="449"/>
      <c r="CR137" s="449"/>
      <c r="CS137" s="449"/>
      <c r="CT137" s="449"/>
      <c r="CU137" s="449"/>
      <c r="CV137" s="449"/>
      <c r="CW137" s="449"/>
      <c r="CX137" s="449"/>
      <c r="CY137" s="449"/>
      <c r="CZ137" s="449"/>
      <c r="DA137" s="449"/>
      <c r="DB137" s="449"/>
      <c r="DC137" s="449"/>
      <c r="DD137" s="449"/>
      <c r="DE137" s="449"/>
      <c r="DF137" s="449"/>
      <c r="DG137" s="449"/>
      <c r="DH137" s="449"/>
      <c r="DI137" s="449"/>
      <c r="DJ137" s="449"/>
      <c r="DK137" s="449"/>
      <c r="DL137" s="449"/>
      <c r="DM137" s="449"/>
      <c r="DN137" s="449"/>
      <c r="DO137" s="449"/>
      <c r="DP137" s="449"/>
      <c r="DQ137" s="449"/>
      <c r="DR137" s="449"/>
      <c r="DS137" s="449"/>
      <c r="DT137" s="449"/>
      <c r="DU137" s="449"/>
      <c r="DV137" s="449"/>
      <c r="DW137" s="449"/>
      <c r="DX137" s="449"/>
      <c r="DY137" s="449"/>
      <c r="DZ137" s="449"/>
      <c r="EA137" s="449"/>
      <c r="EB137" s="449"/>
      <c r="EC137" s="449"/>
      <c r="ED137" s="449"/>
      <c r="EE137" s="449"/>
      <c r="EF137" s="449"/>
      <c r="EG137" s="449"/>
      <c r="EH137" s="449"/>
      <c r="EI137" s="449"/>
      <c r="EJ137" s="449"/>
      <c r="EK137" s="449"/>
      <c r="EL137" s="449"/>
      <c r="EM137" s="449"/>
      <c r="EN137" s="449"/>
      <c r="EO137" s="449"/>
      <c r="EP137" s="449"/>
      <c r="EQ137" s="449"/>
      <c r="ER137" s="449"/>
      <c r="ES137" s="449"/>
      <c r="ET137" s="449"/>
      <c r="EU137" s="449"/>
      <c r="EV137" s="449"/>
      <c r="EW137" s="449"/>
      <c r="EX137" s="449"/>
      <c r="EY137" s="449"/>
      <c r="EZ137" s="449"/>
      <c r="FA137" s="449"/>
      <c r="FB137" s="449"/>
      <c r="FC137" s="449"/>
      <c r="FD137" s="449"/>
      <c r="FE137" s="449"/>
      <c r="FF137" s="449"/>
      <c r="FG137" s="449"/>
      <c r="FH137" s="449"/>
      <c r="FI137" s="449"/>
      <c r="FJ137" s="449"/>
      <c r="FK137" s="449"/>
      <c r="FL137" s="449"/>
      <c r="FM137" s="449"/>
      <c r="FN137" s="449"/>
      <c r="FO137" s="449"/>
      <c r="FP137" s="449"/>
      <c r="FQ137" s="449"/>
      <c r="FR137" s="449"/>
      <c r="FS137" s="449"/>
      <c r="FT137" s="449"/>
      <c r="FU137" s="449"/>
      <c r="FV137" s="449"/>
      <c r="FW137" s="449"/>
      <c r="FX137" s="449"/>
      <c r="FY137" s="449"/>
      <c r="FZ137" s="449"/>
      <c r="GA137" s="449"/>
      <c r="GB137" s="449"/>
      <c r="GC137" s="449"/>
      <c r="GD137" s="449"/>
      <c r="GE137" s="449"/>
      <c r="GF137" s="449"/>
      <c r="GG137" s="449"/>
      <c r="GH137" s="449"/>
      <c r="GI137" s="449"/>
      <c r="GJ137" s="449"/>
      <c r="GK137" s="449"/>
      <c r="GL137" s="449"/>
      <c r="GM137" s="449"/>
      <c r="GN137" s="449"/>
      <c r="GO137" s="449"/>
      <c r="GP137" s="449"/>
      <c r="GQ137" s="449"/>
      <c r="GR137" s="449"/>
      <c r="GS137" s="449"/>
      <c r="GT137" s="449"/>
      <c r="GU137" s="449"/>
      <c r="GV137" s="449"/>
      <c r="GW137" s="449"/>
      <c r="GX137" s="449"/>
      <c r="GY137" s="449"/>
      <c r="GZ137" s="449"/>
      <c r="HA137" s="449"/>
      <c r="HB137" s="449"/>
      <c r="HC137" s="449"/>
      <c r="HD137" s="449"/>
      <c r="HE137" s="449"/>
      <c r="HF137" s="449"/>
      <c r="HG137" s="449"/>
      <c r="HH137" s="449"/>
      <c r="HI137" s="449"/>
      <c r="HJ137" s="449"/>
      <c r="HK137" s="449"/>
      <c r="HL137" s="449"/>
      <c r="HM137" s="449"/>
      <c r="HN137" s="449"/>
      <c r="HO137" s="449"/>
      <c r="HP137" s="449"/>
      <c r="HQ137" s="449"/>
      <c r="HR137" s="449"/>
      <c r="HS137" s="449"/>
      <c r="HT137" s="449"/>
      <c r="HU137" s="449"/>
      <c r="HV137" s="449"/>
      <c r="HW137" s="449"/>
      <c r="HX137" s="449"/>
      <c r="HY137" s="449"/>
      <c r="HZ137" s="449"/>
      <c r="IA137" s="449"/>
      <c r="IB137" s="449"/>
      <c r="IC137" s="449"/>
      <c r="ID137" s="449"/>
      <c r="IE137" s="449"/>
      <c r="IF137" s="449"/>
      <c r="IG137" s="449"/>
      <c r="IH137" s="449"/>
      <c r="II137" s="449"/>
      <c r="IJ137" s="449"/>
      <c r="IK137" s="449"/>
      <c r="IL137" s="449"/>
      <c r="IM137" s="449"/>
      <c r="IN137" s="449"/>
      <c r="IO137" s="449"/>
      <c r="IP137" s="449"/>
      <c r="IQ137" s="449"/>
      <c r="IR137" s="449"/>
      <c r="IS137" s="449"/>
      <c r="IT137" s="449"/>
      <c r="IU137" s="449"/>
      <c r="IV137" s="449"/>
      <c r="IW137" s="449"/>
      <c r="IX137" s="449"/>
    </row>
    <row r="138" spans="3:258" x14ac:dyDescent="0.2">
      <c r="C138" s="388" t="s">
        <v>941</v>
      </c>
      <c r="D138" s="389"/>
      <c r="E138" s="389"/>
      <c r="F138" s="389"/>
      <c r="G138" s="389"/>
      <c r="H138" s="389"/>
      <c r="I138" s="389"/>
      <c r="J138" s="389"/>
      <c r="K138" s="390"/>
      <c r="L138" s="391" t="str">
        <f>IFERROR(K138/#REF!-1,"")</f>
        <v/>
      </c>
      <c r="M138" s="449"/>
      <c r="N138" s="449"/>
      <c r="O138" s="449"/>
      <c r="P138" s="449"/>
      <c r="Q138" s="449"/>
      <c r="R138" s="449"/>
      <c r="S138" s="449"/>
      <c r="T138" s="449"/>
      <c r="U138" s="449"/>
      <c r="V138" s="449"/>
      <c r="W138" s="449"/>
      <c r="X138" s="449"/>
      <c r="Y138" s="449"/>
      <c r="Z138" s="449"/>
      <c r="AA138" s="449"/>
      <c r="AB138" s="449"/>
      <c r="AC138" s="449"/>
      <c r="AD138" s="449"/>
      <c r="AE138" s="449"/>
      <c r="AF138" s="449"/>
      <c r="AG138" s="449"/>
      <c r="AH138" s="449"/>
      <c r="AI138" s="449"/>
      <c r="AJ138" s="449"/>
      <c r="AK138" s="449"/>
      <c r="AL138" s="449"/>
      <c r="AM138" s="449"/>
      <c r="AN138" s="449"/>
      <c r="AO138" s="449"/>
      <c r="AP138" s="449"/>
      <c r="AQ138" s="449"/>
      <c r="AR138" s="449"/>
      <c r="AS138" s="449"/>
      <c r="AT138" s="449"/>
      <c r="AU138" s="449"/>
      <c r="AV138" s="449"/>
      <c r="AW138" s="449"/>
      <c r="AX138" s="449"/>
      <c r="AY138" s="449"/>
      <c r="AZ138" s="449"/>
      <c r="BA138" s="449"/>
      <c r="BB138" s="449"/>
      <c r="BC138" s="449"/>
      <c r="BD138" s="449"/>
      <c r="BE138" s="449"/>
      <c r="BF138" s="449"/>
      <c r="BG138" s="449"/>
      <c r="BH138" s="449"/>
      <c r="BI138" s="449"/>
      <c r="BJ138" s="449"/>
      <c r="BK138" s="449"/>
      <c r="BL138" s="449"/>
      <c r="BM138" s="449"/>
      <c r="BN138" s="449"/>
      <c r="BO138" s="449"/>
      <c r="BP138" s="449"/>
      <c r="BQ138" s="449"/>
      <c r="BR138" s="449"/>
      <c r="BS138" s="449"/>
      <c r="BT138" s="449"/>
      <c r="BU138" s="449"/>
      <c r="BV138" s="449"/>
      <c r="BW138" s="449"/>
      <c r="BX138" s="449"/>
      <c r="BY138" s="449"/>
      <c r="BZ138" s="449"/>
      <c r="CA138" s="449"/>
      <c r="CB138" s="449"/>
      <c r="CC138" s="449"/>
      <c r="CD138" s="449"/>
      <c r="CE138" s="449"/>
      <c r="CF138" s="449"/>
      <c r="CG138" s="449"/>
      <c r="CH138" s="449"/>
      <c r="CI138" s="449"/>
      <c r="CJ138" s="449"/>
      <c r="CK138" s="449"/>
      <c r="CL138" s="449"/>
      <c r="CM138" s="449"/>
      <c r="CN138" s="449"/>
      <c r="CO138" s="449"/>
      <c r="CP138" s="449"/>
      <c r="CQ138" s="449"/>
      <c r="CR138" s="449"/>
      <c r="CS138" s="449"/>
      <c r="CT138" s="449"/>
      <c r="CU138" s="449"/>
      <c r="CV138" s="449"/>
      <c r="CW138" s="449"/>
      <c r="CX138" s="449"/>
      <c r="CY138" s="449"/>
      <c r="CZ138" s="449"/>
      <c r="DA138" s="449"/>
      <c r="DB138" s="449"/>
      <c r="DC138" s="449"/>
      <c r="DD138" s="449"/>
      <c r="DE138" s="449"/>
      <c r="DF138" s="449"/>
      <c r="DG138" s="449"/>
      <c r="DH138" s="449"/>
      <c r="DI138" s="449"/>
      <c r="DJ138" s="449"/>
      <c r="DK138" s="449"/>
      <c r="DL138" s="449"/>
      <c r="DM138" s="449"/>
      <c r="DN138" s="449"/>
      <c r="DO138" s="449"/>
      <c r="DP138" s="449"/>
      <c r="DQ138" s="449"/>
      <c r="DR138" s="449"/>
      <c r="DS138" s="449"/>
      <c r="DT138" s="449"/>
      <c r="DU138" s="449"/>
      <c r="DV138" s="449"/>
      <c r="DW138" s="449"/>
      <c r="DX138" s="449"/>
      <c r="DY138" s="449"/>
      <c r="DZ138" s="449"/>
      <c r="EA138" s="449"/>
      <c r="EB138" s="449"/>
      <c r="EC138" s="449"/>
      <c r="ED138" s="449"/>
      <c r="EE138" s="449"/>
      <c r="EF138" s="449"/>
      <c r="EG138" s="449"/>
      <c r="EH138" s="449"/>
      <c r="EI138" s="449"/>
      <c r="EJ138" s="449"/>
      <c r="EK138" s="449"/>
      <c r="EL138" s="449"/>
      <c r="EM138" s="449"/>
      <c r="EN138" s="449"/>
      <c r="EO138" s="449"/>
      <c r="EP138" s="449"/>
      <c r="EQ138" s="449"/>
      <c r="ER138" s="449"/>
      <c r="ES138" s="449"/>
      <c r="ET138" s="449"/>
      <c r="EU138" s="449"/>
      <c r="EV138" s="449"/>
      <c r="EW138" s="449"/>
      <c r="EX138" s="449"/>
      <c r="EY138" s="449"/>
      <c r="EZ138" s="449"/>
      <c r="FA138" s="449"/>
      <c r="FB138" s="449"/>
      <c r="FC138" s="449"/>
      <c r="FD138" s="449"/>
      <c r="FE138" s="449"/>
      <c r="FF138" s="449"/>
      <c r="FG138" s="449"/>
      <c r="FH138" s="449"/>
      <c r="FI138" s="449"/>
      <c r="FJ138" s="449"/>
      <c r="FK138" s="449"/>
      <c r="FL138" s="449"/>
      <c r="FM138" s="449"/>
      <c r="FN138" s="449"/>
      <c r="FO138" s="449"/>
      <c r="FP138" s="449"/>
      <c r="FQ138" s="449"/>
      <c r="FR138" s="449"/>
      <c r="FS138" s="449"/>
      <c r="FT138" s="449"/>
      <c r="FU138" s="449"/>
      <c r="FV138" s="449"/>
      <c r="FW138" s="449"/>
      <c r="FX138" s="449"/>
      <c r="FY138" s="449"/>
      <c r="FZ138" s="449"/>
      <c r="GA138" s="449"/>
      <c r="GB138" s="449"/>
      <c r="GC138" s="449"/>
      <c r="GD138" s="449"/>
      <c r="GE138" s="449"/>
      <c r="GF138" s="449"/>
      <c r="GG138" s="449"/>
      <c r="GH138" s="449"/>
      <c r="GI138" s="449"/>
      <c r="GJ138" s="449"/>
      <c r="GK138" s="449"/>
      <c r="GL138" s="449"/>
      <c r="GM138" s="449"/>
      <c r="GN138" s="449"/>
      <c r="GO138" s="449"/>
      <c r="GP138" s="449"/>
      <c r="GQ138" s="449"/>
      <c r="GR138" s="449"/>
      <c r="GS138" s="449"/>
      <c r="GT138" s="449"/>
      <c r="GU138" s="449"/>
      <c r="GV138" s="449"/>
      <c r="GW138" s="449"/>
      <c r="GX138" s="449"/>
      <c r="GY138" s="449"/>
      <c r="GZ138" s="449"/>
      <c r="HA138" s="449"/>
      <c r="HB138" s="449"/>
      <c r="HC138" s="449"/>
      <c r="HD138" s="449"/>
      <c r="HE138" s="449"/>
      <c r="HF138" s="449"/>
      <c r="HG138" s="449"/>
      <c r="HH138" s="449"/>
      <c r="HI138" s="449"/>
      <c r="HJ138" s="449"/>
      <c r="HK138" s="449"/>
      <c r="HL138" s="449"/>
      <c r="HM138" s="449"/>
      <c r="HN138" s="449"/>
      <c r="HO138" s="449"/>
      <c r="HP138" s="449"/>
      <c r="HQ138" s="449"/>
      <c r="HR138" s="449"/>
      <c r="HS138" s="449"/>
      <c r="HT138" s="449"/>
      <c r="HU138" s="449"/>
      <c r="HV138" s="449"/>
      <c r="HW138" s="449"/>
      <c r="HX138" s="449"/>
      <c r="HY138" s="449"/>
      <c r="HZ138" s="449"/>
      <c r="IA138" s="449"/>
      <c r="IB138" s="449"/>
      <c r="IC138" s="449"/>
      <c r="ID138" s="449"/>
      <c r="IE138" s="449"/>
      <c r="IF138" s="449"/>
      <c r="IG138" s="449"/>
      <c r="IH138" s="449"/>
      <c r="II138" s="449"/>
      <c r="IJ138" s="449"/>
      <c r="IK138" s="449"/>
      <c r="IL138" s="449"/>
      <c r="IM138" s="449"/>
      <c r="IN138" s="449"/>
      <c r="IO138" s="449"/>
      <c r="IP138" s="449"/>
      <c r="IQ138" s="449"/>
      <c r="IR138" s="449"/>
      <c r="IS138" s="449"/>
      <c r="IT138" s="449"/>
      <c r="IU138" s="449"/>
      <c r="IV138" s="449"/>
      <c r="IW138" s="449"/>
      <c r="IX138" s="449"/>
    </row>
    <row r="139" spans="3:258" x14ac:dyDescent="0.2">
      <c r="C139" s="418" t="s">
        <v>882</v>
      </c>
      <c r="D139" s="393"/>
      <c r="E139" s="420" t="s">
        <v>883</v>
      </c>
      <c r="F139" s="420"/>
      <c r="G139" s="393"/>
      <c r="H139" s="393"/>
      <c r="I139" s="393"/>
      <c r="J139" s="393"/>
      <c r="K139" s="454">
        <v>15</v>
      </c>
      <c r="L139" s="455">
        <f>K139*0.75</f>
        <v>11.25</v>
      </c>
      <c r="M139" s="449"/>
      <c r="N139" s="449"/>
      <c r="O139" s="449"/>
      <c r="P139" s="449"/>
      <c r="Q139" s="449"/>
      <c r="R139" s="449"/>
      <c r="S139" s="449"/>
      <c r="T139" s="449"/>
      <c r="U139" s="449"/>
      <c r="V139" s="449"/>
      <c r="W139" s="449"/>
      <c r="X139" s="449"/>
      <c r="Y139" s="449"/>
      <c r="Z139" s="449"/>
      <c r="AA139" s="449"/>
      <c r="AB139" s="449"/>
      <c r="AC139" s="449"/>
      <c r="AD139" s="449"/>
      <c r="AE139" s="449"/>
      <c r="AF139" s="449"/>
      <c r="AG139" s="449"/>
      <c r="AH139" s="449"/>
      <c r="AI139" s="449"/>
      <c r="AJ139" s="449"/>
      <c r="AK139" s="449"/>
      <c r="AL139" s="449"/>
      <c r="AM139" s="449"/>
      <c r="AN139" s="449"/>
      <c r="AO139" s="449"/>
      <c r="AP139" s="449"/>
      <c r="AQ139" s="449"/>
      <c r="AR139" s="449"/>
      <c r="AS139" s="449"/>
      <c r="AT139" s="449"/>
      <c r="AU139" s="449"/>
      <c r="AV139" s="449"/>
      <c r="AW139" s="449"/>
      <c r="AX139" s="449"/>
      <c r="AY139" s="449"/>
      <c r="AZ139" s="449"/>
      <c r="BA139" s="449"/>
      <c r="BB139" s="449"/>
      <c r="BC139" s="449"/>
      <c r="BD139" s="449"/>
      <c r="BE139" s="449"/>
      <c r="BF139" s="449"/>
      <c r="BG139" s="449"/>
      <c r="BH139" s="449"/>
      <c r="BI139" s="449"/>
      <c r="BJ139" s="449"/>
      <c r="BK139" s="449"/>
      <c r="BL139" s="449"/>
      <c r="BM139" s="449"/>
      <c r="BN139" s="449"/>
      <c r="BO139" s="449"/>
      <c r="BP139" s="449"/>
      <c r="BQ139" s="449"/>
      <c r="BR139" s="449"/>
      <c r="BS139" s="449"/>
      <c r="BT139" s="449"/>
      <c r="BU139" s="449"/>
      <c r="BV139" s="449"/>
      <c r="BW139" s="449"/>
      <c r="BX139" s="449"/>
      <c r="BY139" s="449"/>
      <c r="BZ139" s="449"/>
      <c r="CA139" s="449"/>
      <c r="CB139" s="449"/>
      <c r="CC139" s="449"/>
      <c r="CD139" s="449"/>
      <c r="CE139" s="449"/>
      <c r="CF139" s="449"/>
      <c r="CG139" s="449"/>
      <c r="CH139" s="449"/>
      <c r="CI139" s="449"/>
      <c r="CJ139" s="449"/>
      <c r="CK139" s="449"/>
      <c r="CL139" s="449"/>
      <c r="CM139" s="449"/>
      <c r="CN139" s="449"/>
      <c r="CO139" s="449"/>
      <c r="CP139" s="449"/>
      <c r="CQ139" s="449"/>
      <c r="CR139" s="449"/>
      <c r="CS139" s="449"/>
      <c r="CT139" s="449"/>
      <c r="CU139" s="449"/>
      <c r="CV139" s="449"/>
      <c r="CW139" s="449"/>
      <c r="CX139" s="449"/>
      <c r="CY139" s="449"/>
      <c r="CZ139" s="449"/>
      <c r="DA139" s="449"/>
      <c r="DB139" s="449"/>
      <c r="DC139" s="449"/>
      <c r="DD139" s="449"/>
      <c r="DE139" s="449"/>
      <c r="DF139" s="449"/>
      <c r="DG139" s="449"/>
      <c r="DH139" s="449"/>
      <c r="DI139" s="449"/>
      <c r="DJ139" s="449"/>
      <c r="DK139" s="449"/>
      <c r="DL139" s="449"/>
      <c r="DM139" s="449"/>
      <c r="DN139" s="449"/>
      <c r="DO139" s="449"/>
      <c r="DP139" s="449"/>
      <c r="DQ139" s="449"/>
      <c r="DR139" s="449"/>
      <c r="DS139" s="449"/>
      <c r="DT139" s="449"/>
      <c r="DU139" s="449"/>
      <c r="DV139" s="449"/>
      <c r="DW139" s="449"/>
      <c r="DX139" s="449"/>
      <c r="DY139" s="449"/>
      <c r="DZ139" s="449"/>
      <c r="EA139" s="449"/>
      <c r="EB139" s="449"/>
      <c r="EC139" s="449"/>
      <c r="ED139" s="449"/>
      <c r="EE139" s="449"/>
      <c r="EF139" s="449"/>
      <c r="EG139" s="449"/>
      <c r="EH139" s="449"/>
      <c r="EI139" s="449"/>
      <c r="EJ139" s="449"/>
      <c r="EK139" s="449"/>
      <c r="EL139" s="449"/>
      <c r="EM139" s="449"/>
      <c r="EN139" s="449"/>
      <c r="EO139" s="449"/>
      <c r="EP139" s="449"/>
      <c r="EQ139" s="449"/>
      <c r="ER139" s="449"/>
      <c r="ES139" s="449"/>
      <c r="ET139" s="449"/>
      <c r="EU139" s="449"/>
      <c r="EV139" s="449"/>
      <c r="EW139" s="449"/>
      <c r="EX139" s="449"/>
      <c r="EY139" s="449"/>
      <c r="EZ139" s="449"/>
      <c r="FA139" s="449"/>
      <c r="FB139" s="449"/>
      <c r="FC139" s="449"/>
      <c r="FD139" s="449"/>
      <c r="FE139" s="449"/>
      <c r="FF139" s="449"/>
      <c r="FG139" s="449"/>
      <c r="FH139" s="449"/>
      <c r="FI139" s="449"/>
      <c r="FJ139" s="449"/>
      <c r="FK139" s="449"/>
      <c r="FL139" s="449"/>
      <c r="FM139" s="449"/>
      <c r="FN139" s="449"/>
      <c r="FO139" s="449"/>
      <c r="FP139" s="449"/>
      <c r="FQ139" s="449"/>
      <c r="FR139" s="449"/>
      <c r="FS139" s="449"/>
      <c r="FT139" s="449"/>
      <c r="FU139" s="449"/>
      <c r="FV139" s="449"/>
      <c r="FW139" s="449"/>
      <c r="FX139" s="449"/>
      <c r="FY139" s="449"/>
      <c r="FZ139" s="449"/>
      <c r="GA139" s="449"/>
      <c r="GB139" s="449"/>
      <c r="GC139" s="449"/>
      <c r="GD139" s="449"/>
      <c r="GE139" s="449"/>
      <c r="GF139" s="449"/>
      <c r="GG139" s="449"/>
      <c r="GH139" s="449"/>
      <c r="GI139" s="449"/>
      <c r="GJ139" s="449"/>
      <c r="GK139" s="449"/>
      <c r="GL139" s="449"/>
      <c r="GM139" s="449"/>
      <c r="GN139" s="449"/>
      <c r="GO139" s="449"/>
      <c r="GP139" s="449"/>
      <c r="GQ139" s="449"/>
      <c r="GR139" s="449"/>
      <c r="GS139" s="449"/>
      <c r="GT139" s="449"/>
      <c r="GU139" s="449"/>
      <c r="GV139" s="449"/>
      <c r="GW139" s="449"/>
      <c r="GX139" s="449"/>
      <c r="GY139" s="449"/>
      <c r="GZ139" s="449"/>
      <c r="HA139" s="449"/>
      <c r="HB139" s="449"/>
      <c r="HC139" s="449"/>
      <c r="HD139" s="449"/>
      <c r="HE139" s="449"/>
      <c r="HF139" s="449"/>
      <c r="HG139" s="449"/>
      <c r="HH139" s="449"/>
      <c r="HI139" s="449"/>
      <c r="HJ139" s="449"/>
      <c r="HK139" s="449"/>
      <c r="HL139" s="449"/>
      <c r="HM139" s="449"/>
      <c r="HN139" s="449"/>
      <c r="HO139" s="449"/>
      <c r="HP139" s="449"/>
      <c r="HQ139" s="449"/>
      <c r="HR139" s="449"/>
      <c r="HS139" s="449"/>
      <c r="HT139" s="449"/>
      <c r="HU139" s="449"/>
      <c r="HV139" s="449"/>
      <c r="HW139" s="449"/>
      <c r="HX139" s="449"/>
      <c r="HY139" s="449"/>
      <c r="HZ139" s="449"/>
      <c r="IA139" s="449"/>
      <c r="IB139" s="449"/>
      <c r="IC139" s="449"/>
      <c r="ID139" s="449"/>
      <c r="IE139" s="449"/>
      <c r="IF139" s="449"/>
      <c r="IG139" s="449"/>
      <c r="IH139" s="449"/>
      <c r="II139" s="449"/>
      <c r="IJ139" s="449"/>
      <c r="IK139" s="449"/>
      <c r="IL139" s="449"/>
      <c r="IM139" s="449"/>
      <c r="IN139" s="449"/>
      <c r="IO139" s="449"/>
      <c r="IP139" s="449"/>
      <c r="IQ139" s="449"/>
      <c r="IR139" s="449"/>
      <c r="IS139" s="449"/>
      <c r="IT139" s="449"/>
      <c r="IU139" s="449"/>
      <c r="IV139" s="449"/>
      <c r="IW139" s="449"/>
      <c r="IX139" s="449"/>
    </row>
    <row r="140" spans="3:258" x14ac:dyDescent="0.2">
      <c r="C140" s="418" t="s">
        <v>884</v>
      </c>
      <c r="D140" s="393"/>
      <c r="E140" s="420" t="s">
        <v>885</v>
      </c>
      <c r="F140" s="420"/>
      <c r="G140" s="393"/>
      <c r="H140" s="393"/>
      <c r="I140" s="393"/>
      <c r="J140" s="393"/>
      <c r="K140" s="454">
        <v>15</v>
      </c>
      <c r="L140" s="455">
        <f>K140*0.75</f>
        <v>11.25</v>
      </c>
      <c r="M140" s="449"/>
      <c r="N140" s="449"/>
      <c r="O140" s="449"/>
      <c r="P140" s="449"/>
      <c r="Q140" s="449"/>
      <c r="R140" s="449"/>
      <c r="S140" s="449"/>
      <c r="T140" s="449"/>
      <c r="U140" s="449"/>
      <c r="V140" s="449"/>
      <c r="W140" s="449"/>
      <c r="X140" s="449"/>
      <c r="Y140" s="449"/>
      <c r="Z140" s="449"/>
      <c r="AA140" s="449"/>
      <c r="AB140" s="449"/>
      <c r="AC140" s="449"/>
      <c r="AD140" s="449"/>
      <c r="AE140" s="449"/>
      <c r="AF140" s="449"/>
      <c r="AG140" s="449"/>
      <c r="AH140" s="449"/>
      <c r="AI140" s="449"/>
      <c r="AJ140" s="449"/>
      <c r="AK140" s="449"/>
      <c r="AL140" s="449"/>
      <c r="AM140" s="449"/>
      <c r="AN140" s="449"/>
      <c r="AO140" s="449"/>
      <c r="AP140" s="449"/>
      <c r="AQ140" s="449"/>
      <c r="AR140" s="449"/>
      <c r="AS140" s="449"/>
      <c r="AT140" s="449"/>
      <c r="AU140" s="449"/>
      <c r="AV140" s="449"/>
      <c r="AW140" s="449"/>
      <c r="AX140" s="449"/>
      <c r="AY140" s="449"/>
      <c r="AZ140" s="449"/>
      <c r="BA140" s="449"/>
      <c r="BB140" s="449"/>
      <c r="BC140" s="449"/>
      <c r="BD140" s="449"/>
      <c r="BE140" s="449"/>
      <c r="BF140" s="449"/>
      <c r="BG140" s="449"/>
      <c r="BH140" s="449"/>
      <c r="BI140" s="449"/>
      <c r="BJ140" s="449"/>
      <c r="BK140" s="449"/>
      <c r="BL140" s="449"/>
      <c r="BM140" s="449"/>
      <c r="BN140" s="449"/>
      <c r="BO140" s="449"/>
      <c r="BP140" s="449"/>
      <c r="BQ140" s="449"/>
      <c r="BR140" s="449"/>
      <c r="BS140" s="449"/>
      <c r="BT140" s="449"/>
      <c r="BU140" s="449"/>
      <c r="BV140" s="449"/>
      <c r="BW140" s="449"/>
      <c r="BX140" s="449"/>
      <c r="BY140" s="449"/>
      <c r="BZ140" s="449"/>
      <c r="CA140" s="449"/>
      <c r="CB140" s="449"/>
      <c r="CC140" s="449"/>
      <c r="CD140" s="449"/>
      <c r="CE140" s="449"/>
      <c r="CF140" s="449"/>
      <c r="CG140" s="449"/>
      <c r="CH140" s="449"/>
      <c r="CI140" s="449"/>
      <c r="CJ140" s="449"/>
      <c r="CK140" s="449"/>
      <c r="CL140" s="449"/>
      <c r="CM140" s="449"/>
      <c r="CN140" s="449"/>
      <c r="CO140" s="449"/>
      <c r="CP140" s="449"/>
      <c r="CQ140" s="449"/>
      <c r="CR140" s="449"/>
      <c r="CS140" s="449"/>
      <c r="CT140" s="449"/>
      <c r="CU140" s="449"/>
      <c r="CV140" s="449"/>
      <c r="CW140" s="449"/>
      <c r="CX140" s="449"/>
      <c r="CY140" s="449"/>
      <c r="CZ140" s="449"/>
      <c r="DA140" s="449"/>
      <c r="DB140" s="449"/>
      <c r="DC140" s="449"/>
      <c r="DD140" s="449"/>
      <c r="DE140" s="449"/>
      <c r="DF140" s="449"/>
      <c r="DG140" s="449"/>
      <c r="DH140" s="449"/>
      <c r="DI140" s="449"/>
      <c r="DJ140" s="449"/>
      <c r="DK140" s="449"/>
      <c r="DL140" s="449"/>
      <c r="DM140" s="449"/>
      <c r="DN140" s="449"/>
      <c r="DO140" s="449"/>
      <c r="DP140" s="449"/>
      <c r="DQ140" s="449"/>
      <c r="DR140" s="449"/>
      <c r="DS140" s="449"/>
      <c r="DT140" s="449"/>
      <c r="DU140" s="449"/>
      <c r="DV140" s="449"/>
      <c r="DW140" s="449"/>
      <c r="DX140" s="449"/>
      <c r="DY140" s="449"/>
      <c r="DZ140" s="449"/>
      <c r="EA140" s="449"/>
      <c r="EB140" s="449"/>
      <c r="EC140" s="449"/>
      <c r="ED140" s="449"/>
      <c r="EE140" s="449"/>
      <c r="EF140" s="449"/>
      <c r="EG140" s="449"/>
      <c r="EH140" s="449"/>
      <c r="EI140" s="449"/>
      <c r="EJ140" s="449"/>
      <c r="EK140" s="449"/>
      <c r="EL140" s="449"/>
      <c r="EM140" s="449"/>
      <c r="EN140" s="449"/>
      <c r="EO140" s="449"/>
      <c r="EP140" s="449"/>
      <c r="EQ140" s="449"/>
      <c r="ER140" s="449"/>
      <c r="ES140" s="449"/>
      <c r="ET140" s="449"/>
      <c r="EU140" s="449"/>
      <c r="EV140" s="449"/>
      <c r="EW140" s="449"/>
      <c r="EX140" s="449"/>
      <c r="EY140" s="449"/>
      <c r="EZ140" s="449"/>
      <c r="FA140" s="449"/>
      <c r="FB140" s="449"/>
      <c r="FC140" s="449"/>
      <c r="FD140" s="449"/>
      <c r="FE140" s="449"/>
      <c r="FF140" s="449"/>
      <c r="FG140" s="449"/>
      <c r="FH140" s="449"/>
      <c r="FI140" s="449"/>
      <c r="FJ140" s="449"/>
      <c r="FK140" s="449"/>
      <c r="FL140" s="449"/>
      <c r="FM140" s="449"/>
      <c r="FN140" s="449"/>
      <c r="FO140" s="449"/>
      <c r="FP140" s="449"/>
      <c r="FQ140" s="449"/>
      <c r="FR140" s="449"/>
      <c r="FS140" s="449"/>
      <c r="FT140" s="449"/>
      <c r="FU140" s="449"/>
      <c r="FV140" s="449"/>
      <c r="FW140" s="449"/>
      <c r="FX140" s="449"/>
      <c r="FY140" s="449"/>
      <c r="FZ140" s="449"/>
      <c r="GA140" s="449"/>
      <c r="GB140" s="449"/>
      <c r="GC140" s="449"/>
      <c r="GD140" s="449"/>
      <c r="GE140" s="449"/>
      <c r="GF140" s="449"/>
      <c r="GG140" s="449"/>
      <c r="GH140" s="449"/>
      <c r="GI140" s="449"/>
      <c r="GJ140" s="449"/>
      <c r="GK140" s="449"/>
      <c r="GL140" s="449"/>
      <c r="GM140" s="449"/>
      <c r="GN140" s="449"/>
      <c r="GO140" s="449"/>
      <c r="GP140" s="449"/>
      <c r="GQ140" s="449"/>
      <c r="GR140" s="449"/>
      <c r="GS140" s="449"/>
      <c r="GT140" s="449"/>
      <c r="GU140" s="449"/>
      <c r="GV140" s="449"/>
      <c r="GW140" s="449"/>
      <c r="GX140" s="449"/>
      <c r="GY140" s="449"/>
      <c r="GZ140" s="449"/>
      <c r="HA140" s="449"/>
      <c r="HB140" s="449"/>
      <c r="HC140" s="449"/>
      <c r="HD140" s="449"/>
      <c r="HE140" s="449"/>
      <c r="HF140" s="449"/>
      <c r="HG140" s="449"/>
      <c r="HH140" s="449"/>
      <c r="HI140" s="449"/>
      <c r="HJ140" s="449"/>
      <c r="HK140" s="449"/>
      <c r="HL140" s="449"/>
      <c r="HM140" s="449"/>
      <c r="HN140" s="449"/>
      <c r="HO140" s="449"/>
      <c r="HP140" s="449"/>
      <c r="HQ140" s="449"/>
      <c r="HR140" s="449"/>
      <c r="HS140" s="449"/>
      <c r="HT140" s="449"/>
      <c r="HU140" s="449"/>
      <c r="HV140" s="449"/>
      <c r="HW140" s="449"/>
      <c r="HX140" s="449"/>
      <c r="HY140" s="449"/>
      <c r="HZ140" s="449"/>
      <c r="IA140" s="449"/>
      <c r="IB140" s="449"/>
      <c r="IC140" s="449"/>
      <c r="ID140" s="449"/>
      <c r="IE140" s="449"/>
      <c r="IF140" s="449"/>
      <c r="IG140" s="449"/>
      <c r="IH140" s="449"/>
      <c r="II140" s="449"/>
      <c r="IJ140" s="449"/>
      <c r="IK140" s="449"/>
      <c r="IL140" s="449"/>
      <c r="IM140" s="449"/>
      <c r="IN140" s="449"/>
      <c r="IO140" s="449"/>
      <c r="IP140" s="449"/>
      <c r="IQ140" s="449"/>
      <c r="IR140" s="449"/>
      <c r="IS140" s="449"/>
      <c r="IT140" s="449"/>
      <c r="IU140" s="449"/>
      <c r="IV140" s="449"/>
      <c r="IW140" s="449"/>
      <c r="IX140" s="449"/>
    </row>
    <row r="141" spans="3:258" x14ac:dyDescent="0.2">
      <c r="C141" s="388" t="s">
        <v>942</v>
      </c>
      <c r="D141" s="389"/>
      <c r="E141" s="389"/>
      <c r="F141" s="389"/>
      <c r="G141" s="389"/>
      <c r="H141" s="389"/>
      <c r="I141" s="389"/>
      <c r="J141" s="389"/>
      <c r="K141" s="390"/>
      <c r="L141" s="391" t="str">
        <f>IFERROR(K141/#REF!-1,"")</f>
        <v/>
      </c>
      <c r="M141" s="449"/>
      <c r="N141" s="449"/>
      <c r="O141" s="449"/>
      <c r="P141" s="449"/>
      <c r="Q141" s="449"/>
      <c r="R141" s="449"/>
      <c r="S141" s="449"/>
      <c r="T141" s="449"/>
      <c r="U141" s="449"/>
      <c r="V141" s="449"/>
      <c r="W141" s="449"/>
      <c r="X141" s="449"/>
      <c r="Y141" s="449"/>
      <c r="Z141" s="449"/>
      <c r="AA141" s="449"/>
      <c r="AB141" s="449"/>
      <c r="AC141" s="449"/>
      <c r="AD141" s="449"/>
      <c r="AE141" s="449"/>
      <c r="AF141" s="449"/>
      <c r="AG141" s="449"/>
      <c r="AH141" s="449"/>
      <c r="AI141" s="449"/>
      <c r="AJ141" s="449"/>
      <c r="AK141" s="449"/>
      <c r="AL141" s="449"/>
      <c r="AM141" s="449"/>
      <c r="AN141" s="449"/>
      <c r="AO141" s="449"/>
      <c r="AP141" s="449"/>
      <c r="AQ141" s="449"/>
      <c r="AR141" s="449"/>
      <c r="AS141" s="449"/>
      <c r="AT141" s="449"/>
      <c r="AU141" s="449"/>
      <c r="AV141" s="449"/>
      <c r="AW141" s="449"/>
      <c r="AX141" s="449"/>
      <c r="AY141" s="449"/>
      <c r="AZ141" s="449"/>
      <c r="BA141" s="449"/>
      <c r="BB141" s="449"/>
      <c r="BC141" s="449"/>
      <c r="BD141" s="449"/>
      <c r="BE141" s="449"/>
      <c r="BF141" s="449"/>
      <c r="BG141" s="449"/>
      <c r="BH141" s="449"/>
      <c r="BI141" s="449"/>
      <c r="BJ141" s="449"/>
      <c r="BK141" s="449"/>
      <c r="BL141" s="449"/>
      <c r="BM141" s="449"/>
      <c r="BN141" s="449"/>
      <c r="BO141" s="449"/>
      <c r="BP141" s="449"/>
      <c r="BQ141" s="449"/>
      <c r="BR141" s="449"/>
      <c r="BS141" s="449"/>
      <c r="BT141" s="449"/>
      <c r="BU141" s="449"/>
      <c r="BV141" s="449"/>
      <c r="BW141" s="449"/>
      <c r="BX141" s="449"/>
      <c r="BY141" s="449"/>
      <c r="BZ141" s="449"/>
      <c r="CA141" s="449"/>
      <c r="CB141" s="449"/>
      <c r="CC141" s="449"/>
      <c r="CD141" s="449"/>
      <c r="CE141" s="449"/>
      <c r="CF141" s="449"/>
      <c r="CG141" s="449"/>
      <c r="CH141" s="449"/>
      <c r="CI141" s="449"/>
      <c r="CJ141" s="449"/>
      <c r="CK141" s="449"/>
      <c r="CL141" s="449"/>
      <c r="CM141" s="449"/>
      <c r="CN141" s="449"/>
      <c r="CO141" s="449"/>
      <c r="CP141" s="449"/>
      <c r="CQ141" s="449"/>
      <c r="CR141" s="449"/>
      <c r="CS141" s="449"/>
      <c r="CT141" s="449"/>
      <c r="CU141" s="449"/>
      <c r="CV141" s="449"/>
      <c r="CW141" s="449"/>
      <c r="CX141" s="449"/>
      <c r="CY141" s="449"/>
      <c r="CZ141" s="449"/>
      <c r="DA141" s="449"/>
      <c r="DB141" s="449"/>
      <c r="DC141" s="449"/>
      <c r="DD141" s="449"/>
      <c r="DE141" s="449"/>
      <c r="DF141" s="449"/>
      <c r="DG141" s="449"/>
      <c r="DH141" s="449"/>
      <c r="DI141" s="449"/>
      <c r="DJ141" s="449"/>
      <c r="DK141" s="449"/>
      <c r="DL141" s="449"/>
      <c r="DM141" s="449"/>
      <c r="DN141" s="449"/>
      <c r="DO141" s="449"/>
      <c r="DP141" s="449"/>
      <c r="DQ141" s="449"/>
      <c r="DR141" s="449"/>
      <c r="DS141" s="449"/>
      <c r="DT141" s="449"/>
      <c r="DU141" s="449"/>
      <c r="DV141" s="449"/>
      <c r="DW141" s="449"/>
      <c r="DX141" s="449"/>
      <c r="DY141" s="449"/>
      <c r="DZ141" s="449"/>
      <c r="EA141" s="449"/>
      <c r="EB141" s="449"/>
      <c r="EC141" s="449"/>
      <c r="ED141" s="449"/>
      <c r="EE141" s="449"/>
      <c r="EF141" s="449"/>
      <c r="EG141" s="449"/>
      <c r="EH141" s="449"/>
      <c r="EI141" s="449"/>
      <c r="EJ141" s="449"/>
      <c r="EK141" s="449"/>
      <c r="EL141" s="449"/>
      <c r="EM141" s="449"/>
      <c r="EN141" s="449"/>
      <c r="EO141" s="449"/>
      <c r="EP141" s="449"/>
      <c r="EQ141" s="449"/>
      <c r="ER141" s="449"/>
      <c r="ES141" s="449"/>
      <c r="ET141" s="449"/>
      <c r="EU141" s="449"/>
      <c r="EV141" s="449"/>
      <c r="EW141" s="449"/>
      <c r="EX141" s="449"/>
      <c r="EY141" s="449"/>
      <c r="EZ141" s="449"/>
      <c r="FA141" s="449"/>
      <c r="FB141" s="449"/>
      <c r="FC141" s="449"/>
      <c r="FD141" s="449"/>
      <c r="FE141" s="449"/>
      <c r="FF141" s="449"/>
      <c r="FG141" s="449"/>
      <c r="FH141" s="449"/>
      <c r="FI141" s="449"/>
      <c r="FJ141" s="449"/>
      <c r="FK141" s="449"/>
      <c r="FL141" s="449"/>
      <c r="FM141" s="449"/>
      <c r="FN141" s="449"/>
      <c r="FO141" s="449"/>
      <c r="FP141" s="449"/>
      <c r="FQ141" s="449"/>
      <c r="FR141" s="449"/>
      <c r="FS141" s="449"/>
      <c r="FT141" s="449"/>
      <c r="FU141" s="449"/>
      <c r="FV141" s="449"/>
      <c r="FW141" s="449"/>
      <c r="FX141" s="449"/>
      <c r="FY141" s="449"/>
      <c r="FZ141" s="449"/>
      <c r="GA141" s="449"/>
      <c r="GB141" s="449"/>
      <c r="GC141" s="449"/>
      <c r="GD141" s="449"/>
      <c r="GE141" s="449"/>
      <c r="GF141" s="449"/>
      <c r="GG141" s="449"/>
      <c r="GH141" s="449"/>
      <c r="GI141" s="449"/>
      <c r="GJ141" s="449"/>
      <c r="GK141" s="449"/>
      <c r="GL141" s="449"/>
      <c r="GM141" s="449"/>
      <c r="GN141" s="449"/>
      <c r="GO141" s="449"/>
      <c r="GP141" s="449"/>
      <c r="GQ141" s="449"/>
      <c r="GR141" s="449"/>
      <c r="GS141" s="449"/>
      <c r="GT141" s="449"/>
      <c r="GU141" s="449"/>
      <c r="GV141" s="449"/>
      <c r="GW141" s="449"/>
      <c r="GX141" s="449"/>
      <c r="GY141" s="449"/>
      <c r="GZ141" s="449"/>
      <c r="HA141" s="449"/>
      <c r="HB141" s="449"/>
      <c r="HC141" s="449"/>
      <c r="HD141" s="449"/>
      <c r="HE141" s="449"/>
      <c r="HF141" s="449"/>
      <c r="HG141" s="449"/>
      <c r="HH141" s="449"/>
      <c r="HI141" s="449"/>
      <c r="HJ141" s="449"/>
      <c r="HK141" s="449"/>
      <c r="HL141" s="449"/>
      <c r="HM141" s="449"/>
      <c r="HN141" s="449"/>
      <c r="HO141" s="449"/>
      <c r="HP141" s="449"/>
      <c r="HQ141" s="449"/>
      <c r="HR141" s="449"/>
      <c r="HS141" s="449"/>
      <c r="HT141" s="449"/>
      <c r="HU141" s="449"/>
      <c r="HV141" s="449"/>
      <c r="HW141" s="449"/>
      <c r="HX141" s="449"/>
      <c r="HY141" s="449"/>
      <c r="HZ141" s="449"/>
      <c r="IA141" s="449"/>
      <c r="IB141" s="449"/>
      <c r="IC141" s="449"/>
      <c r="ID141" s="449"/>
      <c r="IE141" s="449"/>
      <c r="IF141" s="449"/>
      <c r="IG141" s="449"/>
      <c r="IH141" s="449"/>
      <c r="II141" s="449"/>
      <c r="IJ141" s="449"/>
      <c r="IK141" s="449"/>
      <c r="IL141" s="449"/>
      <c r="IM141" s="449"/>
      <c r="IN141" s="449"/>
      <c r="IO141" s="449"/>
      <c r="IP141" s="449"/>
      <c r="IQ141" s="449"/>
      <c r="IR141" s="449"/>
      <c r="IS141" s="449"/>
      <c r="IT141" s="449"/>
      <c r="IU141" s="449"/>
      <c r="IV141" s="449"/>
      <c r="IW141" s="449"/>
      <c r="IX141" s="449"/>
    </row>
    <row r="142" spans="3:258" s="404" customFormat="1" ht="25.5" x14ac:dyDescent="0.2">
      <c r="C142" s="416"/>
      <c r="D142" s="403"/>
      <c r="E142" s="402" t="s">
        <v>943</v>
      </c>
      <c r="F142" s="402"/>
      <c r="G142" s="403"/>
      <c r="H142" s="403"/>
      <c r="I142" s="403"/>
      <c r="J142" s="403"/>
      <c r="K142" s="454">
        <v>733</v>
      </c>
      <c r="L142" s="455">
        <v>672</v>
      </c>
      <c r="M142" s="456"/>
      <c r="N142" s="456"/>
      <c r="O142" s="456"/>
      <c r="P142" s="456"/>
      <c r="Q142" s="456"/>
      <c r="R142" s="456"/>
      <c r="S142" s="456"/>
      <c r="T142" s="456"/>
      <c r="U142" s="456"/>
      <c r="V142" s="456"/>
      <c r="W142" s="456"/>
      <c r="X142" s="456"/>
      <c r="Y142" s="456"/>
      <c r="Z142" s="456"/>
      <c r="AA142" s="456"/>
      <c r="AB142" s="456"/>
      <c r="AC142" s="456"/>
      <c r="AD142" s="456"/>
      <c r="AE142" s="456"/>
      <c r="AF142" s="456"/>
      <c r="AG142" s="456"/>
      <c r="AH142" s="456"/>
      <c r="AI142" s="456"/>
      <c r="AJ142" s="456"/>
      <c r="AK142" s="456"/>
      <c r="AL142" s="456"/>
      <c r="AM142" s="456"/>
      <c r="AN142" s="456"/>
      <c r="AO142" s="456"/>
      <c r="AP142" s="456"/>
      <c r="AQ142" s="456"/>
      <c r="AR142" s="456"/>
      <c r="AS142" s="456"/>
      <c r="AT142" s="456"/>
      <c r="AU142" s="456"/>
      <c r="AV142" s="456"/>
      <c r="AW142" s="456"/>
      <c r="AX142" s="456"/>
      <c r="AY142" s="456"/>
      <c r="AZ142" s="456"/>
      <c r="BA142" s="456"/>
      <c r="BB142" s="456"/>
      <c r="BC142" s="456"/>
      <c r="BD142" s="456"/>
      <c r="BE142" s="456"/>
      <c r="BF142" s="456"/>
      <c r="BG142" s="456"/>
      <c r="BH142" s="456"/>
      <c r="BI142" s="456"/>
      <c r="BJ142" s="456"/>
      <c r="BK142" s="456"/>
      <c r="BL142" s="456"/>
      <c r="BM142" s="456"/>
      <c r="BN142" s="456"/>
      <c r="BO142" s="456"/>
      <c r="BP142" s="456"/>
      <c r="BQ142" s="456"/>
      <c r="BR142" s="456"/>
      <c r="BS142" s="456"/>
      <c r="BT142" s="456"/>
      <c r="BU142" s="456"/>
      <c r="BV142" s="456"/>
      <c r="BW142" s="456"/>
      <c r="BX142" s="456"/>
      <c r="BY142" s="456"/>
      <c r="BZ142" s="456"/>
      <c r="CA142" s="456"/>
      <c r="CB142" s="456"/>
      <c r="CC142" s="456"/>
      <c r="CD142" s="456"/>
      <c r="CE142" s="456"/>
      <c r="CF142" s="456"/>
      <c r="CG142" s="456"/>
      <c r="CH142" s="456"/>
      <c r="CI142" s="456"/>
      <c r="CJ142" s="456"/>
      <c r="CK142" s="456"/>
      <c r="CL142" s="456"/>
      <c r="CM142" s="456"/>
      <c r="CN142" s="456"/>
      <c r="CO142" s="456"/>
      <c r="CP142" s="456"/>
      <c r="CQ142" s="456"/>
      <c r="CR142" s="456"/>
      <c r="CS142" s="456"/>
      <c r="CT142" s="456"/>
      <c r="CU142" s="456"/>
      <c r="CV142" s="456"/>
      <c r="CW142" s="456"/>
      <c r="CX142" s="456"/>
      <c r="CY142" s="456"/>
      <c r="CZ142" s="456"/>
      <c r="DA142" s="456"/>
      <c r="DB142" s="456"/>
      <c r="DC142" s="456"/>
      <c r="DD142" s="456"/>
      <c r="DE142" s="456"/>
      <c r="DF142" s="456"/>
      <c r="DG142" s="456"/>
      <c r="DH142" s="456"/>
      <c r="DI142" s="456"/>
      <c r="DJ142" s="456"/>
      <c r="DK142" s="456"/>
      <c r="DL142" s="456"/>
      <c r="DM142" s="456"/>
      <c r="DN142" s="456"/>
      <c r="DO142" s="456"/>
      <c r="DP142" s="456"/>
      <c r="DQ142" s="456"/>
      <c r="DR142" s="456"/>
      <c r="DS142" s="456"/>
      <c r="DT142" s="456"/>
      <c r="DU142" s="456"/>
      <c r="DV142" s="456"/>
      <c r="DW142" s="456"/>
      <c r="DX142" s="456"/>
      <c r="DY142" s="456"/>
      <c r="DZ142" s="456"/>
      <c r="EA142" s="456"/>
      <c r="EB142" s="456"/>
      <c r="EC142" s="456"/>
      <c r="ED142" s="456"/>
      <c r="EE142" s="456"/>
      <c r="EF142" s="456"/>
      <c r="EG142" s="456"/>
      <c r="EH142" s="456"/>
      <c r="EI142" s="456"/>
      <c r="EJ142" s="456"/>
      <c r="EK142" s="456"/>
      <c r="EL142" s="456"/>
      <c r="EM142" s="456"/>
      <c r="EN142" s="456"/>
      <c r="EO142" s="456"/>
      <c r="EP142" s="456"/>
      <c r="EQ142" s="456"/>
      <c r="ER142" s="456"/>
      <c r="ES142" s="456"/>
      <c r="ET142" s="456"/>
      <c r="EU142" s="456"/>
      <c r="EV142" s="456"/>
      <c r="EW142" s="456"/>
      <c r="EX142" s="456"/>
      <c r="EY142" s="456"/>
      <c r="EZ142" s="456"/>
      <c r="FA142" s="456"/>
      <c r="FB142" s="456"/>
      <c r="FC142" s="456"/>
      <c r="FD142" s="456"/>
      <c r="FE142" s="456"/>
      <c r="FF142" s="456"/>
      <c r="FG142" s="456"/>
      <c r="FH142" s="456"/>
      <c r="FI142" s="456"/>
      <c r="FJ142" s="456"/>
      <c r="FK142" s="456"/>
      <c r="FL142" s="456"/>
      <c r="FM142" s="456"/>
      <c r="FN142" s="456"/>
      <c r="FO142" s="456"/>
      <c r="FP142" s="456"/>
      <c r="FQ142" s="456"/>
      <c r="FR142" s="456"/>
      <c r="FS142" s="456"/>
      <c r="FT142" s="456"/>
      <c r="FU142" s="456"/>
      <c r="FV142" s="456"/>
      <c r="FW142" s="456"/>
      <c r="FX142" s="456"/>
      <c r="FY142" s="456"/>
      <c r="FZ142" s="456"/>
      <c r="GA142" s="456"/>
      <c r="GB142" s="456"/>
      <c r="GC142" s="456"/>
      <c r="GD142" s="456"/>
      <c r="GE142" s="456"/>
      <c r="GF142" s="456"/>
      <c r="GG142" s="456"/>
      <c r="GH142" s="456"/>
      <c r="GI142" s="456"/>
      <c r="GJ142" s="456"/>
      <c r="GK142" s="456"/>
      <c r="GL142" s="456"/>
      <c r="GM142" s="456"/>
      <c r="GN142" s="456"/>
      <c r="GO142" s="456"/>
      <c r="GP142" s="456"/>
      <c r="GQ142" s="456"/>
      <c r="GR142" s="456"/>
      <c r="GS142" s="456"/>
      <c r="GT142" s="456"/>
      <c r="GU142" s="456"/>
      <c r="GV142" s="456"/>
      <c r="GW142" s="456"/>
      <c r="GX142" s="456"/>
      <c r="GY142" s="456"/>
      <c r="GZ142" s="456"/>
      <c r="HA142" s="456"/>
      <c r="HB142" s="456"/>
      <c r="HC142" s="456"/>
      <c r="HD142" s="456"/>
      <c r="HE142" s="456"/>
      <c r="HF142" s="456"/>
      <c r="HG142" s="456"/>
      <c r="HH142" s="456"/>
      <c r="HI142" s="456"/>
      <c r="HJ142" s="456"/>
      <c r="HK142" s="456"/>
      <c r="HL142" s="456"/>
      <c r="HM142" s="456"/>
      <c r="HN142" s="456"/>
      <c r="HO142" s="456"/>
      <c r="HP142" s="456"/>
      <c r="HQ142" s="456"/>
      <c r="HR142" s="456"/>
      <c r="HS142" s="456"/>
      <c r="HT142" s="456"/>
      <c r="HU142" s="456"/>
      <c r="HV142" s="456"/>
      <c r="HW142" s="456"/>
      <c r="HX142" s="456"/>
      <c r="HY142" s="456"/>
      <c r="HZ142" s="456"/>
      <c r="IA142" s="456"/>
      <c r="IB142" s="456"/>
      <c r="IC142" s="456"/>
      <c r="ID142" s="456"/>
      <c r="IE142" s="456"/>
      <c r="IF142" s="456"/>
      <c r="IG142" s="456"/>
      <c r="IH142" s="456"/>
      <c r="II142" s="456"/>
      <c r="IJ142" s="456"/>
      <c r="IK142" s="456"/>
      <c r="IL142" s="456"/>
      <c r="IM142" s="456"/>
      <c r="IN142" s="456"/>
      <c r="IO142" s="456"/>
      <c r="IP142" s="456"/>
      <c r="IQ142" s="456"/>
      <c r="IR142" s="456"/>
      <c r="IS142" s="456"/>
      <c r="IT142" s="456"/>
      <c r="IU142" s="456"/>
      <c r="IV142" s="456"/>
      <c r="IW142" s="456"/>
      <c r="IX142" s="456"/>
    </row>
    <row r="143" spans="3:258" x14ac:dyDescent="0.2">
      <c r="C143" s="384" t="s">
        <v>953</v>
      </c>
      <c r="D143" s="385"/>
      <c r="E143" s="385"/>
      <c r="F143" s="385"/>
      <c r="G143" s="385"/>
      <c r="H143" s="385"/>
      <c r="I143" s="385"/>
      <c r="J143" s="385"/>
      <c r="K143" s="386"/>
      <c r="L143" s="387" t="str">
        <f>IFERROR(K143/#REF!-1,"")</f>
        <v/>
      </c>
      <c r="M143" s="449"/>
      <c r="N143" s="449"/>
      <c r="O143" s="449"/>
      <c r="P143" s="449"/>
      <c r="Q143" s="449"/>
      <c r="R143" s="449"/>
      <c r="S143" s="449"/>
      <c r="T143" s="449"/>
      <c r="U143" s="449"/>
      <c r="V143" s="449"/>
      <c r="W143" s="449"/>
      <c r="X143" s="449"/>
      <c r="Y143" s="449"/>
      <c r="Z143" s="449"/>
      <c r="AA143" s="449"/>
      <c r="AB143" s="449"/>
      <c r="AC143" s="449"/>
      <c r="AD143" s="449"/>
      <c r="AE143" s="449"/>
      <c r="AF143" s="449"/>
      <c r="AG143" s="449"/>
      <c r="AH143" s="449"/>
      <c r="AI143" s="449"/>
      <c r="AJ143" s="449"/>
      <c r="AK143" s="449"/>
      <c r="AL143" s="449"/>
      <c r="AM143" s="449"/>
      <c r="AN143" s="449"/>
      <c r="AO143" s="449"/>
      <c r="AP143" s="449"/>
      <c r="AQ143" s="449"/>
      <c r="AR143" s="449"/>
      <c r="AS143" s="449"/>
      <c r="AT143" s="449"/>
      <c r="AU143" s="449"/>
      <c r="AV143" s="449"/>
      <c r="AW143" s="449"/>
      <c r="AX143" s="449"/>
      <c r="AY143" s="449"/>
      <c r="AZ143" s="449"/>
      <c r="BA143" s="449"/>
      <c r="BB143" s="449"/>
      <c r="BC143" s="449"/>
      <c r="BD143" s="449"/>
      <c r="BE143" s="449"/>
      <c r="BF143" s="449"/>
      <c r="BG143" s="449"/>
      <c r="BH143" s="449"/>
      <c r="BI143" s="449"/>
      <c r="BJ143" s="449"/>
      <c r="BK143" s="449"/>
      <c r="BL143" s="449"/>
      <c r="BM143" s="449"/>
      <c r="BN143" s="449"/>
      <c r="BO143" s="449"/>
      <c r="BP143" s="449"/>
      <c r="BQ143" s="449"/>
      <c r="BR143" s="449"/>
      <c r="BS143" s="449"/>
      <c r="BT143" s="449"/>
      <c r="BU143" s="449"/>
      <c r="BV143" s="449"/>
      <c r="BW143" s="449"/>
      <c r="BX143" s="449"/>
      <c r="BY143" s="449"/>
      <c r="BZ143" s="449"/>
      <c r="CA143" s="449"/>
      <c r="CB143" s="449"/>
      <c r="CC143" s="449"/>
      <c r="CD143" s="449"/>
      <c r="CE143" s="449"/>
      <c r="CF143" s="449"/>
      <c r="CG143" s="449"/>
      <c r="CH143" s="449"/>
      <c r="CI143" s="449"/>
      <c r="CJ143" s="449"/>
      <c r="CK143" s="449"/>
      <c r="CL143" s="449"/>
      <c r="CM143" s="449"/>
      <c r="CN143" s="449"/>
      <c r="CO143" s="449"/>
      <c r="CP143" s="449"/>
      <c r="CQ143" s="449"/>
      <c r="CR143" s="449"/>
      <c r="CS143" s="449"/>
      <c r="CT143" s="449"/>
      <c r="CU143" s="449"/>
      <c r="CV143" s="449"/>
      <c r="CW143" s="449"/>
      <c r="CX143" s="449"/>
      <c r="CY143" s="449"/>
      <c r="CZ143" s="449"/>
      <c r="DA143" s="449"/>
      <c r="DB143" s="449"/>
      <c r="DC143" s="449"/>
      <c r="DD143" s="449"/>
      <c r="DE143" s="449"/>
      <c r="DF143" s="449"/>
      <c r="DG143" s="449"/>
      <c r="DH143" s="449"/>
      <c r="DI143" s="449"/>
      <c r="DJ143" s="449"/>
      <c r="DK143" s="449"/>
      <c r="DL143" s="449"/>
      <c r="DM143" s="449"/>
      <c r="DN143" s="449"/>
      <c r="DO143" s="449"/>
      <c r="DP143" s="449"/>
      <c r="DQ143" s="449"/>
      <c r="DR143" s="449"/>
      <c r="DS143" s="449"/>
      <c r="DT143" s="449"/>
      <c r="DU143" s="449"/>
      <c r="DV143" s="449"/>
      <c r="DW143" s="449"/>
      <c r="DX143" s="449"/>
      <c r="DY143" s="449"/>
      <c r="DZ143" s="449"/>
      <c r="EA143" s="449"/>
      <c r="EB143" s="449"/>
      <c r="EC143" s="449"/>
      <c r="ED143" s="449"/>
      <c r="EE143" s="449"/>
      <c r="EF143" s="449"/>
      <c r="EG143" s="449"/>
      <c r="EH143" s="449"/>
      <c r="EI143" s="449"/>
      <c r="EJ143" s="449"/>
      <c r="EK143" s="449"/>
      <c r="EL143" s="449"/>
      <c r="EM143" s="449"/>
      <c r="EN143" s="449"/>
      <c r="EO143" s="449"/>
      <c r="EP143" s="449"/>
      <c r="EQ143" s="449"/>
      <c r="ER143" s="449"/>
      <c r="ES143" s="449"/>
      <c r="ET143" s="449"/>
      <c r="EU143" s="449"/>
      <c r="EV143" s="449"/>
      <c r="EW143" s="449"/>
      <c r="EX143" s="449"/>
      <c r="EY143" s="449"/>
      <c r="EZ143" s="449"/>
      <c r="FA143" s="449"/>
      <c r="FB143" s="449"/>
      <c r="FC143" s="449"/>
      <c r="FD143" s="449"/>
      <c r="FE143" s="449"/>
      <c r="FF143" s="449"/>
      <c r="FG143" s="449"/>
      <c r="FH143" s="449"/>
      <c r="FI143" s="449"/>
      <c r="FJ143" s="449"/>
      <c r="FK143" s="449"/>
      <c r="FL143" s="449"/>
      <c r="FM143" s="449"/>
      <c r="FN143" s="449"/>
      <c r="FO143" s="449"/>
      <c r="FP143" s="449"/>
      <c r="FQ143" s="449"/>
      <c r="FR143" s="449"/>
      <c r="FS143" s="449"/>
      <c r="FT143" s="449"/>
      <c r="FU143" s="449"/>
      <c r="FV143" s="449"/>
      <c r="FW143" s="449"/>
      <c r="FX143" s="449"/>
      <c r="FY143" s="449"/>
      <c r="FZ143" s="449"/>
      <c r="GA143" s="449"/>
      <c r="GB143" s="449"/>
      <c r="GC143" s="449"/>
      <c r="GD143" s="449"/>
      <c r="GE143" s="449"/>
      <c r="GF143" s="449"/>
      <c r="GG143" s="449"/>
      <c r="GH143" s="449"/>
      <c r="GI143" s="449"/>
      <c r="GJ143" s="449"/>
      <c r="GK143" s="449"/>
      <c r="GL143" s="449"/>
      <c r="GM143" s="449"/>
      <c r="GN143" s="449"/>
      <c r="GO143" s="449"/>
      <c r="GP143" s="449"/>
      <c r="GQ143" s="449"/>
      <c r="GR143" s="449"/>
      <c r="GS143" s="449"/>
      <c r="GT143" s="449"/>
      <c r="GU143" s="449"/>
      <c r="GV143" s="449"/>
      <c r="GW143" s="449"/>
      <c r="GX143" s="449"/>
      <c r="GY143" s="449"/>
      <c r="GZ143" s="449"/>
      <c r="HA143" s="449"/>
      <c r="HB143" s="449"/>
      <c r="HC143" s="449"/>
      <c r="HD143" s="449"/>
      <c r="HE143" s="449"/>
      <c r="HF143" s="449"/>
      <c r="HG143" s="449"/>
      <c r="HH143" s="449"/>
      <c r="HI143" s="449"/>
      <c r="HJ143" s="449"/>
      <c r="HK143" s="449"/>
      <c r="HL143" s="449"/>
      <c r="HM143" s="449"/>
      <c r="HN143" s="449"/>
      <c r="HO143" s="449"/>
      <c r="HP143" s="449"/>
      <c r="HQ143" s="449"/>
      <c r="HR143" s="449"/>
      <c r="HS143" s="449"/>
      <c r="HT143" s="449"/>
      <c r="HU143" s="449"/>
      <c r="HV143" s="449"/>
      <c r="HW143" s="449"/>
      <c r="HX143" s="449"/>
      <c r="HY143" s="449"/>
      <c r="HZ143" s="449"/>
      <c r="IA143" s="449"/>
      <c r="IB143" s="449"/>
      <c r="IC143" s="449"/>
      <c r="ID143" s="449"/>
      <c r="IE143" s="449"/>
      <c r="IF143" s="449"/>
      <c r="IG143" s="449"/>
      <c r="IH143" s="449"/>
      <c r="II143" s="449"/>
      <c r="IJ143" s="449"/>
      <c r="IK143" s="449"/>
      <c r="IL143" s="449"/>
      <c r="IM143" s="449"/>
      <c r="IN143" s="449"/>
      <c r="IO143" s="449"/>
      <c r="IP143" s="449"/>
      <c r="IQ143" s="449"/>
      <c r="IR143" s="449"/>
      <c r="IS143" s="449"/>
      <c r="IT143" s="449"/>
      <c r="IU143" s="449"/>
      <c r="IV143" s="449"/>
      <c r="IW143" s="449"/>
      <c r="IX143" s="449"/>
    </row>
    <row r="144" spans="3:258" x14ac:dyDescent="0.2">
      <c r="C144" s="388" t="s">
        <v>1076</v>
      </c>
      <c r="D144" s="389"/>
      <c r="E144" s="389"/>
      <c r="F144" s="389"/>
      <c r="G144" s="389"/>
      <c r="H144" s="389"/>
      <c r="I144" s="389"/>
      <c r="J144" s="389"/>
      <c r="K144" s="390"/>
      <c r="L144" s="391" t="str">
        <f>IFERROR(K144/#REF!-1,"")</f>
        <v/>
      </c>
      <c r="M144" s="449"/>
      <c r="N144" s="449"/>
      <c r="O144" s="449"/>
      <c r="P144" s="449"/>
      <c r="Q144" s="449"/>
      <c r="R144" s="449"/>
      <c r="S144" s="449"/>
      <c r="T144" s="449"/>
      <c r="U144" s="449"/>
      <c r="V144" s="449"/>
      <c r="W144" s="449"/>
      <c r="X144" s="449"/>
      <c r="Y144" s="449"/>
      <c r="Z144" s="449"/>
      <c r="AA144" s="449"/>
      <c r="AB144" s="449"/>
      <c r="AC144" s="449"/>
      <c r="AD144" s="449"/>
      <c r="AE144" s="449"/>
      <c r="AF144" s="449"/>
      <c r="AG144" s="449"/>
      <c r="AH144" s="449"/>
      <c r="AI144" s="449"/>
      <c r="AJ144" s="449"/>
      <c r="AK144" s="449"/>
      <c r="AL144" s="449"/>
      <c r="AM144" s="449"/>
      <c r="AN144" s="449"/>
      <c r="AO144" s="449"/>
      <c r="AP144" s="449"/>
      <c r="AQ144" s="449"/>
      <c r="AR144" s="449"/>
      <c r="AS144" s="449"/>
      <c r="AT144" s="449"/>
      <c r="AU144" s="449"/>
      <c r="AV144" s="449"/>
      <c r="AW144" s="449"/>
      <c r="AX144" s="449"/>
      <c r="AY144" s="449"/>
      <c r="AZ144" s="449"/>
      <c r="BA144" s="449"/>
      <c r="BB144" s="449"/>
      <c r="BC144" s="449"/>
      <c r="BD144" s="449"/>
      <c r="BE144" s="449"/>
      <c r="BF144" s="449"/>
      <c r="BG144" s="449"/>
      <c r="BH144" s="449"/>
      <c r="BI144" s="449"/>
      <c r="BJ144" s="449"/>
      <c r="BK144" s="449"/>
      <c r="BL144" s="449"/>
      <c r="BM144" s="449"/>
      <c r="BN144" s="449"/>
      <c r="BO144" s="449"/>
      <c r="BP144" s="449"/>
      <c r="BQ144" s="449"/>
      <c r="BR144" s="449"/>
      <c r="BS144" s="449"/>
      <c r="BT144" s="449"/>
      <c r="BU144" s="449"/>
      <c r="BV144" s="449"/>
      <c r="BW144" s="449"/>
      <c r="BX144" s="449"/>
      <c r="BY144" s="449"/>
      <c r="BZ144" s="449"/>
      <c r="CA144" s="449"/>
      <c r="CB144" s="449"/>
      <c r="CC144" s="449"/>
      <c r="CD144" s="449"/>
      <c r="CE144" s="449"/>
      <c r="CF144" s="449"/>
      <c r="CG144" s="449"/>
      <c r="CH144" s="449"/>
      <c r="CI144" s="449"/>
      <c r="CJ144" s="449"/>
      <c r="CK144" s="449"/>
      <c r="CL144" s="449"/>
      <c r="CM144" s="449"/>
      <c r="CN144" s="449"/>
      <c r="CO144" s="449"/>
      <c r="CP144" s="449"/>
      <c r="CQ144" s="449"/>
      <c r="CR144" s="449"/>
      <c r="CS144" s="449"/>
      <c r="CT144" s="449"/>
      <c r="CU144" s="449"/>
      <c r="CV144" s="449"/>
      <c r="CW144" s="449"/>
      <c r="CX144" s="449"/>
      <c r="CY144" s="449"/>
      <c r="CZ144" s="449"/>
      <c r="DA144" s="449"/>
      <c r="DB144" s="449"/>
      <c r="DC144" s="449"/>
      <c r="DD144" s="449"/>
      <c r="DE144" s="449"/>
      <c r="DF144" s="449"/>
      <c r="DG144" s="449"/>
      <c r="DH144" s="449"/>
      <c r="DI144" s="449"/>
      <c r="DJ144" s="449"/>
      <c r="DK144" s="449"/>
      <c r="DL144" s="449"/>
      <c r="DM144" s="449"/>
      <c r="DN144" s="449"/>
      <c r="DO144" s="449"/>
      <c r="DP144" s="449"/>
      <c r="DQ144" s="449"/>
      <c r="DR144" s="449"/>
      <c r="DS144" s="449"/>
      <c r="DT144" s="449"/>
      <c r="DU144" s="449"/>
      <c r="DV144" s="449"/>
      <c r="DW144" s="449"/>
      <c r="DX144" s="449"/>
      <c r="DY144" s="449"/>
      <c r="DZ144" s="449"/>
      <c r="EA144" s="449"/>
      <c r="EB144" s="449"/>
      <c r="EC144" s="449"/>
      <c r="ED144" s="449"/>
      <c r="EE144" s="449"/>
      <c r="EF144" s="449"/>
      <c r="EG144" s="449"/>
      <c r="EH144" s="449"/>
      <c r="EI144" s="449"/>
      <c r="EJ144" s="449"/>
      <c r="EK144" s="449"/>
      <c r="EL144" s="449"/>
      <c r="EM144" s="449"/>
      <c r="EN144" s="449"/>
      <c r="EO144" s="449"/>
      <c r="EP144" s="449"/>
      <c r="EQ144" s="449"/>
      <c r="ER144" s="449"/>
      <c r="ES144" s="449"/>
      <c r="ET144" s="449"/>
      <c r="EU144" s="449"/>
      <c r="EV144" s="449"/>
      <c r="EW144" s="449"/>
      <c r="EX144" s="449"/>
      <c r="EY144" s="449"/>
      <c r="EZ144" s="449"/>
      <c r="FA144" s="449"/>
      <c r="FB144" s="449"/>
      <c r="FC144" s="449"/>
      <c r="FD144" s="449"/>
      <c r="FE144" s="449"/>
      <c r="FF144" s="449"/>
      <c r="FG144" s="449"/>
      <c r="FH144" s="449"/>
      <c r="FI144" s="449"/>
      <c r="FJ144" s="449"/>
      <c r="FK144" s="449"/>
      <c r="FL144" s="449"/>
      <c r="FM144" s="449"/>
      <c r="FN144" s="449"/>
      <c r="FO144" s="449"/>
      <c r="FP144" s="449"/>
      <c r="FQ144" s="449"/>
      <c r="FR144" s="449"/>
      <c r="FS144" s="449"/>
      <c r="FT144" s="449"/>
      <c r="FU144" s="449"/>
      <c r="FV144" s="449"/>
      <c r="FW144" s="449"/>
      <c r="FX144" s="449"/>
      <c r="FY144" s="449"/>
      <c r="FZ144" s="449"/>
      <c r="GA144" s="449"/>
      <c r="GB144" s="449"/>
      <c r="GC144" s="449"/>
      <c r="GD144" s="449"/>
      <c r="GE144" s="449"/>
      <c r="GF144" s="449"/>
      <c r="GG144" s="449"/>
      <c r="GH144" s="449"/>
      <c r="GI144" s="449"/>
      <c r="GJ144" s="449"/>
      <c r="GK144" s="449"/>
      <c r="GL144" s="449"/>
      <c r="GM144" s="449"/>
      <c r="GN144" s="449"/>
      <c r="GO144" s="449"/>
      <c r="GP144" s="449"/>
      <c r="GQ144" s="449"/>
      <c r="GR144" s="449"/>
      <c r="GS144" s="449"/>
      <c r="GT144" s="449"/>
      <c r="GU144" s="449"/>
      <c r="GV144" s="449"/>
      <c r="GW144" s="449"/>
      <c r="GX144" s="449"/>
      <c r="GY144" s="449"/>
      <c r="GZ144" s="449"/>
      <c r="HA144" s="449"/>
      <c r="HB144" s="449"/>
      <c r="HC144" s="449"/>
      <c r="HD144" s="449"/>
      <c r="HE144" s="449"/>
      <c r="HF144" s="449"/>
      <c r="HG144" s="449"/>
      <c r="HH144" s="449"/>
      <c r="HI144" s="449"/>
      <c r="HJ144" s="449"/>
      <c r="HK144" s="449"/>
      <c r="HL144" s="449"/>
      <c r="HM144" s="449"/>
      <c r="HN144" s="449"/>
      <c r="HO144" s="449"/>
      <c r="HP144" s="449"/>
      <c r="HQ144" s="449"/>
      <c r="HR144" s="449"/>
      <c r="HS144" s="449"/>
      <c r="HT144" s="449"/>
      <c r="HU144" s="449"/>
      <c r="HV144" s="449"/>
      <c r="HW144" s="449"/>
      <c r="HX144" s="449"/>
      <c r="HY144" s="449"/>
      <c r="HZ144" s="449"/>
      <c r="IA144" s="449"/>
      <c r="IB144" s="449"/>
      <c r="IC144" s="449"/>
      <c r="ID144" s="449"/>
      <c r="IE144" s="449"/>
      <c r="IF144" s="449"/>
      <c r="IG144" s="449"/>
      <c r="IH144" s="449"/>
      <c r="II144" s="449"/>
      <c r="IJ144" s="449"/>
      <c r="IK144" s="449"/>
      <c r="IL144" s="449"/>
      <c r="IM144" s="449"/>
      <c r="IN144" s="449"/>
      <c r="IO144" s="449"/>
      <c r="IP144" s="449"/>
      <c r="IQ144" s="449"/>
      <c r="IR144" s="449"/>
      <c r="IS144" s="449"/>
      <c r="IT144" s="449"/>
      <c r="IU144" s="449"/>
      <c r="IV144" s="449"/>
      <c r="IW144" s="449"/>
      <c r="IX144" s="449"/>
    </row>
    <row r="145" spans="3:258" x14ac:dyDescent="0.2">
      <c r="C145" s="392" t="s">
        <v>1077</v>
      </c>
      <c r="D145" s="393" t="s">
        <v>877</v>
      </c>
      <c r="E145" s="410" t="s">
        <v>1078</v>
      </c>
      <c r="F145" s="410"/>
      <c r="G145" s="393">
        <v>1000</v>
      </c>
      <c r="H145" s="393">
        <v>210</v>
      </c>
      <c r="I145" s="393">
        <v>100</v>
      </c>
      <c r="J145" s="393">
        <v>27.56</v>
      </c>
      <c r="K145" s="397">
        <v>7898</v>
      </c>
      <c r="L145" s="398">
        <f>K145*0.7</f>
        <v>5528.5999999999995</v>
      </c>
      <c r="M145" s="449"/>
      <c r="N145" s="449"/>
      <c r="O145" s="449"/>
      <c r="P145" s="449"/>
      <c r="Q145" s="449"/>
      <c r="R145" s="449"/>
      <c r="S145" s="449"/>
      <c r="T145" s="449"/>
      <c r="U145" s="449"/>
      <c r="V145" s="449"/>
      <c r="W145" s="449"/>
      <c r="X145" s="449"/>
      <c r="Y145" s="449"/>
      <c r="Z145" s="449"/>
      <c r="AA145" s="449"/>
      <c r="AB145" s="449"/>
      <c r="AC145" s="449"/>
      <c r="AD145" s="449"/>
      <c r="AE145" s="449"/>
      <c r="AF145" s="449"/>
      <c r="AG145" s="449"/>
      <c r="AH145" s="449"/>
      <c r="AI145" s="449"/>
      <c r="AJ145" s="449"/>
      <c r="AK145" s="449"/>
      <c r="AL145" s="449"/>
      <c r="AM145" s="449"/>
      <c r="AN145" s="449"/>
      <c r="AO145" s="449"/>
      <c r="AP145" s="449"/>
      <c r="AQ145" s="449"/>
      <c r="AR145" s="449"/>
      <c r="AS145" s="449"/>
      <c r="AT145" s="449"/>
      <c r="AU145" s="449"/>
      <c r="AV145" s="449"/>
      <c r="AW145" s="449"/>
      <c r="AX145" s="449"/>
      <c r="AY145" s="449"/>
      <c r="AZ145" s="449"/>
      <c r="BA145" s="449"/>
      <c r="BB145" s="449"/>
      <c r="BC145" s="449"/>
      <c r="BD145" s="449"/>
      <c r="BE145" s="449"/>
      <c r="BF145" s="449"/>
      <c r="BG145" s="449"/>
      <c r="BH145" s="449"/>
      <c r="BI145" s="449"/>
      <c r="BJ145" s="449"/>
      <c r="BK145" s="449"/>
      <c r="BL145" s="449"/>
      <c r="BM145" s="449"/>
      <c r="BN145" s="449"/>
      <c r="BO145" s="449"/>
      <c r="BP145" s="449"/>
      <c r="BQ145" s="449"/>
      <c r="BR145" s="449"/>
      <c r="BS145" s="449"/>
      <c r="BT145" s="449"/>
      <c r="BU145" s="449"/>
      <c r="BV145" s="449"/>
      <c r="BW145" s="449"/>
      <c r="BX145" s="449"/>
      <c r="BY145" s="449"/>
      <c r="BZ145" s="449"/>
      <c r="CA145" s="449"/>
      <c r="CB145" s="449"/>
      <c r="CC145" s="449"/>
      <c r="CD145" s="449"/>
      <c r="CE145" s="449"/>
      <c r="CF145" s="449"/>
      <c r="CG145" s="449"/>
      <c r="CH145" s="449"/>
      <c r="CI145" s="449"/>
      <c r="CJ145" s="449"/>
      <c r="CK145" s="449"/>
      <c r="CL145" s="449"/>
      <c r="CM145" s="449"/>
      <c r="CN145" s="449"/>
      <c r="CO145" s="449"/>
      <c r="CP145" s="449"/>
      <c r="CQ145" s="449"/>
      <c r="CR145" s="449"/>
      <c r="CS145" s="449"/>
      <c r="CT145" s="449"/>
      <c r="CU145" s="449"/>
      <c r="CV145" s="449"/>
      <c r="CW145" s="449"/>
      <c r="CX145" s="449"/>
      <c r="CY145" s="449"/>
      <c r="CZ145" s="449"/>
      <c r="DA145" s="449"/>
      <c r="DB145" s="449"/>
      <c r="DC145" s="449"/>
      <c r="DD145" s="449"/>
      <c r="DE145" s="449"/>
      <c r="DF145" s="449"/>
      <c r="DG145" s="449"/>
      <c r="DH145" s="449"/>
      <c r="DI145" s="449"/>
      <c r="DJ145" s="449"/>
      <c r="DK145" s="449"/>
      <c r="DL145" s="449"/>
      <c r="DM145" s="449"/>
      <c r="DN145" s="449"/>
      <c r="DO145" s="449"/>
      <c r="DP145" s="449"/>
      <c r="DQ145" s="449"/>
      <c r="DR145" s="449"/>
      <c r="DS145" s="449"/>
      <c r="DT145" s="449"/>
      <c r="DU145" s="449"/>
      <c r="DV145" s="449"/>
      <c r="DW145" s="449"/>
      <c r="DX145" s="449"/>
      <c r="DY145" s="449"/>
      <c r="DZ145" s="449"/>
      <c r="EA145" s="449"/>
      <c r="EB145" s="449"/>
      <c r="EC145" s="449"/>
      <c r="ED145" s="449"/>
      <c r="EE145" s="449"/>
      <c r="EF145" s="449"/>
      <c r="EG145" s="449"/>
      <c r="EH145" s="449"/>
      <c r="EI145" s="449"/>
      <c r="EJ145" s="449"/>
      <c r="EK145" s="449"/>
      <c r="EL145" s="449"/>
      <c r="EM145" s="449"/>
      <c r="EN145" s="449"/>
      <c r="EO145" s="449"/>
      <c r="EP145" s="449"/>
      <c r="EQ145" s="449"/>
      <c r="ER145" s="449"/>
      <c r="ES145" s="449"/>
      <c r="ET145" s="449"/>
      <c r="EU145" s="449"/>
      <c r="EV145" s="449"/>
      <c r="EW145" s="449"/>
      <c r="EX145" s="449"/>
      <c r="EY145" s="449"/>
      <c r="EZ145" s="449"/>
      <c r="FA145" s="449"/>
      <c r="FB145" s="449"/>
      <c r="FC145" s="449"/>
      <c r="FD145" s="449"/>
      <c r="FE145" s="449"/>
      <c r="FF145" s="449"/>
      <c r="FG145" s="449"/>
      <c r="FH145" s="449"/>
      <c r="FI145" s="449"/>
      <c r="FJ145" s="449"/>
      <c r="FK145" s="449"/>
      <c r="FL145" s="449"/>
      <c r="FM145" s="449"/>
      <c r="FN145" s="449"/>
      <c r="FO145" s="449"/>
      <c r="FP145" s="449"/>
      <c r="FQ145" s="449"/>
      <c r="FR145" s="449"/>
      <c r="FS145" s="449"/>
      <c r="FT145" s="449"/>
      <c r="FU145" s="449"/>
      <c r="FV145" s="449"/>
      <c r="FW145" s="449"/>
      <c r="FX145" s="449"/>
      <c r="FY145" s="449"/>
      <c r="FZ145" s="449"/>
      <c r="GA145" s="449"/>
      <c r="GB145" s="449"/>
      <c r="GC145" s="449"/>
      <c r="GD145" s="449"/>
      <c r="GE145" s="449"/>
      <c r="GF145" s="449"/>
      <c r="GG145" s="449"/>
      <c r="GH145" s="449"/>
      <c r="GI145" s="449"/>
      <c r="GJ145" s="449"/>
      <c r="GK145" s="449"/>
      <c r="GL145" s="449"/>
      <c r="GM145" s="449"/>
      <c r="GN145" s="449"/>
      <c r="GO145" s="449"/>
      <c r="GP145" s="449"/>
      <c r="GQ145" s="449"/>
      <c r="GR145" s="449"/>
      <c r="GS145" s="449"/>
      <c r="GT145" s="449"/>
      <c r="GU145" s="449"/>
      <c r="GV145" s="449"/>
      <c r="GW145" s="449"/>
      <c r="GX145" s="449"/>
      <c r="GY145" s="449"/>
      <c r="GZ145" s="449"/>
      <c r="HA145" s="449"/>
      <c r="HB145" s="449"/>
      <c r="HC145" s="449"/>
      <c r="HD145" s="449"/>
      <c r="HE145" s="449"/>
      <c r="HF145" s="449"/>
      <c r="HG145" s="449"/>
      <c r="HH145" s="449"/>
      <c r="HI145" s="449"/>
      <c r="HJ145" s="449"/>
      <c r="HK145" s="449"/>
      <c r="HL145" s="449"/>
      <c r="HM145" s="449"/>
      <c r="HN145" s="449"/>
      <c r="HO145" s="449"/>
      <c r="HP145" s="449"/>
      <c r="HQ145" s="449"/>
      <c r="HR145" s="449"/>
      <c r="HS145" s="449"/>
      <c r="HT145" s="449"/>
      <c r="HU145" s="449"/>
      <c r="HV145" s="449"/>
      <c r="HW145" s="449"/>
      <c r="HX145" s="449"/>
      <c r="HY145" s="449"/>
      <c r="HZ145" s="449"/>
      <c r="IA145" s="449"/>
      <c r="IB145" s="449"/>
      <c r="IC145" s="449"/>
      <c r="ID145" s="449"/>
      <c r="IE145" s="449"/>
      <c r="IF145" s="449"/>
      <c r="IG145" s="449"/>
      <c r="IH145" s="449"/>
      <c r="II145" s="449"/>
      <c r="IJ145" s="449"/>
      <c r="IK145" s="449"/>
      <c r="IL145" s="449"/>
      <c r="IM145" s="449"/>
      <c r="IN145" s="449"/>
      <c r="IO145" s="449"/>
      <c r="IP145" s="449"/>
      <c r="IQ145" s="449"/>
      <c r="IR145" s="449"/>
      <c r="IS145" s="449"/>
      <c r="IT145" s="449"/>
      <c r="IU145" s="449"/>
      <c r="IV145" s="449"/>
      <c r="IW145" s="449"/>
      <c r="IX145" s="449"/>
    </row>
    <row r="146" spans="3:258" x14ac:dyDescent="0.2">
      <c r="C146" s="392" t="s">
        <v>1079</v>
      </c>
      <c r="D146" s="393" t="s">
        <v>877</v>
      </c>
      <c r="E146" s="410" t="s">
        <v>1080</v>
      </c>
      <c r="F146" s="410"/>
      <c r="G146" s="393">
        <v>1000</v>
      </c>
      <c r="H146" s="393">
        <v>210</v>
      </c>
      <c r="I146" s="393">
        <v>210</v>
      </c>
      <c r="J146" s="393">
        <v>34.119999999999997</v>
      </c>
      <c r="K146" s="397">
        <v>9154</v>
      </c>
      <c r="L146" s="398">
        <f>K146*0.7</f>
        <v>6407.7999999999993</v>
      </c>
      <c r="M146" s="449"/>
      <c r="N146" s="449"/>
      <c r="O146" s="449"/>
      <c r="P146" s="449"/>
      <c r="Q146" s="449"/>
      <c r="R146" s="449"/>
      <c r="S146" s="449"/>
      <c r="T146" s="449"/>
      <c r="U146" s="449"/>
      <c r="V146" s="449"/>
      <c r="W146" s="449"/>
      <c r="X146" s="449"/>
      <c r="Y146" s="449"/>
      <c r="Z146" s="449"/>
      <c r="AA146" s="449"/>
      <c r="AB146" s="449"/>
      <c r="AC146" s="449"/>
      <c r="AD146" s="449"/>
      <c r="AE146" s="449"/>
      <c r="AF146" s="449"/>
      <c r="AG146" s="449"/>
      <c r="AH146" s="449"/>
      <c r="AI146" s="449"/>
      <c r="AJ146" s="449"/>
      <c r="AK146" s="449"/>
      <c r="AL146" s="449"/>
      <c r="AM146" s="449"/>
      <c r="AN146" s="449"/>
      <c r="AO146" s="449"/>
      <c r="AP146" s="449"/>
      <c r="AQ146" s="449"/>
      <c r="AR146" s="449"/>
      <c r="AS146" s="449"/>
      <c r="AT146" s="449"/>
      <c r="AU146" s="449"/>
      <c r="AV146" s="449"/>
      <c r="AW146" s="449"/>
      <c r="AX146" s="449"/>
      <c r="AY146" s="449"/>
      <c r="AZ146" s="449"/>
      <c r="BA146" s="449"/>
      <c r="BB146" s="449"/>
      <c r="BC146" s="449"/>
      <c r="BD146" s="449"/>
      <c r="BE146" s="449"/>
      <c r="BF146" s="449"/>
      <c r="BG146" s="449"/>
      <c r="BH146" s="449"/>
      <c r="BI146" s="449"/>
      <c r="BJ146" s="449"/>
      <c r="BK146" s="449"/>
      <c r="BL146" s="449"/>
      <c r="BM146" s="449"/>
      <c r="BN146" s="449"/>
      <c r="BO146" s="449"/>
      <c r="BP146" s="449"/>
      <c r="BQ146" s="449"/>
      <c r="BR146" s="449"/>
      <c r="BS146" s="449"/>
      <c r="BT146" s="449"/>
      <c r="BU146" s="449"/>
      <c r="BV146" s="449"/>
      <c r="BW146" s="449"/>
      <c r="BX146" s="449"/>
      <c r="BY146" s="449"/>
      <c r="BZ146" s="449"/>
      <c r="CA146" s="449"/>
      <c r="CB146" s="449"/>
      <c r="CC146" s="449"/>
      <c r="CD146" s="449"/>
      <c r="CE146" s="449"/>
      <c r="CF146" s="449"/>
      <c r="CG146" s="449"/>
      <c r="CH146" s="449"/>
      <c r="CI146" s="449"/>
      <c r="CJ146" s="449"/>
      <c r="CK146" s="449"/>
      <c r="CL146" s="449"/>
      <c r="CM146" s="449"/>
      <c r="CN146" s="449"/>
      <c r="CO146" s="449"/>
      <c r="CP146" s="449"/>
      <c r="CQ146" s="449"/>
      <c r="CR146" s="449"/>
      <c r="CS146" s="449"/>
      <c r="CT146" s="449"/>
      <c r="CU146" s="449"/>
      <c r="CV146" s="449"/>
      <c r="CW146" s="449"/>
      <c r="CX146" s="449"/>
      <c r="CY146" s="449"/>
      <c r="CZ146" s="449"/>
      <c r="DA146" s="449"/>
      <c r="DB146" s="449"/>
      <c r="DC146" s="449"/>
      <c r="DD146" s="449"/>
      <c r="DE146" s="449"/>
      <c r="DF146" s="449"/>
      <c r="DG146" s="449"/>
      <c r="DH146" s="449"/>
      <c r="DI146" s="449"/>
      <c r="DJ146" s="449"/>
      <c r="DK146" s="449"/>
      <c r="DL146" s="449"/>
      <c r="DM146" s="449"/>
      <c r="DN146" s="449"/>
      <c r="DO146" s="449"/>
      <c r="DP146" s="449"/>
      <c r="DQ146" s="449"/>
      <c r="DR146" s="449"/>
      <c r="DS146" s="449"/>
      <c r="DT146" s="449"/>
      <c r="DU146" s="449"/>
      <c r="DV146" s="449"/>
      <c r="DW146" s="449"/>
      <c r="DX146" s="449"/>
      <c r="DY146" s="449"/>
      <c r="DZ146" s="449"/>
      <c r="EA146" s="449"/>
      <c r="EB146" s="449"/>
      <c r="EC146" s="449"/>
      <c r="ED146" s="449"/>
      <c r="EE146" s="449"/>
      <c r="EF146" s="449"/>
      <c r="EG146" s="449"/>
      <c r="EH146" s="449"/>
      <c r="EI146" s="449"/>
      <c r="EJ146" s="449"/>
      <c r="EK146" s="449"/>
      <c r="EL146" s="449"/>
      <c r="EM146" s="449"/>
      <c r="EN146" s="449"/>
      <c r="EO146" s="449"/>
      <c r="EP146" s="449"/>
      <c r="EQ146" s="449"/>
      <c r="ER146" s="449"/>
      <c r="ES146" s="449"/>
      <c r="ET146" s="449"/>
      <c r="EU146" s="449"/>
      <c r="EV146" s="449"/>
      <c r="EW146" s="449"/>
      <c r="EX146" s="449"/>
      <c r="EY146" s="449"/>
      <c r="EZ146" s="449"/>
      <c r="FA146" s="449"/>
      <c r="FB146" s="449"/>
      <c r="FC146" s="449"/>
      <c r="FD146" s="449"/>
      <c r="FE146" s="449"/>
      <c r="FF146" s="449"/>
      <c r="FG146" s="449"/>
      <c r="FH146" s="449"/>
      <c r="FI146" s="449"/>
      <c r="FJ146" s="449"/>
      <c r="FK146" s="449"/>
      <c r="FL146" s="449"/>
      <c r="FM146" s="449"/>
      <c r="FN146" s="449"/>
      <c r="FO146" s="449"/>
      <c r="FP146" s="449"/>
      <c r="FQ146" s="449"/>
      <c r="FR146" s="449"/>
      <c r="FS146" s="449"/>
      <c r="FT146" s="449"/>
      <c r="FU146" s="449"/>
      <c r="FV146" s="449"/>
      <c r="FW146" s="449"/>
      <c r="FX146" s="449"/>
      <c r="FY146" s="449"/>
      <c r="FZ146" s="449"/>
      <c r="GA146" s="449"/>
      <c r="GB146" s="449"/>
      <c r="GC146" s="449"/>
      <c r="GD146" s="449"/>
      <c r="GE146" s="449"/>
      <c r="GF146" s="449"/>
      <c r="GG146" s="449"/>
      <c r="GH146" s="449"/>
      <c r="GI146" s="449"/>
      <c r="GJ146" s="449"/>
      <c r="GK146" s="449"/>
      <c r="GL146" s="449"/>
      <c r="GM146" s="449"/>
      <c r="GN146" s="449"/>
      <c r="GO146" s="449"/>
      <c r="GP146" s="449"/>
      <c r="GQ146" s="449"/>
      <c r="GR146" s="449"/>
      <c r="GS146" s="449"/>
      <c r="GT146" s="449"/>
      <c r="GU146" s="449"/>
      <c r="GV146" s="449"/>
      <c r="GW146" s="449"/>
      <c r="GX146" s="449"/>
      <c r="GY146" s="449"/>
      <c r="GZ146" s="449"/>
      <c r="HA146" s="449"/>
      <c r="HB146" s="449"/>
      <c r="HC146" s="449"/>
      <c r="HD146" s="449"/>
      <c r="HE146" s="449"/>
      <c r="HF146" s="449"/>
      <c r="HG146" s="449"/>
      <c r="HH146" s="449"/>
      <c r="HI146" s="449"/>
      <c r="HJ146" s="449"/>
      <c r="HK146" s="449"/>
      <c r="HL146" s="449"/>
      <c r="HM146" s="449"/>
      <c r="HN146" s="449"/>
      <c r="HO146" s="449"/>
      <c r="HP146" s="449"/>
      <c r="HQ146" s="449"/>
      <c r="HR146" s="449"/>
      <c r="HS146" s="449"/>
      <c r="HT146" s="449"/>
      <c r="HU146" s="449"/>
      <c r="HV146" s="449"/>
      <c r="HW146" s="449"/>
      <c r="HX146" s="449"/>
      <c r="HY146" s="449"/>
      <c r="HZ146" s="449"/>
      <c r="IA146" s="449"/>
      <c r="IB146" s="449"/>
      <c r="IC146" s="449"/>
      <c r="ID146" s="449"/>
      <c r="IE146" s="449"/>
      <c r="IF146" s="449"/>
      <c r="IG146" s="449"/>
      <c r="IH146" s="449"/>
      <c r="II146" s="449"/>
      <c r="IJ146" s="449"/>
      <c r="IK146" s="449"/>
      <c r="IL146" s="449"/>
      <c r="IM146" s="449"/>
      <c r="IN146" s="449"/>
      <c r="IO146" s="449"/>
      <c r="IP146" s="449"/>
      <c r="IQ146" s="449"/>
      <c r="IR146" s="449"/>
      <c r="IS146" s="449"/>
      <c r="IT146" s="449"/>
      <c r="IU146" s="449"/>
      <c r="IV146" s="449"/>
      <c r="IW146" s="449"/>
      <c r="IX146" s="449"/>
    </row>
    <row r="147" spans="3:258" x14ac:dyDescent="0.2">
      <c r="C147" s="392" t="s">
        <v>1081</v>
      </c>
      <c r="D147" s="393" t="s">
        <v>877</v>
      </c>
      <c r="E147" s="410" t="s">
        <v>1082</v>
      </c>
      <c r="F147" s="410"/>
      <c r="G147" s="393">
        <v>1000</v>
      </c>
      <c r="H147" s="393">
        <v>210</v>
      </c>
      <c r="I147" s="393">
        <v>260</v>
      </c>
      <c r="J147" s="393">
        <v>38.130000000000003</v>
      </c>
      <c r="K147" s="397">
        <v>9954</v>
      </c>
      <c r="L147" s="398">
        <f>K147*0.7</f>
        <v>6967.7999999999993</v>
      </c>
      <c r="M147" s="449"/>
      <c r="N147" s="449"/>
      <c r="O147" s="449"/>
      <c r="P147" s="449"/>
      <c r="Q147" s="449"/>
      <c r="R147" s="449"/>
      <c r="S147" s="449"/>
      <c r="T147" s="449"/>
      <c r="U147" s="449"/>
      <c r="V147" s="449"/>
      <c r="W147" s="449"/>
      <c r="X147" s="449"/>
      <c r="Y147" s="449"/>
      <c r="Z147" s="449"/>
      <c r="AA147" s="449"/>
      <c r="AB147" s="449"/>
      <c r="AC147" s="449"/>
      <c r="AD147" s="449"/>
      <c r="AE147" s="449"/>
      <c r="AF147" s="449"/>
      <c r="AG147" s="449"/>
      <c r="AH147" s="449"/>
      <c r="AI147" s="449"/>
      <c r="AJ147" s="449"/>
      <c r="AK147" s="449"/>
      <c r="AL147" s="449"/>
      <c r="AM147" s="449"/>
      <c r="AN147" s="449"/>
      <c r="AO147" s="449"/>
      <c r="AP147" s="449"/>
      <c r="AQ147" s="449"/>
      <c r="AR147" s="449"/>
      <c r="AS147" s="449"/>
      <c r="AT147" s="449"/>
      <c r="AU147" s="449"/>
      <c r="AV147" s="449"/>
      <c r="AW147" s="449"/>
      <c r="AX147" s="449"/>
      <c r="AY147" s="449"/>
      <c r="AZ147" s="449"/>
      <c r="BA147" s="449"/>
      <c r="BB147" s="449"/>
      <c r="BC147" s="449"/>
      <c r="BD147" s="449"/>
      <c r="BE147" s="449"/>
      <c r="BF147" s="449"/>
      <c r="BG147" s="449"/>
      <c r="BH147" s="449"/>
      <c r="BI147" s="449"/>
      <c r="BJ147" s="449"/>
      <c r="BK147" s="449"/>
      <c r="BL147" s="449"/>
      <c r="BM147" s="449"/>
      <c r="BN147" s="449"/>
      <c r="BO147" s="449"/>
      <c r="BP147" s="449"/>
      <c r="BQ147" s="449"/>
      <c r="BR147" s="449"/>
      <c r="BS147" s="449"/>
      <c r="BT147" s="449"/>
      <c r="BU147" s="449"/>
      <c r="BV147" s="449"/>
      <c r="BW147" s="449"/>
      <c r="BX147" s="449"/>
      <c r="BY147" s="449"/>
      <c r="BZ147" s="449"/>
      <c r="CA147" s="449"/>
      <c r="CB147" s="449"/>
      <c r="CC147" s="449"/>
      <c r="CD147" s="449"/>
      <c r="CE147" s="449"/>
      <c r="CF147" s="449"/>
      <c r="CG147" s="449"/>
      <c r="CH147" s="449"/>
      <c r="CI147" s="449"/>
      <c r="CJ147" s="449"/>
      <c r="CK147" s="449"/>
      <c r="CL147" s="449"/>
      <c r="CM147" s="449"/>
      <c r="CN147" s="449"/>
      <c r="CO147" s="449"/>
      <c r="CP147" s="449"/>
      <c r="CQ147" s="449"/>
      <c r="CR147" s="449"/>
      <c r="CS147" s="449"/>
      <c r="CT147" s="449"/>
      <c r="CU147" s="449"/>
      <c r="CV147" s="449"/>
      <c r="CW147" s="449"/>
      <c r="CX147" s="449"/>
      <c r="CY147" s="449"/>
      <c r="CZ147" s="449"/>
      <c r="DA147" s="449"/>
      <c r="DB147" s="449"/>
      <c r="DC147" s="449"/>
      <c r="DD147" s="449"/>
      <c r="DE147" s="449"/>
      <c r="DF147" s="449"/>
      <c r="DG147" s="449"/>
      <c r="DH147" s="449"/>
      <c r="DI147" s="449"/>
      <c r="DJ147" s="449"/>
      <c r="DK147" s="449"/>
      <c r="DL147" s="449"/>
      <c r="DM147" s="449"/>
      <c r="DN147" s="449"/>
      <c r="DO147" s="449"/>
      <c r="DP147" s="449"/>
      <c r="DQ147" s="449"/>
      <c r="DR147" s="449"/>
      <c r="DS147" s="449"/>
      <c r="DT147" s="449"/>
      <c r="DU147" s="449"/>
      <c r="DV147" s="449"/>
      <c r="DW147" s="449"/>
      <c r="DX147" s="449"/>
      <c r="DY147" s="449"/>
      <c r="DZ147" s="449"/>
      <c r="EA147" s="449"/>
      <c r="EB147" s="449"/>
      <c r="EC147" s="449"/>
      <c r="ED147" s="449"/>
      <c r="EE147" s="449"/>
      <c r="EF147" s="449"/>
      <c r="EG147" s="449"/>
      <c r="EH147" s="449"/>
      <c r="EI147" s="449"/>
      <c r="EJ147" s="449"/>
      <c r="EK147" s="449"/>
      <c r="EL147" s="449"/>
      <c r="EM147" s="449"/>
      <c r="EN147" s="449"/>
      <c r="EO147" s="449"/>
      <c r="EP147" s="449"/>
      <c r="EQ147" s="449"/>
      <c r="ER147" s="449"/>
      <c r="ES147" s="449"/>
      <c r="ET147" s="449"/>
      <c r="EU147" s="449"/>
      <c r="EV147" s="449"/>
      <c r="EW147" s="449"/>
      <c r="EX147" s="449"/>
      <c r="EY147" s="449"/>
      <c r="EZ147" s="449"/>
      <c r="FA147" s="449"/>
      <c r="FB147" s="449"/>
      <c r="FC147" s="449"/>
      <c r="FD147" s="449"/>
      <c r="FE147" s="449"/>
      <c r="FF147" s="449"/>
      <c r="FG147" s="449"/>
      <c r="FH147" s="449"/>
      <c r="FI147" s="449"/>
      <c r="FJ147" s="449"/>
      <c r="FK147" s="449"/>
      <c r="FL147" s="449"/>
      <c r="FM147" s="449"/>
      <c r="FN147" s="449"/>
      <c r="FO147" s="449"/>
      <c r="FP147" s="449"/>
      <c r="FQ147" s="449"/>
      <c r="FR147" s="449"/>
      <c r="FS147" s="449"/>
      <c r="FT147" s="449"/>
      <c r="FU147" s="449"/>
      <c r="FV147" s="449"/>
      <c r="FW147" s="449"/>
      <c r="FX147" s="449"/>
      <c r="FY147" s="449"/>
      <c r="FZ147" s="449"/>
      <c r="GA147" s="449"/>
      <c r="GB147" s="449"/>
      <c r="GC147" s="449"/>
      <c r="GD147" s="449"/>
      <c r="GE147" s="449"/>
      <c r="GF147" s="449"/>
      <c r="GG147" s="449"/>
      <c r="GH147" s="449"/>
      <c r="GI147" s="449"/>
      <c r="GJ147" s="449"/>
      <c r="GK147" s="449"/>
      <c r="GL147" s="449"/>
      <c r="GM147" s="449"/>
      <c r="GN147" s="449"/>
      <c r="GO147" s="449"/>
      <c r="GP147" s="449"/>
      <c r="GQ147" s="449"/>
      <c r="GR147" s="449"/>
      <c r="GS147" s="449"/>
      <c r="GT147" s="449"/>
      <c r="GU147" s="449"/>
      <c r="GV147" s="449"/>
      <c r="GW147" s="449"/>
      <c r="GX147" s="449"/>
      <c r="GY147" s="449"/>
      <c r="GZ147" s="449"/>
      <c r="HA147" s="449"/>
      <c r="HB147" s="449"/>
      <c r="HC147" s="449"/>
      <c r="HD147" s="449"/>
      <c r="HE147" s="449"/>
      <c r="HF147" s="449"/>
      <c r="HG147" s="449"/>
      <c r="HH147" s="449"/>
      <c r="HI147" s="449"/>
      <c r="HJ147" s="449"/>
      <c r="HK147" s="449"/>
      <c r="HL147" s="449"/>
      <c r="HM147" s="449"/>
      <c r="HN147" s="449"/>
      <c r="HO147" s="449"/>
      <c r="HP147" s="449"/>
      <c r="HQ147" s="449"/>
      <c r="HR147" s="449"/>
      <c r="HS147" s="449"/>
      <c r="HT147" s="449"/>
      <c r="HU147" s="449"/>
      <c r="HV147" s="449"/>
      <c r="HW147" s="449"/>
      <c r="HX147" s="449"/>
      <c r="HY147" s="449"/>
      <c r="HZ147" s="449"/>
      <c r="IA147" s="449"/>
      <c r="IB147" s="449"/>
      <c r="IC147" s="449"/>
      <c r="ID147" s="449"/>
      <c r="IE147" s="449"/>
      <c r="IF147" s="449"/>
      <c r="IG147" s="449"/>
      <c r="IH147" s="449"/>
      <c r="II147" s="449"/>
      <c r="IJ147" s="449"/>
      <c r="IK147" s="449"/>
      <c r="IL147" s="449"/>
      <c r="IM147" s="449"/>
      <c r="IN147" s="449"/>
      <c r="IO147" s="449"/>
      <c r="IP147" s="449"/>
      <c r="IQ147" s="449"/>
      <c r="IR147" s="449"/>
      <c r="IS147" s="449"/>
      <c r="IT147" s="449"/>
      <c r="IU147" s="449"/>
      <c r="IV147" s="449"/>
      <c r="IW147" s="449"/>
      <c r="IX147" s="449"/>
    </row>
    <row r="148" spans="3:258" x14ac:dyDescent="0.2">
      <c r="C148" s="392" t="s">
        <v>1083</v>
      </c>
      <c r="D148" s="393" t="s">
        <v>877</v>
      </c>
      <c r="E148" s="410" t="s">
        <v>1084</v>
      </c>
      <c r="F148" s="410"/>
      <c r="G148" s="393">
        <v>1000</v>
      </c>
      <c r="H148" s="393">
        <v>210</v>
      </c>
      <c r="I148" s="393">
        <v>310</v>
      </c>
      <c r="J148" s="393">
        <v>42.45</v>
      </c>
      <c r="K148" s="397">
        <v>10728</v>
      </c>
      <c r="L148" s="398">
        <f>K148*0.7</f>
        <v>7509.5999999999995</v>
      </c>
      <c r="M148" s="449"/>
      <c r="N148" s="449"/>
      <c r="O148" s="449"/>
      <c r="P148" s="449"/>
      <c r="Q148" s="449"/>
      <c r="R148" s="449"/>
      <c r="S148" s="449"/>
      <c r="T148" s="449"/>
      <c r="U148" s="449"/>
      <c r="V148" s="449"/>
      <c r="W148" s="449"/>
      <c r="X148" s="449"/>
      <c r="Y148" s="449"/>
      <c r="Z148" s="449"/>
      <c r="AA148" s="449"/>
      <c r="AB148" s="449"/>
      <c r="AC148" s="449"/>
      <c r="AD148" s="449"/>
      <c r="AE148" s="449"/>
      <c r="AF148" s="449"/>
      <c r="AG148" s="449"/>
      <c r="AH148" s="449"/>
      <c r="AI148" s="449"/>
      <c r="AJ148" s="449"/>
      <c r="AK148" s="449"/>
      <c r="AL148" s="449"/>
      <c r="AM148" s="449"/>
      <c r="AN148" s="449"/>
      <c r="AO148" s="449"/>
      <c r="AP148" s="449"/>
      <c r="AQ148" s="449"/>
      <c r="AR148" s="449"/>
      <c r="AS148" s="449"/>
      <c r="AT148" s="449"/>
      <c r="AU148" s="449"/>
      <c r="AV148" s="449"/>
      <c r="AW148" s="449"/>
      <c r="AX148" s="449"/>
      <c r="AY148" s="449"/>
      <c r="AZ148" s="449"/>
      <c r="BA148" s="449"/>
      <c r="BB148" s="449"/>
      <c r="BC148" s="449"/>
      <c r="BD148" s="449"/>
      <c r="BE148" s="449"/>
      <c r="BF148" s="449"/>
      <c r="BG148" s="449"/>
      <c r="BH148" s="449"/>
      <c r="BI148" s="449"/>
      <c r="BJ148" s="449"/>
      <c r="BK148" s="449"/>
      <c r="BL148" s="449"/>
      <c r="BM148" s="449"/>
      <c r="BN148" s="449"/>
      <c r="BO148" s="449"/>
      <c r="BP148" s="449"/>
      <c r="BQ148" s="449"/>
      <c r="BR148" s="449"/>
      <c r="BS148" s="449"/>
      <c r="BT148" s="449"/>
      <c r="BU148" s="449"/>
      <c r="BV148" s="449"/>
      <c r="BW148" s="449"/>
      <c r="BX148" s="449"/>
      <c r="BY148" s="449"/>
      <c r="BZ148" s="449"/>
      <c r="CA148" s="449"/>
      <c r="CB148" s="449"/>
      <c r="CC148" s="449"/>
      <c r="CD148" s="449"/>
      <c r="CE148" s="449"/>
      <c r="CF148" s="449"/>
      <c r="CG148" s="449"/>
      <c r="CH148" s="449"/>
      <c r="CI148" s="449"/>
      <c r="CJ148" s="449"/>
      <c r="CK148" s="449"/>
      <c r="CL148" s="449"/>
      <c r="CM148" s="449"/>
      <c r="CN148" s="449"/>
      <c r="CO148" s="449"/>
      <c r="CP148" s="449"/>
      <c r="CQ148" s="449"/>
      <c r="CR148" s="449"/>
      <c r="CS148" s="449"/>
      <c r="CT148" s="449"/>
      <c r="CU148" s="449"/>
      <c r="CV148" s="449"/>
      <c r="CW148" s="449"/>
      <c r="CX148" s="449"/>
      <c r="CY148" s="449"/>
      <c r="CZ148" s="449"/>
      <c r="DA148" s="449"/>
      <c r="DB148" s="449"/>
      <c r="DC148" s="449"/>
      <c r="DD148" s="449"/>
      <c r="DE148" s="449"/>
      <c r="DF148" s="449"/>
      <c r="DG148" s="449"/>
      <c r="DH148" s="449"/>
      <c r="DI148" s="449"/>
      <c r="DJ148" s="449"/>
      <c r="DK148" s="449"/>
      <c r="DL148" s="449"/>
      <c r="DM148" s="449"/>
      <c r="DN148" s="449"/>
      <c r="DO148" s="449"/>
      <c r="DP148" s="449"/>
      <c r="DQ148" s="449"/>
      <c r="DR148" s="449"/>
      <c r="DS148" s="449"/>
      <c r="DT148" s="449"/>
      <c r="DU148" s="449"/>
      <c r="DV148" s="449"/>
      <c r="DW148" s="449"/>
      <c r="DX148" s="449"/>
      <c r="DY148" s="449"/>
      <c r="DZ148" s="449"/>
      <c r="EA148" s="449"/>
      <c r="EB148" s="449"/>
      <c r="EC148" s="449"/>
      <c r="ED148" s="449"/>
      <c r="EE148" s="449"/>
      <c r="EF148" s="449"/>
      <c r="EG148" s="449"/>
      <c r="EH148" s="449"/>
      <c r="EI148" s="449"/>
      <c r="EJ148" s="449"/>
      <c r="EK148" s="449"/>
      <c r="EL148" s="449"/>
      <c r="EM148" s="449"/>
      <c r="EN148" s="449"/>
      <c r="EO148" s="449"/>
      <c r="EP148" s="449"/>
      <c r="EQ148" s="449"/>
      <c r="ER148" s="449"/>
      <c r="ES148" s="449"/>
      <c r="ET148" s="449"/>
      <c r="EU148" s="449"/>
      <c r="EV148" s="449"/>
      <c r="EW148" s="449"/>
      <c r="EX148" s="449"/>
      <c r="EY148" s="449"/>
      <c r="EZ148" s="449"/>
      <c r="FA148" s="449"/>
      <c r="FB148" s="449"/>
      <c r="FC148" s="449"/>
      <c r="FD148" s="449"/>
      <c r="FE148" s="449"/>
      <c r="FF148" s="449"/>
      <c r="FG148" s="449"/>
      <c r="FH148" s="449"/>
      <c r="FI148" s="449"/>
      <c r="FJ148" s="449"/>
      <c r="FK148" s="449"/>
      <c r="FL148" s="449"/>
      <c r="FM148" s="449"/>
      <c r="FN148" s="449"/>
      <c r="FO148" s="449"/>
      <c r="FP148" s="449"/>
      <c r="FQ148" s="449"/>
      <c r="FR148" s="449"/>
      <c r="FS148" s="449"/>
      <c r="FT148" s="449"/>
      <c r="FU148" s="449"/>
      <c r="FV148" s="449"/>
      <c r="FW148" s="449"/>
      <c r="FX148" s="449"/>
      <c r="FY148" s="449"/>
      <c r="FZ148" s="449"/>
      <c r="GA148" s="449"/>
      <c r="GB148" s="449"/>
      <c r="GC148" s="449"/>
      <c r="GD148" s="449"/>
      <c r="GE148" s="449"/>
      <c r="GF148" s="449"/>
      <c r="GG148" s="449"/>
      <c r="GH148" s="449"/>
      <c r="GI148" s="449"/>
      <c r="GJ148" s="449"/>
      <c r="GK148" s="449"/>
      <c r="GL148" s="449"/>
      <c r="GM148" s="449"/>
      <c r="GN148" s="449"/>
      <c r="GO148" s="449"/>
      <c r="GP148" s="449"/>
      <c r="GQ148" s="449"/>
      <c r="GR148" s="449"/>
      <c r="GS148" s="449"/>
      <c r="GT148" s="449"/>
      <c r="GU148" s="449"/>
      <c r="GV148" s="449"/>
      <c r="GW148" s="449"/>
      <c r="GX148" s="449"/>
      <c r="GY148" s="449"/>
      <c r="GZ148" s="449"/>
      <c r="HA148" s="449"/>
      <c r="HB148" s="449"/>
      <c r="HC148" s="449"/>
      <c r="HD148" s="449"/>
      <c r="HE148" s="449"/>
      <c r="HF148" s="449"/>
      <c r="HG148" s="449"/>
      <c r="HH148" s="449"/>
      <c r="HI148" s="449"/>
      <c r="HJ148" s="449"/>
      <c r="HK148" s="449"/>
      <c r="HL148" s="449"/>
      <c r="HM148" s="449"/>
      <c r="HN148" s="449"/>
      <c r="HO148" s="449"/>
      <c r="HP148" s="449"/>
      <c r="HQ148" s="449"/>
      <c r="HR148" s="449"/>
      <c r="HS148" s="449"/>
      <c r="HT148" s="449"/>
      <c r="HU148" s="449"/>
      <c r="HV148" s="449"/>
      <c r="HW148" s="449"/>
      <c r="HX148" s="449"/>
      <c r="HY148" s="449"/>
      <c r="HZ148" s="449"/>
      <c r="IA148" s="449"/>
      <c r="IB148" s="449"/>
      <c r="IC148" s="449"/>
      <c r="ID148" s="449"/>
      <c r="IE148" s="449"/>
      <c r="IF148" s="449"/>
      <c r="IG148" s="449"/>
      <c r="IH148" s="449"/>
      <c r="II148" s="449"/>
      <c r="IJ148" s="449"/>
      <c r="IK148" s="449"/>
      <c r="IL148" s="449"/>
      <c r="IM148" s="449"/>
      <c r="IN148" s="449"/>
      <c r="IO148" s="449"/>
      <c r="IP148" s="449"/>
      <c r="IQ148" s="449"/>
      <c r="IR148" s="449"/>
      <c r="IS148" s="449"/>
      <c r="IT148" s="449"/>
      <c r="IU148" s="449"/>
      <c r="IV148" s="449"/>
      <c r="IW148" s="449"/>
      <c r="IX148" s="449"/>
    </row>
    <row r="149" spans="3:258" x14ac:dyDescent="0.2">
      <c r="C149" s="392" t="s">
        <v>1085</v>
      </c>
      <c r="D149" s="393" t="s">
        <v>877</v>
      </c>
      <c r="E149" s="410" t="s">
        <v>1086</v>
      </c>
      <c r="F149" s="410"/>
      <c r="G149" s="393">
        <v>1000</v>
      </c>
      <c r="H149" s="393">
        <v>210</v>
      </c>
      <c r="I149" s="393">
        <v>500</v>
      </c>
      <c r="J149" s="393">
        <v>32.69</v>
      </c>
      <c r="K149" s="397">
        <v>6302</v>
      </c>
      <c r="L149" s="398">
        <f>K149*0.7</f>
        <v>4411.3999999999996</v>
      </c>
      <c r="M149" s="449"/>
      <c r="N149" s="449"/>
      <c r="O149" s="449"/>
      <c r="P149" s="449"/>
      <c r="Q149" s="449"/>
      <c r="R149" s="449"/>
      <c r="S149" s="449"/>
      <c r="T149" s="449"/>
      <c r="U149" s="449"/>
      <c r="V149" s="449"/>
      <c r="W149" s="449"/>
      <c r="X149" s="449"/>
      <c r="Y149" s="449"/>
      <c r="Z149" s="449"/>
      <c r="AA149" s="449"/>
      <c r="AB149" s="449"/>
      <c r="AC149" s="449"/>
      <c r="AD149" s="449"/>
      <c r="AE149" s="449"/>
      <c r="AF149" s="449"/>
      <c r="AG149" s="449"/>
      <c r="AH149" s="449"/>
      <c r="AI149" s="449"/>
      <c r="AJ149" s="449"/>
      <c r="AK149" s="449"/>
      <c r="AL149" s="449"/>
      <c r="AM149" s="449"/>
      <c r="AN149" s="449"/>
      <c r="AO149" s="449"/>
      <c r="AP149" s="449"/>
      <c r="AQ149" s="449"/>
      <c r="AR149" s="449"/>
      <c r="AS149" s="449"/>
      <c r="AT149" s="449"/>
      <c r="AU149" s="449"/>
      <c r="AV149" s="449"/>
      <c r="AW149" s="449"/>
      <c r="AX149" s="449"/>
      <c r="AY149" s="449"/>
      <c r="AZ149" s="449"/>
      <c r="BA149" s="449"/>
      <c r="BB149" s="449"/>
      <c r="BC149" s="449"/>
      <c r="BD149" s="449"/>
      <c r="BE149" s="449"/>
      <c r="BF149" s="449"/>
      <c r="BG149" s="449"/>
      <c r="BH149" s="449"/>
      <c r="BI149" s="449"/>
      <c r="BJ149" s="449"/>
      <c r="BK149" s="449"/>
      <c r="BL149" s="449"/>
      <c r="BM149" s="449"/>
      <c r="BN149" s="449"/>
      <c r="BO149" s="449"/>
      <c r="BP149" s="449"/>
      <c r="BQ149" s="449"/>
      <c r="BR149" s="449"/>
      <c r="BS149" s="449"/>
      <c r="BT149" s="449"/>
      <c r="BU149" s="449"/>
      <c r="BV149" s="449"/>
      <c r="BW149" s="449"/>
      <c r="BX149" s="449"/>
      <c r="BY149" s="449"/>
      <c r="BZ149" s="449"/>
      <c r="CA149" s="449"/>
      <c r="CB149" s="449"/>
      <c r="CC149" s="449"/>
      <c r="CD149" s="449"/>
      <c r="CE149" s="449"/>
      <c r="CF149" s="449"/>
      <c r="CG149" s="449"/>
      <c r="CH149" s="449"/>
      <c r="CI149" s="449"/>
      <c r="CJ149" s="449"/>
      <c r="CK149" s="449"/>
      <c r="CL149" s="449"/>
      <c r="CM149" s="449"/>
      <c r="CN149" s="449"/>
      <c r="CO149" s="449"/>
      <c r="CP149" s="449"/>
      <c r="CQ149" s="449"/>
      <c r="CR149" s="449"/>
      <c r="CS149" s="449"/>
      <c r="CT149" s="449"/>
      <c r="CU149" s="449"/>
      <c r="CV149" s="449"/>
      <c r="CW149" s="449"/>
      <c r="CX149" s="449"/>
      <c r="CY149" s="449"/>
      <c r="CZ149" s="449"/>
      <c r="DA149" s="449"/>
      <c r="DB149" s="449"/>
      <c r="DC149" s="449"/>
      <c r="DD149" s="449"/>
      <c r="DE149" s="449"/>
      <c r="DF149" s="449"/>
      <c r="DG149" s="449"/>
      <c r="DH149" s="449"/>
      <c r="DI149" s="449"/>
      <c r="DJ149" s="449"/>
      <c r="DK149" s="449"/>
      <c r="DL149" s="449"/>
      <c r="DM149" s="449"/>
      <c r="DN149" s="449"/>
      <c r="DO149" s="449"/>
      <c r="DP149" s="449"/>
      <c r="DQ149" s="449"/>
      <c r="DR149" s="449"/>
      <c r="DS149" s="449"/>
      <c r="DT149" s="449"/>
      <c r="DU149" s="449"/>
      <c r="DV149" s="449"/>
      <c r="DW149" s="449"/>
      <c r="DX149" s="449"/>
      <c r="DY149" s="449"/>
      <c r="DZ149" s="449"/>
      <c r="EA149" s="449"/>
      <c r="EB149" s="449"/>
      <c r="EC149" s="449"/>
      <c r="ED149" s="449"/>
      <c r="EE149" s="449"/>
      <c r="EF149" s="449"/>
      <c r="EG149" s="449"/>
      <c r="EH149" s="449"/>
      <c r="EI149" s="449"/>
      <c r="EJ149" s="449"/>
      <c r="EK149" s="449"/>
      <c r="EL149" s="449"/>
      <c r="EM149" s="449"/>
      <c r="EN149" s="449"/>
      <c r="EO149" s="449"/>
      <c r="EP149" s="449"/>
      <c r="EQ149" s="449"/>
      <c r="ER149" s="449"/>
      <c r="ES149" s="449"/>
      <c r="ET149" s="449"/>
      <c r="EU149" s="449"/>
      <c r="EV149" s="449"/>
      <c r="EW149" s="449"/>
      <c r="EX149" s="449"/>
      <c r="EY149" s="449"/>
      <c r="EZ149" s="449"/>
      <c r="FA149" s="449"/>
      <c r="FB149" s="449"/>
      <c r="FC149" s="449"/>
      <c r="FD149" s="449"/>
      <c r="FE149" s="449"/>
      <c r="FF149" s="449"/>
      <c r="FG149" s="449"/>
      <c r="FH149" s="449"/>
      <c r="FI149" s="449"/>
      <c r="FJ149" s="449"/>
      <c r="FK149" s="449"/>
      <c r="FL149" s="449"/>
      <c r="FM149" s="449"/>
      <c r="FN149" s="449"/>
      <c r="FO149" s="449"/>
      <c r="FP149" s="449"/>
      <c r="FQ149" s="449"/>
      <c r="FR149" s="449"/>
      <c r="FS149" s="449"/>
      <c r="FT149" s="449"/>
      <c r="FU149" s="449"/>
      <c r="FV149" s="449"/>
      <c r="FW149" s="449"/>
      <c r="FX149" s="449"/>
      <c r="FY149" s="449"/>
      <c r="FZ149" s="449"/>
      <c r="GA149" s="449"/>
      <c r="GB149" s="449"/>
      <c r="GC149" s="449"/>
      <c r="GD149" s="449"/>
      <c r="GE149" s="449"/>
      <c r="GF149" s="449"/>
      <c r="GG149" s="449"/>
      <c r="GH149" s="449"/>
      <c r="GI149" s="449"/>
      <c r="GJ149" s="449"/>
      <c r="GK149" s="449"/>
      <c r="GL149" s="449"/>
      <c r="GM149" s="449"/>
      <c r="GN149" s="449"/>
      <c r="GO149" s="449"/>
      <c r="GP149" s="449"/>
      <c r="GQ149" s="449"/>
      <c r="GR149" s="449"/>
      <c r="GS149" s="449"/>
      <c r="GT149" s="449"/>
      <c r="GU149" s="449"/>
      <c r="GV149" s="449"/>
      <c r="GW149" s="449"/>
      <c r="GX149" s="449"/>
      <c r="GY149" s="449"/>
      <c r="GZ149" s="449"/>
      <c r="HA149" s="449"/>
      <c r="HB149" s="449"/>
      <c r="HC149" s="449"/>
      <c r="HD149" s="449"/>
      <c r="HE149" s="449"/>
      <c r="HF149" s="449"/>
      <c r="HG149" s="449"/>
      <c r="HH149" s="449"/>
      <c r="HI149" s="449"/>
      <c r="HJ149" s="449"/>
      <c r="HK149" s="449"/>
      <c r="HL149" s="449"/>
      <c r="HM149" s="449"/>
      <c r="HN149" s="449"/>
      <c r="HO149" s="449"/>
      <c r="HP149" s="449"/>
      <c r="HQ149" s="449"/>
      <c r="HR149" s="449"/>
      <c r="HS149" s="449"/>
      <c r="HT149" s="449"/>
      <c r="HU149" s="449"/>
      <c r="HV149" s="449"/>
      <c r="HW149" s="449"/>
      <c r="HX149" s="449"/>
      <c r="HY149" s="449"/>
      <c r="HZ149" s="449"/>
      <c r="IA149" s="449"/>
      <c r="IB149" s="449"/>
      <c r="IC149" s="449"/>
      <c r="ID149" s="449"/>
      <c r="IE149" s="449"/>
      <c r="IF149" s="449"/>
      <c r="IG149" s="449"/>
      <c r="IH149" s="449"/>
      <c r="II149" s="449"/>
      <c r="IJ149" s="449"/>
      <c r="IK149" s="449"/>
      <c r="IL149" s="449"/>
      <c r="IM149" s="449"/>
      <c r="IN149" s="449"/>
      <c r="IO149" s="449"/>
      <c r="IP149" s="449"/>
      <c r="IQ149" s="449"/>
      <c r="IR149" s="449"/>
      <c r="IS149" s="449"/>
      <c r="IT149" s="449"/>
      <c r="IU149" s="449"/>
      <c r="IV149" s="449"/>
      <c r="IW149" s="449"/>
      <c r="IX149" s="449"/>
    </row>
    <row r="150" spans="3:258" x14ac:dyDescent="0.2">
      <c r="C150" s="388" t="s">
        <v>1087</v>
      </c>
      <c r="D150" s="389"/>
      <c r="E150" s="389"/>
      <c r="F150" s="389"/>
      <c r="G150" s="389"/>
      <c r="H150" s="389"/>
      <c r="I150" s="389"/>
      <c r="J150" s="389"/>
      <c r="K150" s="390"/>
      <c r="L150" s="391" t="str">
        <f>IFERROR(K150/#REF!-1,"")</f>
        <v/>
      </c>
      <c r="M150" s="449"/>
      <c r="N150" s="449"/>
      <c r="O150" s="449"/>
      <c r="P150" s="449"/>
      <c r="Q150" s="449"/>
      <c r="R150" s="449"/>
      <c r="S150" s="449"/>
      <c r="T150" s="449"/>
      <c r="U150" s="449"/>
      <c r="V150" s="449"/>
      <c r="W150" s="449"/>
      <c r="X150" s="449"/>
      <c r="Y150" s="449"/>
      <c r="Z150" s="449"/>
      <c r="AA150" s="449"/>
      <c r="AB150" s="449"/>
      <c r="AC150" s="449"/>
      <c r="AD150" s="449"/>
      <c r="AE150" s="449"/>
      <c r="AF150" s="449"/>
      <c r="AG150" s="449"/>
      <c r="AH150" s="449"/>
      <c r="AI150" s="449"/>
      <c r="AJ150" s="449"/>
      <c r="AK150" s="449"/>
      <c r="AL150" s="449"/>
      <c r="AM150" s="449"/>
      <c r="AN150" s="449"/>
      <c r="AO150" s="449"/>
      <c r="AP150" s="449"/>
      <c r="AQ150" s="449"/>
      <c r="AR150" s="449"/>
      <c r="AS150" s="449"/>
      <c r="AT150" s="449"/>
      <c r="AU150" s="449"/>
      <c r="AV150" s="449"/>
      <c r="AW150" s="449"/>
      <c r="AX150" s="449"/>
      <c r="AY150" s="449"/>
      <c r="AZ150" s="449"/>
      <c r="BA150" s="449"/>
      <c r="BB150" s="449"/>
      <c r="BC150" s="449"/>
      <c r="BD150" s="449"/>
      <c r="BE150" s="449"/>
      <c r="BF150" s="449"/>
      <c r="BG150" s="449"/>
      <c r="BH150" s="449"/>
      <c r="BI150" s="449"/>
      <c r="BJ150" s="449"/>
      <c r="BK150" s="449"/>
      <c r="BL150" s="449"/>
      <c r="BM150" s="449"/>
      <c r="BN150" s="449"/>
      <c r="BO150" s="449"/>
      <c r="BP150" s="449"/>
      <c r="BQ150" s="449"/>
      <c r="BR150" s="449"/>
      <c r="BS150" s="449"/>
      <c r="BT150" s="449"/>
      <c r="BU150" s="449"/>
      <c r="BV150" s="449"/>
      <c r="BW150" s="449"/>
      <c r="BX150" s="449"/>
      <c r="BY150" s="449"/>
      <c r="BZ150" s="449"/>
      <c r="CA150" s="449"/>
      <c r="CB150" s="449"/>
      <c r="CC150" s="449"/>
      <c r="CD150" s="449"/>
      <c r="CE150" s="449"/>
      <c r="CF150" s="449"/>
      <c r="CG150" s="449"/>
      <c r="CH150" s="449"/>
      <c r="CI150" s="449"/>
      <c r="CJ150" s="449"/>
      <c r="CK150" s="449"/>
      <c r="CL150" s="449"/>
      <c r="CM150" s="449"/>
      <c r="CN150" s="449"/>
      <c r="CO150" s="449"/>
      <c r="CP150" s="449"/>
      <c r="CQ150" s="449"/>
      <c r="CR150" s="449"/>
      <c r="CS150" s="449"/>
      <c r="CT150" s="449"/>
      <c r="CU150" s="449"/>
      <c r="CV150" s="449"/>
      <c r="CW150" s="449"/>
      <c r="CX150" s="449"/>
      <c r="CY150" s="449"/>
      <c r="CZ150" s="449"/>
      <c r="DA150" s="449"/>
      <c r="DB150" s="449"/>
      <c r="DC150" s="449"/>
      <c r="DD150" s="449"/>
      <c r="DE150" s="449"/>
      <c r="DF150" s="449"/>
      <c r="DG150" s="449"/>
      <c r="DH150" s="449"/>
      <c r="DI150" s="449"/>
      <c r="DJ150" s="449"/>
      <c r="DK150" s="449"/>
      <c r="DL150" s="449"/>
      <c r="DM150" s="449"/>
      <c r="DN150" s="449"/>
      <c r="DO150" s="449"/>
      <c r="DP150" s="449"/>
      <c r="DQ150" s="449"/>
      <c r="DR150" s="449"/>
      <c r="DS150" s="449"/>
      <c r="DT150" s="449"/>
      <c r="DU150" s="449"/>
      <c r="DV150" s="449"/>
      <c r="DW150" s="449"/>
      <c r="DX150" s="449"/>
      <c r="DY150" s="449"/>
      <c r="DZ150" s="449"/>
      <c r="EA150" s="449"/>
      <c r="EB150" s="449"/>
      <c r="EC150" s="449"/>
      <c r="ED150" s="449"/>
      <c r="EE150" s="449"/>
      <c r="EF150" s="449"/>
      <c r="EG150" s="449"/>
      <c r="EH150" s="449"/>
      <c r="EI150" s="449"/>
      <c r="EJ150" s="449"/>
      <c r="EK150" s="449"/>
      <c r="EL150" s="449"/>
      <c r="EM150" s="449"/>
      <c r="EN150" s="449"/>
      <c r="EO150" s="449"/>
      <c r="EP150" s="449"/>
      <c r="EQ150" s="449"/>
      <c r="ER150" s="449"/>
      <c r="ES150" s="449"/>
      <c r="ET150" s="449"/>
      <c r="EU150" s="449"/>
      <c r="EV150" s="449"/>
      <c r="EW150" s="449"/>
      <c r="EX150" s="449"/>
      <c r="EY150" s="449"/>
      <c r="EZ150" s="449"/>
      <c r="FA150" s="449"/>
      <c r="FB150" s="449"/>
      <c r="FC150" s="449"/>
      <c r="FD150" s="449"/>
      <c r="FE150" s="449"/>
      <c r="FF150" s="449"/>
      <c r="FG150" s="449"/>
      <c r="FH150" s="449"/>
      <c r="FI150" s="449"/>
      <c r="FJ150" s="449"/>
      <c r="FK150" s="449"/>
      <c r="FL150" s="449"/>
      <c r="FM150" s="449"/>
      <c r="FN150" s="449"/>
      <c r="FO150" s="449"/>
      <c r="FP150" s="449"/>
      <c r="FQ150" s="449"/>
      <c r="FR150" s="449"/>
      <c r="FS150" s="449"/>
      <c r="FT150" s="449"/>
      <c r="FU150" s="449"/>
      <c r="FV150" s="449"/>
      <c r="FW150" s="449"/>
      <c r="FX150" s="449"/>
      <c r="FY150" s="449"/>
      <c r="FZ150" s="449"/>
      <c r="GA150" s="449"/>
      <c r="GB150" s="449"/>
      <c r="GC150" s="449"/>
      <c r="GD150" s="449"/>
      <c r="GE150" s="449"/>
      <c r="GF150" s="449"/>
      <c r="GG150" s="449"/>
      <c r="GH150" s="449"/>
      <c r="GI150" s="449"/>
      <c r="GJ150" s="449"/>
      <c r="GK150" s="449"/>
      <c r="GL150" s="449"/>
      <c r="GM150" s="449"/>
      <c r="GN150" s="449"/>
      <c r="GO150" s="449"/>
      <c r="GP150" s="449"/>
      <c r="GQ150" s="449"/>
      <c r="GR150" s="449"/>
      <c r="GS150" s="449"/>
      <c r="GT150" s="449"/>
      <c r="GU150" s="449"/>
      <c r="GV150" s="449"/>
      <c r="GW150" s="449"/>
      <c r="GX150" s="449"/>
      <c r="GY150" s="449"/>
      <c r="GZ150" s="449"/>
      <c r="HA150" s="449"/>
      <c r="HB150" s="449"/>
      <c r="HC150" s="449"/>
      <c r="HD150" s="449"/>
      <c r="HE150" s="449"/>
      <c r="HF150" s="449"/>
      <c r="HG150" s="449"/>
      <c r="HH150" s="449"/>
      <c r="HI150" s="449"/>
      <c r="HJ150" s="449"/>
      <c r="HK150" s="449"/>
      <c r="HL150" s="449"/>
      <c r="HM150" s="449"/>
      <c r="HN150" s="449"/>
      <c r="HO150" s="449"/>
      <c r="HP150" s="449"/>
      <c r="HQ150" s="449"/>
      <c r="HR150" s="449"/>
      <c r="HS150" s="449"/>
      <c r="HT150" s="449"/>
      <c r="HU150" s="449"/>
      <c r="HV150" s="449"/>
      <c r="HW150" s="449"/>
      <c r="HX150" s="449"/>
      <c r="HY150" s="449"/>
      <c r="HZ150" s="449"/>
      <c r="IA150" s="449"/>
      <c r="IB150" s="449"/>
      <c r="IC150" s="449"/>
      <c r="ID150" s="449"/>
      <c r="IE150" s="449"/>
      <c r="IF150" s="449"/>
      <c r="IG150" s="449"/>
      <c r="IH150" s="449"/>
      <c r="II150" s="449"/>
      <c r="IJ150" s="449"/>
      <c r="IK150" s="449"/>
      <c r="IL150" s="449"/>
      <c r="IM150" s="449"/>
      <c r="IN150" s="449"/>
      <c r="IO150" s="449"/>
      <c r="IP150" s="449"/>
      <c r="IQ150" s="449"/>
      <c r="IR150" s="449"/>
      <c r="IS150" s="449"/>
      <c r="IT150" s="449"/>
      <c r="IU150" s="449"/>
      <c r="IV150" s="449"/>
      <c r="IW150" s="449"/>
      <c r="IX150" s="449"/>
    </row>
    <row r="151" spans="3:258" x14ac:dyDescent="0.2">
      <c r="C151" s="392" t="s">
        <v>1088</v>
      </c>
      <c r="D151" s="393" t="s">
        <v>880</v>
      </c>
      <c r="E151" s="410" t="s">
        <v>1089</v>
      </c>
      <c r="F151" s="410"/>
      <c r="G151" s="393">
        <v>1000</v>
      </c>
      <c r="H151" s="393">
        <v>210</v>
      </c>
      <c r="I151" s="393">
        <v>100</v>
      </c>
      <c r="J151" s="393">
        <v>29.9</v>
      </c>
      <c r="K151" s="397">
        <v>8390</v>
      </c>
      <c r="L151" s="398">
        <f>K151*0.7</f>
        <v>5873</v>
      </c>
      <c r="M151" s="449"/>
      <c r="N151" s="449"/>
      <c r="O151" s="449"/>
      <c r="P151" s="449"/>
      <c r="Q151" s="449"/>
      <c r="R151" s="449"/>
      <c r="S151" s="449"/>
      <c r="T151" s="449"/>
      <c r="U151" s="449"/>
      <c r="V151" s="449"/>
      <c r="W151" s="449"/>
      <c r="X151" s="449"/>
      <c r="Y151" s="449"/>
      <c r="Z151" s="449"/>
      <c r="AA151" s="449"/>
      <c r="AB151" s="449"/>
      <c r="AC151" s="449"/>
      <c r="AD151" s="449"/>
      <c r="AE151" s="449"/>
      <c r="AF151" s="449"/>
      <c r="AG151" s="449"/>
      <c r="AH151" s="449"/>
      <c r="AI151" s="449"/>
      <c r="AJ151" s="449"/>
      <c r="AK151" s="449"/>
      <c r="AL151" s="449"/>
      <c r="AM151" s="449"/>
      <c r="AN151" s="449"/>
      <c r="AO151" s="449"/>
      <c r="AP151" s="449"/>
      <c r="AQ151" s="449"/>
      <c r="AR151" s="449"/>
      <c r="AS151" s="449"/>
      <c r="AT151" s="449"/>
      <c r="AU151" s="449"/>
      <c r="AV151" s="449"/>
      <c r="AW151" s="449"/>
      <c r="AX151" s="449"/>
      <c r="AY151" s="449"/>
      <c r="AZ151" s="449"/>
      <c r="BA151" s="449"/>
      <c r="BB151" s="449"/>
      <c r="BC151" s="449"/>
      <c r="BD151" s="449"/>
      <c r="BE151" s="449"/>
      <c r="BF151" s="449"/>
      <c r="BG151" s="449"/>
      <c r="BH151" s="449"/>
      <c r="BI151" s="449"/>
      <c r="BJ151" s="449"/>
      <c r="BK151" s="449"/>
      <c r="BL151" s="449"/>
      <c r="BM151" s="449"/>
      <c r="BN151" s="449"/>
      <c r="BO151" s="449"/>
      <c r="BP151" s="449"/>
      <c r="BQ151" s="449"/>
      <c r="BR151" s="449"/>
      <c r="BS151" s="449"/>
      <c r="BT151" s="449"/>
      <c r="BU151" s="449"/>
      <c r="BV151" s="449"/>
      <c r="BW151" s="449"/>
      <c r="BX151" s="449"/>
      <c r="BY151" s="449"/>
      <c r="BZ151" s="449"/>
      <c r="CA151" s="449"/>
      <c r="CB151" s="449"/>
      <c r="CC151" s="449"/>
      <c r="CD151" s="449"/>
      <c r="CE151" s="449"/>
      <c r="CF151" s="449"/>
      <c r="CG151" s="449"/>
      <c r="CH151" s="449"/>
      <c r="CI151" s="449"/>
      <c r="CJ151" s="449"/>
      <c r="CK151" s="449"/>
      <c r="CL151" s="449"/>
      <c r="CM151" s="449"/>
      <c r="CN151" s="449"/>
      <c r="CO151" s="449"/>
      <c r="CP151" s="449"/>
      <c r="CQ151" s="449"/>
      <c r="CR151" s="449"/>
      <c r="CS151" s="449"/>
      <c r="CT151" s="449"/>
      <c r="CU151" s="449"/>
      <c r="CV151" s="449"/>
      <c r="CW151" s="449"/>
      <c r="CX151" s="449"/>
      <c r="CY151" s="449"/>
      <c r="CZ151" s="449"/>
      <c r="DA151" s="449"/>
      <c r="DB151" s="449"/>
      <c r="DC151" s="449"/>
      <c r="DD151" s="449"/>
      <c r="DE151" s="449"/>
      <c r="DF151" s="449"/>
      <c r="DG151" s="449"/>
      <c r="DH151" s="449"/>
      <c r="DI151" s="449"/>
      <c r="DJ151" s="449"/>
      <c r="DK151" s="449"/>
      <c r="DL151" s="449"/>
      <c r="DM151" s="449"/>
      <c r="DN151" s="449"/>
      <c r="DO151" s="449"/>
      <c r="DP151" s="449"/>
      <c r="DQ151" s="449"/>
      <c r="DR151" s="449"/>
      <c r="DS151" s="449"/>
      <c r="DT151" s="449"/>
      <c r="DU151" s="449"/>
      <c r="DV151" s="449"/>
      <c r="DW151" s="449"/>
      <c r="DX151" s="449"/>
      <c r="DY151" s="449"/>
      <c r="DZ151" s="449"/>
      <c r="EA151" s="449"/>
      <c r="EB151" s="449"/>
      <c r="EC151" s="449"/>
      <c r="ED151" s="449"/>
      <c r="EE151" s="449"/>
      <c r="EF151" s="449"/>
      <c r="EG151" s="449"/>
      <c r="EH151" s="449"/>
      <c r="EI151" s="449"/>
      <c r="EJ151" s="449"/>
      <c r="EK151" s="449"/>
      <c r="EL151" s="449"/>
      <c r="EM151" s="449"/>
      <c r="EN151" s="449"/>
      <c r="EO151" s="449"/>
      <c r="EP151" s="449"/>
      <c r="EQ151" s="449"/>
      <c r="ER151" s="449"/>
      <c r="ES151" s="449"/>
      <c r="ET151" s="449"/>
      <c r="EU151" s="449"/>
      <c r="EV151" s="449"/>
      <c r="EW151" s="449"/>
      <c r="EX151" s="449"/>
      <c r="EY151" s="449"/>
      <c r="EZ151" s="449"/>
      <c r="FA151" s="449"/>
      <c r="FB151" s="449"/>
      <c r="FC151" s="449"/>
      <c r="FD151" s="449"/>
      <c r="FE151" s="449"/>
      <c r="FF151" s="449"/>
      <c r="FG151" s="449"/>
      <c r="FH151" s="449"/>
      <c r="FI151" s="449"/>
      <c r="FJ151" s="449"/>
      <c r="FK151" s="449"/>
      <c r="FL151" s="449"/>
      <c r="FM151" s="449"/>
      <c r="FN151" s="449"/>
      <c r="FO151" s="449"/>
      <c r="FP151" s="449"/>
      <c r="FQ151" s="449"/>
      <c r="FR151" s="449"/>
      <c r="FS151" s="449"/>
      <c r="FT151" s="449"/>
      <c r="FU151" s="449"/>
      <c r="FV151" s="449"/>
      <c r="FW151" s="449"/>
      <c r="FX151" s="449"/>
      <c r="FY151" s="449"/>
      <c r="FZ151" s="449"/>
      <c r="GA151" s="449"/>
      <c r="GB151" s="449"/>
      <c r="GC151" s="449"/>
      <c r="GD151" s="449"/>
      <c r="GE151" s="449"/>
      <c r="GF151" s="449"/>
      <c r="GG151" s="449"/>
      <c r="GH151" s="449"/>
      <c r="GI151" s="449"/>
      <c r="GJ151" s="449"/>
      <c r="GK151" s="449"/>
      <c r="GL151" s="449"/>
      <c r="GM151" s="449"/>
      <c r="GN151" s="449"/>
      <c r="GO151" s="449"/>
      <c r="GP151" s="449"/>
      <c r="GQ151" s="449"/>
      <c r="GR151" s="449"/>
      <c r="GS151" s="449"/>
      <c r="GT151" s="449"/>
      <c r="GU151" s="449"/>
      <c r="GV151" s="449"/>
      <c r="GW151" s="449"/>
      <c r="GX151" s="449"/>
      <c r="GY151" s="449"/>
      <c r="GZ151" s="449"/>
      <c r="HA151" s="449"/>
      <c r="HB151" s="449"/>
      <c r="HC151" s="449"/>
      <c r="HD151" s="449"/>
      <c r="HE151" s="449"/>
      <c r="HF151" s="449"/>
      <c r="HG151" s="449"/>
      <c r="HH151" s="449"/>
      <c r="HI151" s="449"/>
      <c r="HJ151" s="449"/>
      <c r="HK151" s="449"/>
      <c r="HL151" s="449"/>
      <c r="HM151" s="449"/>
      <c r="HN151" s="449"/>
      <c r="HO151" s="449"/>
      <c r="HP151" s="449"/>
      <c r="HQ151" s="449"/>
      <c r="HR151" s="449"/>
      <c r="HS151" s="449"/>
      <c r="HT151" s="449"/>
      <c r="HU151" s="449"/>
      <c r="HV151" s="449"/>
      <c r="HW151" s="449"/>
      <c r="HX151" s="449"/>
      <c r="HY151" s="449"/>
      <c r="HZ151" s="449"/>
      <c r="IA151" s="449"/>
      <c r="IB151" s="449"/>
      <c r="IC151" s="449"/>
      <c r="ID151" s="449"/>
      <c r="IE151" s="449"/>
      <c r="IF151" s="449"/>
      <c r="IG151" s="449"/>
      <c r="IH151" s="449"/>
      <c r="II151" s="449"/>
      <c r="IJ151" s="449"/>
      <c r="IK151" s="449"/>
      <c r="IL151" s="449"/>
      <c r="IM151" s="449"/>
      <c r="IN151" s="449"/>
      <c r="IO151" s="449"/>
      <c r="IP151" s="449"/>
      <c r="IQ151" s="449"/>
      <c r="IR151" s="449"/>
      <c r="IS151" s="449"/>
      <c r="IT151" s="449"/>
      <c r="IU151" s="449"/>
      <c r="IV151" s="449"/>
      <c r="IW151" s="449"/>
      <c r="IX151" s="449"/>
    </row>
    <row r="152" spans="3:258" x14ac:dyDescent="0.2">
      <c r="C152" s="392" t="s">
        <v>1090</v>
      </c>
      <c r="D152" s="393" t="s">
        <v>880</v>
      </c>
      <c r="E152" s="410" t="s">
        <v>1091</v>
      </c>
      <c r="F152" s="410"/>
      <c r="G152" s="393">
        <v>1000</v>
      </c>
      <c r="H152" s="393">
        <v>210</v>
      </c>
      <c r="I152" s="393">
        <v>210</v>
      </c>
      <c r="J152" s="393">
        <v>36.58</v>
      </c>
      <c r="K152" s="397">
        <v>9647</v>
      </c>
      <c r="L152" s="398">
        <f>K152*0.7</f>
        <v>6752.9</v>
      </c>
      <c r="M152" s="449"/>
      <c r="N152" s="449"/>
      <c r="O152" s="449"/>
      <c r="P152" s="449"/>
      <c r="Q152" s="449"/>
      <c r="R152" s="449"/>
      <c r="S152" s="449"/>
      <c r="T152" s="449"/>
      <c r="U152" s="449"/>
      <c r="V152" s="449"/>
      <c r="W152" s="449"/>
      <c r="X152" s="449"/>
      <c r="Y152" s="449"/>
      <c r="Z152" s="449"/>
      <c r="AA152" s="449"/>
      <c r="AB152" s="449"/>
      <c r="AC152" s="449"/>
      <c r="AD152" s="449"/>
      <c r="AE152" s="449"/>
      <c r="AF152" s="449"/>
      <c r="AG152" s="449"/>
      <c r="AH152" s="449"/>
      <c r="AI152" s="449"/>
      <c r="AJ152" s="449"/>
      <c r="AK152" s="449"/>
      <c r="AL152" s="449"/>
      <c r="AM152" s="449"/>
      <c r="AN152" s="449"/>
      <c r="AO152" s="449"/>
      <c r="AP152" s="449"/>
      <c r="AQ152" s="449"/>
      <c r="AR152" s="449"/>
      <c r="AS152" s="449"/>
      <c r="AT152" s="449"/>
      <c r="AU152" s="449"/>
      <c r="AV152" s="449"/>
      <c r="AW152" s="449"/>
      <c r="AX152" s="449"/>
      <c r="AY152" s="449"/>
      <c r="AZ152" s="449"/>
      <c r="BA152" s="449"/>
      <c r="BB152" s="449"/>
      <c r="BC152" s="449"/>
      <c r="BD152" s="449"/>
      <c r="BE152" s="449"/>
      <c r="BF152" s="449"/>
      <c r="BG152" s="449"/>
      <c r="BH152" s="449"/>
      <c r="BI152" s="449"/>
      <c r="BJ152" s="449"/>
      <c r="BK152" s="449"/>
      <c r="BL152" s="449"/>
      <c r="BM152" s="449"/>
      <c r="BN152" s="449"/>
      <c r="BO152" s="449"/>
      <c r="BP152" s="449"/>
      <c r="BQ152" s="449"/>
      <c r="BR152" s="449"/>
      <c r="BS152" s="449"/>
      <c r="BT152" s="449"/>
      <c r="BU152" s="449"/>
      <c r="BV152" s="449"/>
      <c r="BW152" s="449"/>
      <c r="BX152" s="449"/>
      <c r="BY152" s="449"/>
      <c r="BZ152" s="449"/>
      <c r="CA152" s="449"/>
      <c r="CB152" s="449"/>
      <c r="CC152" s="449"/>
      <c r="CD152" s="449"/>
      <c r="CE152" s="449"/>
      <c r="CF152" s="449"/>
      <c r="CG152" s="449"/>
      <c r="CH152" s="449"/>
      <c r="CI152" s="449"/>
      <c r="CJ152" s="449"/>
      <c r="CK152" s="449"/>
      <c r="CL152" s="449"/>
      <c r="CM152" s="449"/>
      <c r="CN152" s="449"/>
      <c r="CO152" s="449"/>
      <c r="CP152" s="449"/>
      <c r="CQ152" s="449"/>
      <c r="CR152" s="449"/>
      <c r="CS152" s="449"/>
      <c r="CT152" s="449"/>
      <c r="CU152" s="449"/>
      <c r="CV152" s="449"/>
      <c r="CW152" s="449"/>
      <c r="CX152" s="449"/>
      <c r="CY152" s="449"/>
      <c r="CZ152" s="449"/>
      <c r="DA152" s="449"/>
      <c r="DB152" s="449"/>
      <c r="DC152" s="449"/>
      <c r="DD152" s="449"/>
      <c r="DE152" s="449"/>
      <c r="DF152" s="449"/>
      <c r="DG152" s="449"/>
      <c r="DH152" s="449"/>
      <c r="DI152" s="449"/>
      <c r="DJ152" s="449"/>
      <c r="DK152" s="449"/>
      <c r="DL152" s="449"/>
      <c r="DM152" s="449"/>
      <c r="DN152" s="449"/>
      <c r="DO152" s="449"/>
      <c r="DP152" s="449"/>
      <c r="DQ152" s="449"/>
      <c r="DR152" s="449"/>
      <c r="DS152" s="449"/>
      <c r="DT152" s="449"/>
      <c r="DU152" s="449"/>
      <c r="DV152" s="449"/>
      <c r="DW152" s="449"/>
      <c r="DX152" s="449"/>
      <c r="DY152" s="449"/>
      <c r="DZ152" s="449"/>
      <c r="EA152" s="449"/>
      <c r="EB152" s="449"/>
      <c r="EC152" s="449"/>
      <c r="ED152" s="449"/>
      <c r="EE152" s="449"/>
      <c r="EF152" s="449"/>
      <c r="EG152" s="449"/>
      <c r="EH152" s="449"/>
      <c r="EI152" s="449"/>
      <c r="EJ152" s="449"/>
      <c r="EK152" s="449"/>
      <c r="EL152" s="449"/>
      <c r="EM152" s="449"/>
      <c r="EN152" s="449"/>
      <c r="EO152" s="449"/>
      <c r="EP152" s="449"/>
      <c r="EQ152" s="449"/>
      <c r="ER152" s="449"/>
      <c r="ES152" s="449"/>
      <c r="ET152" s="449"/>
      <c r="EU152" s="449"/>
      <c r="EV152" s="449"/>
      <c r="EW152" s="449"/>
      <c r="EX152" s="449"/>
      <c r="EY152" s="449"/>
      <c r="EZ152" s="449"/>
      <c r="FA152" s="449"/>
      <c r="FB152" s="449"/>
      <c r="FC152" s="449"/>
      <c r="FD152" s="449"/>
      <c r="FE152" s="449"/>
      <c r="FF152" s="449"/>
      <c r="FG152" s="449"/>
      <c r="FH152" s="449"/>
      <c r="FI152" s="449"/>
      <c r="FJ152" s="449"/>
      <c r="FK152" s="449"/>
      <c r="FL152" s="449"/>
      <c r="FM152" s="449"/>
      <c r="FN152" s="449"/>
      <c r="FO152" s="449"/>
      <c r="FP152" s="449"/>
      <c r="FQ152" s="449"/>
      <c r="FR152" s="449"/>
      <c r="FS152" s="449"/>
      <c r="FT152" s="449"/>
      <c r="FU152" s="449"/>
      <c r="FV152" s="449"/>
      <c r="FW152" s="449"/>
      <c r="FX152" s="449"/>
      <c r="FY152" s="449"/>
      <c r="FZ152" s="449"/>
      <c r="GA152" s="449"/>
      <c r="GB152" s="449"/>
      <c r="GC152" s="449"/>
      <c r="GD152" s="449"/>
      <c r="GE152" s="449"/>
      <c r="GF152" s="449"/>
      <c r="GG152" s="449"/>
      <c r="GH152" s="449"/>
      <c r="GI152" s="449"/>
      <c r="GJ152" s="449"/>
      <c r="GK152" s="449"/>
      <c r="GL152" s="449"/>
      <c r="GM152" s="449"/>
      <c r="GN152" s="449"/>
      <c r="GO152" s="449"/>
      <c r="GP152" s="449"/>
      <c r="GQ152" s="449"/>
      <c r="GR152" s="449"/>
      <c r="GS152" s="449"/>
      <c r="GT152" s="449"/>
      <c r="GU152" s="449"/>
      <c r="GV152" s="449"/>
      <c r="GW152" s="449"/>
      <c r="GX152" s="449"/>
      <c r="GY152" s="449"/>
      <c r="GZ152" s="449"/>
      <c r="HA152" s="449"/>
      <c r="HB152" s="449"/>
      <c r="HC152" s="449"/>
      <c r="HD152" s="449"/>
      <c r="HE152" s="449"/>
      <c r="HF152" s="449"/>
      <c r="HG152" s="449"/>
      <c r="HH152" s="449"/>
      <c r="HI152" s="449"/>
      <c r="HJ152" s="449"/>
      <c r="HK152" s="449"/>
      <c r="HL152" s="449"/>
      <c r="HM152" s="449"/>
      <c r="HN152" s="449"/>
      <c r="HO152" s="449"/>
      <c r="HP152" s="449"/>
      <c r="HQ152" s="449"/>
      <c r="HR152" s="449"/>
      <c r="HS152" s="449"/>
      <c r="HT152" s="449"/>
      <c r="HU152" s="449"/>
      <c r="HV152" s="449"/>
      <c r="HW152" s="449"/>
      <c r="HX152" s="449"/>
      <c r="HY152" s="449"/>
      <c r="HZ152" s="449"/>
      <c r="IA152" s="449"/>
      <c r="IB152" s="449"/>
      <c r="IC152" s="449"/>
      <c r="ID152" s="449"/>
      <c r="IE152" s="449"/>
      <c r="IF152" s="449"/>
      <c r="IG152" s="449"/>
      <c r="IH152" s="449"/>
      <c r="II152" s="449"/>
      <c r="IJ152" s="449"/>
      <c r="IK152" s="449"/>
      <c r="IL152" s="449"/>
      <c r="IM152" s="449"/>
      <c r="IN152" s="449"/>
      <c r="IO152" s="449"/>
      <c r="IP152" s="449"/>
      <c r="IQ152" s="449"/>
      <c r="IR152" s="449"/>
      <c r="IS152" s="449"/>
      <c r="IT152" s="449"/>
      <c r="IU152" s="449"/>
      <c r="IV152" s="449"/>
      <c r="IW152" s="449"/>
      <c r="IX152" s="449"/>
    </row>
    <row r="153" spans="3:258" x14ac:dyDescent="0.2">
      <c r="C153" s="392" t="s">
        <v>1092</v>
      </c>
      <c r="D153" s="393" t="s">
        <v>880</v>
      </c>
      <c r="E153" s="410" t="s">
        <v>1093</v>
      </c>
      <c r="F153" s="410"/>
      <c r="G153" s="393">
        <v>1000</v>
      </c>
      <c r="H153" s="393">
        <v>210</v>
      </c>
      <c r="I153" s="393">
        <v>260</v>
      </c>
      <c r="J153" s="393">
        <v>40.58</v>
      </c>
      <c r="K153" s="397">
        <v>10446</v>
      </c>
      <c r="L153" s="398">
        <f>K153*0.7</f>
        <v>7312.2</v>
      </c>
      <c r="M153" s="449"/>
      <c r="N153" s="449"/>
      <c r="O153" s="449"/>
      <c r="P153" s="449"/>
      <c r="Q153" s="449"/>
      <c r="R153" s="449"/>
      <c r="S153" s="449"/>
      <c r="T153" s="449"/>
      <c r="U153" s="449"/>
      <c r="V153" s="449"/>
      <c r="W153" s="449"/>
      <c r="X153" s="449"/>
      <c r="Y153" s="449"/>
      <c r="Z153" s="449"/>
      <c r="AA153" s="449"/>
      <c r="AB153" s="449"/>
      <c r="AC153" s="449"/>
      <c r="AD153" s="449"/>
      <c r="AE153" s="449"/>
      <c r="AF153" s="449"/>
      <c r="AG153" s="449"/>
      <c r="AH153" s="449"/>
      <c r="AI153" s="449"/>
      <c r="AJ153" s="449"/>
      <c r="AK153" s="449"/>
      <c r="AL153" s="449"/>
      <c r="AM153" s="449"/>
      <c r="AN153" s="449"/>
      <c r="AO153" s="449"/>
      <c r="AP153" s="449"/>
      <c r="AQ153" s="449"/>
      <c r="AR153" s="449"/>
      <c r="AS153" s="449"/>
      <c r="AT153" s="449"/>
      <c r="AU153" s="449"/>
      <c r="AV153" s="449"/>
      <c r="AW153" s="449"/>
      <c r="AX153" s="449"/>
      <c r="AY153" s="449"/>
      <c r="AZ153" s="449"/>
      <c r="BA153" s="449"/>
      <c r="BB153" s="449"/>
      <c r="BC153" s="449"/>
      <c r="BD153" s="449"/>
      <c r="BE153" s="449"/>
      <c r="BF153" s="449"/>
      <c r="BG153" s="449"/>
      <c r="BH153" s="449"/>
      <c r="BI153" s="449"/>
      <c r="BJ153" s="449"/>
      <c r="BK153" s="449"/>
      <c r="BL153" s="449"/>
      <c r="BM153" s="449"/>
      <c r="BN153" s="449"/>
      <c r="BO153" s="449"/>
      <c r="BP153" s="449"/>
      <c r="BQ153" s="449"/>
      <c r="BR153" s="449"/>
      <c r="BS153" s="449"/>
      <c r="BT153" s="449"/>
      <c r="BU153" s="449"/>
      <c r="BV153" s="449"/>
      <c r="BW153" s="449"/>
      <c r="BX153" s="449"/>
      <c r="BY153" s="449"/>
      <c r="BZ153" s="449"/>
      <c r="CA153" s="449"/>
      <c r="CB153" s="449"/>
      <c r="CC153" s="449"/>
      <c r="CD153" s="449"/>
      <c r="CE153" s="449"/>
      <c r="CF153" s="449"/>
      <c r="CG153" s="449"/>
      <c r="CH153" s="449"/>
      <c r="CI153" s="449"/>
      <c r="CJ153" s="449"/>
      <c r="CK153" s="449"/>
      <c r="CL153" s="449"/>
      <c r="CM153" s="449"/>
      <c r="CN153" s="449"/>
      <c r="CO153" s="449"/>
      <c r="CP153" s="449"/>
      <c r="CQ153" s="449"/>
      <c r="CR153" s="449"/>
      <c r="CS153" s="449"/>
      <c r="CT153" s="449"/>
      <c r="CU153" s="449"/>
      <c r="CV153" s="449"/>
      <c r="CW153" s="449"/>
      <c r="CX153" s="449"/>
      <c r="CY153" s="449"/>
      <c r="CZ153" s="449"/>
      <c r="DA153" s="449"/>
      <c r="DB153" s="449"/>
      <c r="DC153" s="449"/>
      <c r="DD153" s="449"/>
      <c r="DE153" s="449"/>
      <c r="DF153" s="449"/>
      <c r="DG153" s="449"/>
      <c r="DH153" s="449"/>
      <c r="DI153" s="449"/>
      <c r="DJ153" s="449"/>
      <c r="DK153" s="449"/>
      <c r="DL153" s="449"/>
      <c r="DM153" s="449"/>
      <c r="DN153" s="449"/>
      <c r="DO153" s="449"/>
      <c r="DP153" s="449"/>
      <c r="DQ153" s="449"/>
      <c r="DR153" s="449"/>
      <c r="DS153" s="449"/>
      <c r="DT153" s="449"/>
      <c r="DU153" s="449"/>
      <c r="DV153" s="449"/>
      <c r="DW153" s="449"/>
      <c r="DX153" s="449"/>
      <c r="DY153" s="449"/>
      <c r="DZ153" s="449"/>
      <c r="EA153" s="449"/>
      <c r="EB153" s="449"/>
      <c r="EC153" s="449"/>
      <c r="ED153" s="449"/>
      <c r="EE153" s="449"/>
      <c r="EF153" s="449"/>
      <c r="EG153" s="449"/>
      <c r="EH153" s="449"/>
      <c r="EI153" s="449"/>
      <c r="EJ153" s="449"/>
      <c r="EK153" s="449"/>
      <c r="EL153" s="449"/>
      <c r="EM153" s="449"/>
      <c r="EN153" s="449"/>
      <c r="EO153" s="449"/>
      <c r="EP153" s="449"/>
      <c r="EQ153" s="449"/>
      <c r="ER153" s="449"/>
      <c r="ES153" s="449"/>
      <c r="ET153" s="449"/>
      <c r="EU153" s="449"/>
      <c r="EV153" s="449"/>
      <c r="EW153" s="449"/>
      <c r="EX153" s="449"/>
      <c r="EY153" s="449"/>
      <c r="EZ153" s="449"/>
      <c r="FA153" s="449"/>
      <c r="FB153" s="449"/>
      <c r="FC153" s="449"/>
      <c r="FD153" s="449"/>
      <c r="FE153" s="449"/>
      <c r="FF153" s="449"/>
      <c r="FG153" s="449"/>
      <c r="FH153" s="449"/>
      <c r="FI153" s="449"/>
      <c r="FJ153" s="449"/>
      <c r="FK153" s="449"/>
      <c r="FL153" s="449"/>
      <c r="FM153" s="449"/>
      <c r="FN153" s="449"/>
      <c r="FO153" s="449"/>
      <c r="FP153" s="449"/>
      <c r="FQ153" s="449"/>
      <c r="FR153" s="449"/>
      <c r="FS153" s="449"/>
      <c r="FT153" s="449"/>
      <c r="FU153" s="449"/>
      <c r="FV153" s="449"/>
      <c r="FW153" s="449"/>
      <c r="FX153" s="449"/>
      <c r="FY153" s="449"/>
      <c r="FZ153" s="449"/>
      <c r="GA153" s="449"/>
      <c r="GB153" s="449"/>
      <c r="GC153" s="449"/>
      <c r="GD153" s="449"/>
      <c r="GE153" s="449"/>
      <c r="GF153" s="449"/>
      <c r="GG153" s="449"/>
      <c r="GH153" s="449"/>
      <c r="GI153" s="449"/>
      <c r="GJ153" s="449"/>
      <c r="GK153" s="449"/>
      <c r="GL153" s="449"/>
      <c r="GM153" s="449"/>
      <c r="GN153" s="449"/>
      <c r="GO153" s="449"/>
      <c r="GP153" s="449"/>
      <c r="GQ153" s="449"/>
      <c r="GR153" s="449"/>
      <c r="GS153" s="449"/>
      <c r="GT153" s="449"/>
      <c r="GU153" s="449"/>
      <c r="GV153" s="449"/>
      <c r="GW153" s="449"/>
      <c r="GX153" s="449"/>
      <c r="GY153" s="449"/>
      <c r="GZ153" s="449"/>
      <c r="HA153" s="449"/>
      <c r="HB153" s="449"/>
      <c r="HC153" s="449"/>
      <c r="HD153" s="449"/>
      <c r="HE153" s="449"/>
      <c r="HF153" s="449"/>
      <c r="HG153" s="449"/>
      <c r="HH153" s="449"/>
      <c r="HI153" s="449"/>
      <c r="HJ153" s="449"/>
      <c r="HK153" s="449"/>
      <c r="HL153" s="449"/>
      <c r="HM153" s="449"/>
      <c r="HN153" s="449"/>
      <c r="HO153" s="449"/>
      <c r="HP153" s="449"/>
      <c r="HQ153" s="449"/>
      <c r="HR153" s="449"/>
      <c r="HS153" s="449"/>
      <c r="HT153" s="449"/>
      <c r="HU153" s="449"/>
      <c r="HV153" s="449"/>
      <c r="HW153" s="449"/>
      <c r="HX153" s="449"/>
      <c r="HY153" s="449"/>
      <c r="HZ153" s="449"/>
      <c r="IA153" s="449"/>
      <c r="IB153" s="449"/>
      <c r="IC153" s="449"/>
      <c r="ID153" s="449"/>
      <c r="IE153" s="449"/>
      <c r="IF153" s="449"/>
      <c r="IG153" s="449"/>
      <c r="IH153" s="449"/>
      <c r="II153" s="449"/>
      <c r="IJ153" s="449"/>
      <c r="IK153" s="449"/>
      <c r="IL153" s="449"/>
      <c r="IM153" s="449"/>
      <c r="IN153" s="449"/>
      <c r="IO153" s="449"/>
      <c r="IP153" s="449"/>
      <c r="IQ153" s="449"/>
      <c r="IR153" s="449"/>
      <c r="IS153" s="449"/>
      <c r="IT153" s="449"/>
      <c r="IU153" s="449"/>
      <c r="IV153" s="449"/>
      <c r="IW153" s="449"/>
      <c r="IX153" s="449"/>
    </row>
    <row r="154" spans="3:258" x14ac:dyDescent="0.2">
      <c r="C154" s="392" t="s">
        <v>1094</v>
      </c>
      <c r="D154" s="393" t="s">
        <v>880</v>
      </c>
      <c r="E154" s="410" t="s">
        <v>1095</v>
      </c>
      <c r="F154" s="410"/>
      <c r="G154" s="393">
        <v>1000</v>
      </c>
      <c r="H154" s="393">
        <v>210</v>
      </c>
      <c r="I154" s="393">
        <v>310</v>
      </c>
      <c r="J154" s="393">
        <v>44.91</v>
      </c>
      <c r="K154" s="397">
        <v>11221</v>
      </c>
      <c r="L154" s="398">
        <f>K154*0.7</f>
        <v>7854.7</v>
      </c>
      <c r="M154" s="449"/>
      <c r="N154" s="449"/>
      <c r="O154" s="449"/>
      <c r="P154" s="449"/>
      <c r="Q154" s="449"/>
      <c r="R154" s="449"/>
      <c r="S154" s="449"/>
      <c r="T154" s="449"/>
      <c r="U154" s="449"/>
      <c r="V154" s="449"/>
      <c r="W154" s="449"/>
      <c r="X154" s="449"/>
      <c r="Y154" s="449"/>
      <c r="Z154" s="449"/>
      <c r="AA154" s="449"/>
      <c r="AB154" s="449"/>
      <c r="AC154" s="449"/>
      <c r="AD154" s="449"/>
      <c r="AE154" s="449"/>
      <c r="AF154" s="449"/>
      <c r="AG154" s="449"/>
      <c r="AH154" s="449"/>
      <c r="AI154" s="449"/>
      <c r="AJ154" s="449"/>
      <c r="AK154" s="449"/>
      <c r="AL154" s="449"/>
      <c r="AM154" s="449"/>
      <c r="AN154" s="449"/>
      <c r="AO154" s="449"/>
      <c r="AP154" s="449"/>
      <c r="AQ154" s="449"/>
      <c r="AR154" s="449"/>
      <c r="AS154" s="449"/>
      <c r="AT154" s="449"/>
      <c r="AU154" s="449"/>
      <c r="AV154" s="449"/>
      <c r="AW154" s="449"/>
      <c r="AX154" s="449"/>
      <c r="AY154" s="449"/>
      <c r="AZ154" s="449"/>
      <c r="BA154" s="449"/>
      <c r="BB154" s="449"/>
      <c r="BC154" s="449"/>
      <c r="BD154" s="449"/>
      <c r="BE154" s="449"/>
      <c r="BF154" s="449"/>
      <c r="BG154" s="449"/>
      <c r="BH154" s="449"/>
      <c r="BI154" s="449"/>
      <c r="BJ154" s="449"/>
      <c r="BK154" s="449"/>
      <c r="BL154" s="449"/>
      <c r="BM154" s="449"/>
      <c r="BN154" s="449"/>
      <c r="BO154" s="449"/>
      <c r="BP154" s="449"/>
      <c r="BQ154" s="449"/>
      <c r="BR154" s="449"/>
      <c r="BS154" s="449"/>
      <c r="BT154" s="449"/>
      <c r="BU154" s="449"/>
      <c r="BV154" s="449"/>
      <c r="BW154" s="449"/>
      <c r="BX154" s="449"/>
      <c r="BY154" s="449"/>
      <c r="BZ154" s="449"/>
      <c r="CA154" s="449"/>
      <c r="CB154" s="449"/>
      <c r="CC154" s="449"/>
      <c r="CD154" s="449"/>
      <c r="CE154" s="449"/>
      <c r="CF154" s="449"/>
      <c r="CG154" s="449"/>
      <c r="CH154" s="449"/>
      <c r="CI154" s="449"/>
      <c r="CJ154" s="449"/>
      <c r="CK154" s="449"/>
      <c r="CL154" s="449"/>
      <c r="CM154" s="449"/>
      <c r="CN154" s="449"/>
      <c r="CO154" s="449"/>
      <c r="CP154" s="449"/>
      <c r="CQ154" s="449"/>
      <c r="CR154" s="449"/>
      <c r="CS154" s="449"/>
      <c r="CT154" s="449"/>
      <c r="CU154" s="449"/>
      <c r="CV154" s="449"/>
      <c r="CW154" s="449"/>
      <c r="CX154" s="449"/>
      <c r="CY154" s="449"/>
      <c r="CZ154" s="449"/>
      <c r="DA154" s="449"/>
      <c r="DB154" s="449"/>
      <c r="DC154" s="449"/>
      <c r="DD154" s="449"/>
      <c r="DE154" s="449"/>
      <c r="DF154" s="449"/>
      <c r="DG154" s="449"/>
      <c r="DH154" s="449"/>
      <c r="DI154" s="449"/>
      <c r="DJ154" s="449"/>
      <c r="DK154" s="449"/>
      <c r="DL154" s="449"/>
      <c r="DM154" s="449"/>
      <c r="DN154" s="449"/>
      <c r="DO154" s="449"/>
      <c r="DP154" s="449"/>
      <c r="DQ154" s="449"/>
      <c r="DR154" s="449"/>
      <c r="DS154" s="449"/>
      <c r="DT154" s="449"/>
      <c r="DU154" s="449"/>
      <c r="DV154" s="449"/>
      <c r="DW154" s="449"/>
      <c r="DX154" s="449"/>
      <c r="DY154" s="449"/>
      <c r="DZ154" s="449"/>
      <c r="EA154" s="449"/>
      <c r="EB154" s="449"/>
      <c r="EC154" s="449"/>
      <c r="ED154" s="449"/>
      <c r="EE154" s="449"/>
      <c r="EF154" s="449"/>
      <c r="EG154" s="449"/>
      <c r="EH154" s="449"/>
      <c r="EI154" s="449"/>
      <c r="EJ154" s="449"/>
      <c r="EK154" s="449"/>
      <c r="EL154" s="449"/>
      <c r="EM154" s="449"/>
      <c r="EN154" s="449"/>
      <c r="EO154" s="449"/>
      <c r="EP154" s="449"/>
      <c r="EQ154" s="449"/>
      <c r="ER154" s="449"/>
      <c r="ES154" s="449"/>
      <c r="ET154" s="449"/>
      <c r="EU154" s="449"/>
      <c r="EV154" s="449"/>
      <c r="EW154" s="449"/>
      <c r="EX154" s="449"/>
      <c r="EY154" s="449"/>
      <c r="EZ154" s="449"/>
      <c r="FA154" s="449"/>
      <c r="FB154" s="449"/>
      <c r="FC154" s="449"/>
      <c r="FD154" s="449"/>
      <c r="FE154" s="449"/>
      <c r="FF154" s="449"/>
      <c r="FG154" s="449"/>
      <c r="FH154" s="449"/>
      <c r="FI154" s="449"/>
      <c r="FJ154" s="449"/>
      <c r="FK154" s="449"/>
      <c r="FL154" s="449"/>
      <c r="FM154" s="449"/>
      <c r="FN154" s="449"/>
      <c r="FO154" s="449"/>
      <c r="FP154" s="449"/>
      <c r="FQ154" s="449"/>
      <c r="FR154" s="449"/>
      <c r="FS154" s="449"/>
      <c r="FT154" s="449"/>
      <c r="FU154" s="449"/>
      <c r="FV154" s="449"/>
      <c r="FW154" s="449"/>
      <c r="FX154" s="449"/>
      <c r="FY154" s="449"/>
      <c r="FZ154" s="449"/>
      <c r="GA154" s="449"/>
      <c r="GB154" s="449"/>
      <c r="GC154" s="449"/>
      <c r="GD154" s="449"/>
      <c r="GE154" s="449"/>
      <c r="GF154" s="449"/>
      <c r="GG154" s="449"/>
      <c r="GH154" s="449"/>
      <c r="GI154" s="449"/>
      <c r="GJ154" s="449"/>
      <c r="GK154" s="449"/>
      <c r="GL154" s="449"/>
      <c r="GM154" s="449"/>
      <c r="GN154" s="449"/>
      <c r="GO154" s="449"/>
      <c r="GP154" s="449"/>
      <c r="GQ154" s="449"/>
      <c r="GR154" s="449"/>
      <c r="GS154" s="449"/>
      <c r="GT154" s="449"/>
      <c r="GU154" s="449"/>
      <c r="GV154" s="449"/>
      <c r="GW154" s="449"/>
      <c r="GX154" s="449"/>
      <c r="GY154" s="449"/>
      <c r="GZ154" s="449"/>
      <c r="HA154" s="449"/>
      <c r="HB154" s="449"/>
      <c r="HC154" s="449"/>
      <c r="HD154" s="449"/>
      <c r="HE154" s="449"/>
      <c r="HF154" s="449"/>
      <c r="HG154" s="449"/>
      <c r="HH154" s="449"/>
      <c r="HI154" s="449"/>
      <c r="HJ154" s="449"/>
      <c r="HK154" s="449"/>
      <c r="HL154" s="449"/>
      <c r="HM154" s="449"/>
      <c r="HN154" s="449"/>
      <c r="HO154" s="449"/>
      <c r="HP154" s="449"/>
      <c r="HQ154" s="449"/>
      <c r="HR154" s="449"/>
      <c r="HS154" s="449"/>
      <c r="HT154" s="449"/>
      <c r="HU154" s="449"/>
      <c r="HV154" s="449"/>
      <c r="HW154" s="449"/>
      <c r="HX154" s="449"/>
      <c r="HY154" s="449"/>
      <c r="HZ154" s="449"/>
      <c r="IA154" s="449"/>
      <c r="IB154" s="449"/>
      <c r="IC154" s="449"/>
      <c r="ID154" s="449"/>
      <c r="IE154" s="449"/>
      <c r="IF154" s="449"/>
      <c r="IG154" s="449"/>
      <c r="IH154" s="449"/>
      <c r="II154" s="449"/>
      <c r="IJ154" s="449"/>
      <c r="IK154" s="449"/>
      <c r="IL154" s="449"/>
      <c r="IM154" s="449"/>
      <c r="IN154" s="449"/>
      <c r="IO154" s="449"/>
      <c r="IP154" s="449"/>
      <c r="IQ154" s="449"/>
      <c r="IR154" s="449"/>
      <c r="IS154" s="449"/>
      <c r="IT154" s="449"/>
      <c r="IU154" s="449"/>
      <c r="IV154" s="449"/>
      <c r="IW154" s="449"/>
      <c r="IX154" s="449"/>
    </row>
    <row r="155" spans="3:258" x14ac:dyDescent="0.2">
      <c r="C155" s="392" t="s">
        <v>1096</v>
      </c>
      <c r="D155" s="393" t="s">
        <v>867</v>
      </c>
      <c r="E155" s="410" t="s">
        <v>1097</v>
      </c>
      <c r="F155" s="410"/>
      <c r="G155" s="393">
        <v>1000</v>
      </c>
      <c r="H155" s="393">
        <v>210</v>
      </c>
      <c r="I155" s="393">
        <v>500</v>
      </c>
      <c r="J155" s="393">
        <v>40.799999999999997</v>
      </c>
      <c r="K155" s="397">
        <v>6549</v>
      </c>
      <c r="L155" s="398">
        <f>K155*0.7</f>
        <v>4584.2999999999993</v>
      </c>
      <c r="M155" s="449"/>
      <c r="N155" s="449"/>
      <c r="O155" s="449"/>
      <c r="P155" s="449"/>
      <c r="Q155" s="449"/>
      <c r="R155" s="449"/>
      <c r="S155" s="449"/>
      <c r="T155" s="449"/>
      <c r="U155" s="449"/>
      <c r="V155" s="449"/>
      <c r="W155" s="449"/>
      <c r="X155" s="449"/>
      <c r="Y155" s="449"/>
      <c r="Z155" s="449"/>
      <c r="AA155" s="449"/>
      <c r="AB155" s="449"/>
      <c r="AC155" s="449"/>
      <c r="AD155" s="449"/>
      <c r="AE155" s="449"/>
      <c r="AF155" s="449"/>
      <c r="AG155" s="449"/>
      <c r="AH155" s="449"/>
      <c r="AI155" s="449"/>
      <c r="AJ155" s="449"/>
      <c r="AK155" s="449"/>
      <c r="AL155" s="449"/>
      <c r="AM155" s="449"/>
      <c r="AN155" s="449"/>
      <c r="AO155" s="449"/>
      <c r="AP155" s="449"/>
      <c r="AQ155" s="449"/>
      <c r="AR155" s="449"/>
      <c r="AS155" s="449"/>
      <c r="AT155" s="449"/>
      <c r="AU155" s="449"/>
      <c r="AV155" s="449"/>
      <c r="AW155" s="449"/>
      <c r="AX155" s="449"/>
      <c r="AY155" s="449"/>
      <c r="AZ155" s="449"/>
      <c r="BA155" s="449"/>
      <c r="BB155" s="449"/>
      <c r="BC155" s="449"/>
      <c r="BD155" s="449"/>
      <c r="BE155" s="449"/>
      <c r="BF155" s="449"/>
      <c r="BG155" s="449"/>
      <c r="BH155" s="449"/>
      <c r="BI155" s="449"/>
      <c r="BJ155" s="449"/>
      <c r="BK155" s="449"/>
      <c r="BL155" s="449"/>
      <c r="BM155" s="449"/>
      <c r="BN155" s="449"/>
      <c r="BO155" s="449"/>
      <c r="BP155" s="449"/>
      <c r="BQ155" s="449"/>
      <c r="BR155" s="449"/>
      <c r="BS155" s="449"/>
      <c r="BT155" s="449"/>
      <c r="BU155" s="449"/>
      <c r="BV155" s="449"/>
      <c r="BW155" s="449"/>
      <c r="BX155" s="449"/>
      <c r="BY155" s="449"/>
      <c r="BZ155" s="449"/>
      <c r="CA155" s="449"/>
      <c r="CB155" s="449"/>
      <c r="CC155" s="449"/>
      <c r="CD155" s="449"/>
      <c r="CE155" s="449"/>
      <c r="CF155" s="449"/>
      <c r="CG155" s="449"/>
      <c r="CH155" s="449"/>
      <c r="CI155" s="449"/>
      <c r="CJ155" s="449"/>
      <c r="CK155" s="449"/>
      <c r="CL155" s="449"/>
      <c r="CM155" s="449"/>
      <c r="CN155" s="449"/>
      <c r="CO155" s="449"/>
      <c r="CP155" s="449"/>
      <c r="CQ155" s="449"/>
      <c r="CR155" s="449"/>
      <c r="CS155" s="449"/>
      <c r="CT155" s="449"/>
      <c r="CU155" s="449"/>
      <c r="CV155" s="449"/>
      <c r="CW155" s="449"/>
      <c r="CX155" s="449"/>
      <c r="CY155" s="449"/>
      <c r="CZ155" s="449"/>
      <c r="DA155" s="449"/>
      <c r="DB155" s="449"/>
      <c r="DC155" s="449"/>
      <c r="DD155" s="449"/>
      <c r="DE155" s="449"/>
      <c r="DF155" s="449"/>
      <c r="DG155" s="449"/>
      <c r="DH155" s="449"/>
      <c r="DI155" s="449"/>
      <c r="DJ155" s="449"/>
      <c r="DK155" s="449"/>
      <c r="DL155" s="449"/>
      <c r="DM155" s="449"/>
      <c r="DN155" s="449"/>
      <c r="DO155" s="449"/>
      <c r="DP155" s="449"/>
      <c r="DQ155" s="449"/>
      <c r="DR155" s="449"/>
      <c r="DS155" s="449"/>
      <c r="DT155" s="449"/>
      <c r="DU155" s="449"/>
      <c r="DV155" s="449"/>
      <c r="DW155" s="449"/>
      <c r="DX155" s="449"/>
      <c r="DY155" s="449"/>
      <c r="DZ155" s="449"/>
      <c r="EA155" s="449"/>
      <c r="EB155" s="449"/>
      <c r="EC155" s="449"/>
      <c r="ED155" s="449"/>
      <c r="EE155" s="449"/>
      <c r="EF155" s="449"/>
      <c r="EG155" s="449"/>
      <c r="EH155" s="449"/>
      <c r="EI155" s="449"/>
      <c r="EJ155" s="449"/>
      <c r="EK155" s="449"/>
      <c r="EL155" s="449"/>
      <c r="EM155" s="449"/>
      <c r="EN155" s="449"/>
      <c r="EO155" s="449"/>
      <c r="EP155" s="449"/>
      <c r="EQ155" s="449"/>
      <c r="ER155" s="449"/>
      <c r="ES155" s="449"/>
      <c r="ET155" s="449"/>
      <c r="EU155" s="449"/>
      <c r="EV155" s="449"/>
      <c r="EW155" s="449"/>
      <c r="EX155" s="449"/>
      <c r="EY155" s="449"/>
      <c r="EZ155" s="449"/>
      <c r="FA155" s="449"/>
      <c r="FB155" s="449"/>
      <c r="FC155" s="449"/>
      <c r="FD155" s="449"/>
      <c r="FE155" s="449"/>
      <c r="FF155" s="449"/>
      <c r="FG155" s="449"/>
      <c r="FH155" s="449"/>
      <c r="FI155" s="449"/>
      <c r="FJ155" s="449"/>
      <c r="FK155" s="449"/>
      <c r="FL155" s="449"/>
      <c r="FM155" s="449"/>
      <c r="FN155" s="449"/>
      <c r="FO155" s="449"/>
      <c r="FP155" s="449"/>
      <c r="FQ155" s="449"/>
      <c r="FR155" s="449"/>
      <c r="FS155" s="449"/>
      <c r="FT155" s="449"/>
      <c r="FU155" s="449"/>
      <c r="FV155" s="449"/>
      <c r="FW155" s="449"/>
      <c r="FX155" s="449"/>
      <c r="FY155" s="449"/>
      <c r="FZ155" s="449"/>
      <c r="GA155" s="449"/>
      <c r="GB155" s="449"/>
      <c r="GC155" s="449"/>
      <c r="GD155" s="449"/>
      <c r="GE155" s="449"/>
      <c r="GF155" s="449"/>
      <c r="GG155" s="449"/>
      <c r="GH155" s="449"/>
      <c r="GI155" s="449"/>
      <c r="GJ155" s="449"/>
      <c r="GK155" s="449"/>
      <c r="GL155" s="449"/>
      <c r="GM155" s="449"/>
      <c r="GN155" s="449"/>
      <c r="GO155" s="449"/>
      <c r="GP155" s="449"/>
      <c r="GQ155" s="449"/>
      <c r="GR155" s="449"/>
      <c r="GS155" s="449"/>
      <c r="GT155" s="449"/>
      <c r="GU155" s="449"/>
      <c r="GV155" s="449"/>
      <c r="GW155" s="449"/>
      <c r="GX155" s="449"/>
      <c r="GY155" s="449"/>
      <c r="GZ155" s="449"/>
      <c r="HA155" s="449"/>
      <c r="HB155" s="449"/>
      <c r="HC155" s="449"/>
      <c r="HD155" s="449"/>
      <c r="HE155" s="449"/>
      <c r="HF155" s="449"/>
      <c r="HG155" s="449"/>
      <c r="HH155" s="449"/>
      <c r="HI155" s="449"/>
      <c r="HJ155" s="449"/>
      <c r="HK155" s="449"/>
      <c r="HL155" s="449"/>
      <c r="HM155" s="449"/>
      <c r="HN155" s="449"/>
      <c r="HO155" s="449"/>
      <c r="HP155" s="449"/>
      <c r="HQ155" s="449"/>
      <c r="HR155" s="449"/>
      <c r="HS155" s="449"/>
      <c r="HT155" s="449"/>
      <c r="HU155" s="449"/>
      <c r="HV155" s="449"/>
      <c r="HW155" s="449"/>
      <c r="HX155" s="449"/>
      <c r="HY155" s="449"/>
      <c r="HZ155" s="449"/>
      <c r="IA155" s="449"/>
      <c r="IB155" s="449"/>
      <c r="IC155" s="449"/>
      <c r="ID155" s="449"/>
      <c r="IE155" s="449"/>
      <c r="IF155" s="449"/>
      <c r="IG155" s="449"/>
      <c r="IH155" s="449"/>
      <c r="II155" s="449"/>
      <c r="IJ155" s="449"/>
      <c r="IK155" s="449"/>
      <c r="IL155" s="449"/>
      <c r="IM155" s="449"/>
      <c r="IN155" s="449"/>
      <c r="IO155" s="449"/>
      <c r="IP155" s="449"/>
      <c r="IQ155" s="449"/>
      <c r="IR155" s="449"/>
      <c r="IS155" s="449"/>
      <c r="IT155" s="449"/>
      <c r="IU155" s="449"/>
      <c r="IV155" s="449"/>
      <c r="IW155" s="449"/>
      <c r="IX155" s="449"/>
    </row>
    <row r="156" spans="3:258" ht="12.75" customHeight="1" x14ac:dyDescent="0.2">
      <c r="C156" s="384" t="s">
        <v>980</v>
      </c>
      <c r="D156" s="385"/>
      <c r="E156" s="385"/>
      <c r="F156" s="385"/>
      <c r="G156" s="385"/>
      <c r="H156" s="385"/>
      <c r="I156" s="385"/>
      <c r="J156" s="385"/>
      <c r="K156" s="386"/>
      <c r="L156" s="387" t="str">
        <f>IFERROR(K156/#REF!-1,"")</f>
        <v/>
      </c>
      <c r="M156" s="449"/>
      <c r="N156" s="449"/>
      <c r="O156" s="449"/>
      <c r="P156" s="449"/>
      <c r="Q156" s="449"/>
      <c r="R156" s="449"/>
      <c r="S156" s="449"/>
      <c r="T156" s="449"/>
      <c r="U156" s="449"/>
      <c r="V156" s="449"/>
      <c r="W156" s="449"/>
      <c r="X156" s="449"/>
      <c r="Y156" s="449"/>
      <c r="Z156" s="449"/>
      <c r="AA156" s="449"/>
      <c r="AB156" s="449"/>
      <c r="AC156" s="449"/>
      <c r="AD156" s="449"/>
      <c r="AE156" s="449"/>
      <c r="AF156" s="449"/>
      <c r="AG156" s="449"/>
      <c r="AH156" s="449"/>
      <c r="AI156" s="449"/>
      <c r="AJ156" s="449"/>
      <c r="AK156" s="449"/>
      <c r="AL156" s="449"/>
      <c r="AM156" s="449"/>
      <c r="AN156" s="449"/>
      <c r="AO156" s="449"/>
      <c r="AP156" s="449"/>
      <c r="AQ156" s="449"/>
      <c r="AR156" s="449"/>
      <c r="AS156" s="449"/>
      <c r="AT156" s="449"/>
      <c r="AU156" s="449"/>
      <c r="AV156" s="449"/>
      <c r="AW156" s="449"/>
      <c r="AX156" s="449"/>
      <c r="AY156" s="449"/>
      <c r="AZ156" s="449"/>
      <c r="BA156" s="449"/>
      <c r="BB156" s="449"/>
      <c r="BC156" s="449"/>
      <c r="BD156" s="449"/>
      <c r="BE156" s="449"/>
      <c r="BF156" s="449"/>
      <c r="BG156" s="449"/>
      <c r="BH156" s="449"/>
      <c r="BI156" s="449"/>
      <c r="BJ156" s="449"/>
      <c r="BK156" s="449"/>
      <c r="BL156" s="449"/>
      <c r="BM156" s="449"/>
      <c r="BN156" s="449"/>
      <c r="BO156" s="449"/>
      <c r="BP156" s="449"/>
      <c r="BQ156" s="449"/>
      <c r="BR156" s="449"/>
      <c r="BS156" s="449"/>
      <c r="BT156" s="449"/>
      <c r="BU156" s="449"/>
      <c r="BV156" s="449"/>
      <c r="BW156" s="449"/>
      <c r="BX156" s="449"/>
      <c r="BY156" s="449"/>
      <c r="BZ156" s="449"/>
      <c r="CA156" s="449"/>
      <c r="CB156" s="449"/>
      <c r="CC156" s="449"/>
      <c r="CD156" s="449"/>
      <c r="CE156" s="449"/>
      <c r="CF156" s="449"/>
      <c r="CG156" s="449"/>
      <c r="CH156" s="449"/>
      <c r="CI156" s="449"/>
      <c r="CJ156" s="449"/>
      <c r="CK156" s="449"/>
      <c r="CL156" s="449"/>
      <c r="CM156" s="449"/>
      <c r="CN156" s="449"/>
      <c r="CO156" s="449"/>
      <c r="CP156" s="449"/>
      <c r="CQ156" s="449"/>
      <c r="CR156" s="449"/>
      <c r="CS156" s="449"/>
      <c r="CT156" s="449"/>
      <c r="CU156" s="449"/>
      <c r="CV156" s="449"/>
      <c r="CW156" s="449"/>
      <c r="CX156" s="449"/>
      <c r="CY156" s="449"/>
      <c r="CZ156" s="449"/>
      <c r="DA156" s="449"/>
      <c r="DB156" s="449"/>
      <c r="DC156" s="449"/>
      <c r="DD156" s="449"/>
      <c r="DE156" s="449"/>
      <c r="DF156" s="449"/>
      <c r="DG156" s="449"/>
      <c r="DH156" s="449"/>
      <c r="DI156" s="449"/>
      <c r="DJ156" s="449"/>
      <c r="DK156" s="449"/>
      <c r="DL156" s="449"/>
      <c r="DM156" s="449"/>
      <c r="DN156" s="449"/>
      <c r="DO156" s="449"/>
      <c r="DP156" s="449"/>
      <c r="DQ156" s="449"/>
      <c r="DR156" s="449"/>
      <c r="DS156" s="449"/>
      <c r="DT156" s="449"/>
      <c r="DU156" s="449"/>
      <c r="DV156" s="449"/>
      <c r="DW156" s="449"/>
      <c r="DX156" s="449"/>
      <c r="DY156" s="449"/>
      <c r="DZ156" s="449"/>
      <c r="EA156" s="449"/>
      <c r="EB156" s="449"/>
      <c r="EC156" s="449"/>
      <c r="ED156" s="449"/>
      <c r="EE156" s="449"/>
      <c r="EF156" s="449"/>
      <c r="EG156" s="449"/>
      <c r="EH156" s="449"/>
      <c r="EI156" s="449"/>
      <c r="EJ156" s="449"/>
      <c r="EK156" s="449"/>
      <c r="EL156" s="449"/>
      <c r="EM156" s="449"/>
      <c r="EN156" s="449"/>
      <c r="EO156" s="449"/>
      <c r="EP156" s="449"/>
      <c r="EQ156" s="449"/>
      <c r="ER156" s="449"/>
      <c r="ES156" s="449"/>
      <c r="ET156" s="449"/>
      <c r="EU156" s="449"/>
      <c r="EV156" s="449"/>
      <c r="EW156" s="449"/>
      <c r="EX156" s="449"/>
      <c r="EY156" s="449"/>
      <c r="EZ156" s="449"/>
      <c r="FA156" s="449"/>
      <c r="FB156" s="449"/>
      <c r="FC156" s="449"/>
      <c r="FD156" s="449"/>
      <c r="FE156" s="449"/>
      <c r="FF156" s="449"/>
      <c r="FG156" s="449"/>
      <c r="FH156" s="449"/>
      <c r="FI156" s="449"/>
      <c r="FJ156" s="449"/>
      <c r="FK156" s="449"/>
      <c r="FL156" s="449"/>
      <c r="FM156" s="449"/>
      <c r="FN156" s="449"/>
      <c r="FO156" s="449"/>
      <c r="FP156" s="449"/>
      <c r="FQ156" s="449"/>
      <c r="FR156" s="449"/>
      <c r="FS156" s="449"/>
      <c r="FT156" s="449"/>
      <c r="FU156" s="449"/>
      <c r="FV156" s="449"/>
      <c r="FW156" s="449"/>
      <c r="FX156" s="449"/>
      <c r="FY156" s="449"/>
      <c r="FZ156" s="449"/>
      <c r="GA156" s="449"/>
      <c r="GB156" s="449"/>
      <c r="GC156" s="449"/>
      <c r="GD156" s="449"/>
      <c r="GE156" s="449"/>
      <c r="GF156" s="449"/>
      <c r="GG156" s="449"/>
      <c r="GH156" s="449"/>
      <c r="GI156" s="449"/>
      <c r="GJ156" s="449"/>
      <c r="GK156" s="449"/>
      <c r="GL156" s="449"/>
      <c r="GM156" s="449"/>
      <c r="GN156" s="449"/>
      <c r="GO156" s="449"/>
      <c r="GP156" s="449"/>
      <c r="GQ156" s="449"/>
      <c r="GR156" s="449"/>
      <c r="GS156" s="449"/>
      <c r="GT156" s="449"/>
      <c r="GU156" s="449"/>
      <c r="GV156" s="449"/>
      <c r="GW156" s="449"/>
      <c r="GX156" s="449"/>
      <c r="GY156" s="449"/>
      <c r="GZ156" s="449"/>
      <c r="HA156" s="449"/>
      <c r="HB156" s="449"/>
      <c r="HC156" s="449"/>
      <c r="HD156" s="449"/>
      <c r="HE156" s="449"/>
      <c r="HF156" s="449"/>
      <c r="HG156" s="449"/>
      <c r="HH156" s="449"/>
      <c r="HI156" s="449"/>
      <c r="HJ156" s="449"/>
      <c r="HK156" s="449"/>
      <c r="HL156" s="449"/>
      <c r="HM156" s="449"/>
      <c r="HN156" s="449"/>
      <c r="HO156" s="449"/>
      <c r="HP156" s="449"/>
      <c r="HQ156" s="449"/>
      <c r="HR156" s="449"/>
      <c r="HS156" s="449"/>
      <c r="HT156" s="449"/>
      <c r="HU156" s="449"/>
      <c r="HV156" s="449"/>
      <c r="HW156" s="449"/>
      <c r="HX156" s="449"/>
      <c r="HY156" s="449"/>
      <c r="HZ156" s="449"/>
      <c r="IA156" s="449"/>
      <c r="IB156" s="449"/>
      <c r="IC156" s="449"/>
      <c r="ID156" s="449"/>
      <c r="IE156" s="449"/>
      <c r="IF156" s="449"/>
      <c r="IG156" s="449"/>
      <c r="IH156" s="449"/>
      <c r="II156" s="449"/>
      <c r="IJ156" s="449"/>
      <c r="IK156" s="449"/>
      <c r="IL156" s="449"/>
      <c r="IM156" s="449"/>
      <c r="IN156" s="449"/>
      <c r="IO156" s="449"/>
      <c r="IP156" s="449"/>
      <c r="IQ156" s="449"/>
      <c r="IR156" s="449"/>
      <c r="IS156" s="449"/>
      <c r="IT156" s="449"/>
      <c r="IU156" s="449"/>
      <c r="IV156" s="449"/>
      <c r="IW156" s="449"/>
      <c r="IX156" s="449"/>
    </row>
    <row r="157" spans="3:258" x14ac:dyDescent="0.2">
      <c r="C157" s="388" t="s">
        <v>1098</v>
      </c>
      <c r="D157" s="389"/>
      <c r="E157" s="389"/>
      <c r="F157" s="389"/>
      <c r="G157" s="389"/>
      <c r="H157" s="389"/>
      <c r="I157" s="389"/>
      <c r="J157" s="389"/>
      <c r="K157" s="390"/>
      <c r="L157" s="391" t="str">
        <f>IFERROR(K157/#REF!-1,"")</f>
        <v/>
      </c>
      <c r="M157" s="449"/>
      <c r="N157" s="449"/>
      <c r="O157" s="449"/>
      <c r="P157" s="449"/>
      <c r="Q157" s="449"/>
      <c r="R157" s="449"/>
      <c r="S157" s="449"/>
      <c r="T157" s="449"/>
      <c r="U157" s="449"/>
      <c r="V157" s="449"/>
      <c r="W157" s="449"/>
      <c r="X157" s="449"/>
      <c r="Y157" s="449"/>
      <c r="Z157" s="449"/>
      <c r="AA157" s="449"/>
      <c r="AB157" s="449"/>
      <c r="AC157" s="449"/>
      <c r="AD157" s="449"/>
      <c r="AE157" s="449"/>
      <c r="AF157" s="449"/>
      <c r="AG157" s="449"/>
      <c r="AH157" s="449"/>
      <c r="AI157" s="449"/>
      <c r="AJ157" s="449"/>
      <c r="AK157" s="449"/>
      <c r="AL157" s="449"/>
      <c r="AM157" s="449"/>
      <c r="AN157" s="449"/>
      <c r="AO157" s="449"/>
      <c r="AP157" s="449"/>
      <c r="AQ157" s="449"/>
      <c r="AR157" s="449"/>
      <c r="AS157" s="449"/>
      <c r="AT157" s="449"/>
      <c r="AU157" s="449"/>
      <c r="AV157" s="449"/>
      <c r="AW157" s="449"/>
      <c r="AX157" s="449"/>
      <c r="AY157" s="449"/>
      <c r="AZ157" s="449"/>
      <c r="BA157" s="449"/>
      <c r="BB157" s="449"/>
      <c r="BC157" s="449"/>
      <c r="BD157" s="449"/>
      <c r="BE157" s="449"/>
      <c r="BF157" s="449"/>
      <c r="BG157" s="449"/>
      <c r="BH157" s="449"/>
      <c r="BI157" s="449"/>
      <c r="BJ157" s="449"/>
      <c r="BK157" s="449"/>
      <c r="BL157" s="449"/>
      <c r="BM157" s="449"/>
      <c r="BN157" s="449"/>
      <c r="BO157" s="449"/>
      <c r="BP157" s="449"/>
      <c r="BQ157" s="449"/>
      <c r="BR157" s="449"/>
      <c r="BS157" s="449"/>
      <c r="BT157" s="449"/>
      <c r="BU157" s="449"/>
      <c r="BV157" s="449"/>
      <c r="BW157" s="449"/>
      <c r="BX157" s="449"/>
      <c r="BY157" s="449"/>
      <c r="BZ157" s="449"/>
      <c r="CA157" s="449"/>
      <c r="CB157" s="449"/>
      <c r="CC157" s="449"/>
      <c r="CD157" s="449"/>
      <c r="CE157" s="449"/>
      <c r="CF157" s="449"/>
      <c r="CG157" s="449"/>
      <c r="CH157" s="449"/>
      <c r="CI157" s="449"/>
      <c r="CJ157" s="449"/>
      <c r="CK157" s="449"/>
      <c r="CL157" s="449"/>
      <c r="CM157" s="449"/>
      <c r="CN157" s="449"/>
      <c r="CO157" s="449"/>
      <c r="CP157" s="449"/>
      <c r="CQ157" s="449"/>
      <c r="CR157" s="449"/>
      <c r="CS157" s="449"/>
      <c r="CT157" s="449"/>
      <c r="CU157" s="449"/>
      <c r="CV157" s="449"/>
      <c r="CW157" s="449"/>
      <c r="CX157" s="449"/>
      <c r="CY157" s="449"/>
      <c r="CZ157" s="449"/>
      <c r="DA157" s="449"/>
      <c r="DB157" s="449"/>
      <c r="DC157" s="449"/>
      <c r="DD157" s="449"/>
      <c r="DE157" s="449"/>
      <c r="DF157" s="449"/>
      <c r="DG157" s="449"/>
      <c r="DH157" s="449"/>
      <c r="DI157" s="449"/>
      <c r="DJ157" s="449"/>
      <c r="DK157" s="449"/>
      <c r="DL157" s="449"/>
      <c r="DM157" s="449"/>
      <c r="DN157" s="449"/>
      <c r="DO157" s="449"/>
      <c r="DP157" s="449"/>
      <c r="DQ157" s="449"/>
      <c r="DR157" s="449"/>
      <c r="DS157" s="449"/>
      <c r="DT157" s="449"/>
      <c r="DU157" s="449"/>
      <c r="DV157" s="449"/>
      <c r="DW157" s="449"/>
      <c r="DX157" s="449"/>
      <c r="DY157" s="449"/>
      <c r="DZ157" s="449"/>
      <c r="EA157" s="449"/>
      <c r="EB157" s="449"/>
      <c r="EC157" s="449"/>
      <c r="ED157" s="449"/>
      <c r="EE157" s="449"/>
      <c r="EF157" s="449"/>
      <c r="EG157" s="449"/>
      <c r="EH157" s="449"/>
      <c r="EI157" s="449"/>
      <c r="EJ157" s="449"/>
      <c r="EK157" s="449"/>
      <c r="EL157" s="449"/>
      <c r="EM157" s="449"/>
      <c r="EN157" s="449"/>
      <c r="EO157" s="449"/>
      <c r="EP157" s="449"/>
      <c r="EQ157" s="449"/>
      <c r="ER157" s="449"/>
      <c r="ES157" s="449"/>
      <c r="ET157" s="449"/>
      <c r="EU157" s="449"/>
      <c r="EV157" s="449"/>
      <c r="EW157" s="449"/>
      <c r="EX157" s="449"/>
      <c r="EY157" s="449"/>
      <c r="EZ157" s="449"/>
      <c r="FA157" s="449"/>
      <c r="FB157" s="449"/>
      <c r="FC157" s="449"/>
      <c r="FD157" s="449"/>
      <c r="FE157" s="449"/>
      <c r="FF157" s="449"/>
      <c r="FG157" s="449"/>
      <c r="FH157" s="449"/>
      <c r="FI157" s="449"/>
      <c r="FJ157" s="449"/>
      <c r="FK157" s="449"/>
      <c r="FL157" s="449"/>
      <c r="FM157" s="449"/>
      <c r="FN157" s="449"/>
      <c r="FO157" s="449"/>
      <c r="FP157" s="449"/>
      <c r="FQ157" s="449"/>
      <c r="FR157" s="449"/>
      <c r="FS157" s="449"/>
      <c r="FT157" s="449"/>
      <c r="FU157" s="449"/>
      <c r="FV157" s="449"/>
      <c r="FW157" s="449"/>
      <c r="FX157" s="449"/>
      <c r="FY157" s="449"/>
      <c r="FZ157" s="449"/>
      <c r="GA157" s="449"/>
      <c r="GB157" s="449"/>
      <c r="GC157" s="449"/>
      <c r="GD157" s="449"/>
      <c r="GE157" s="449"/>
      <c r="GF157" s="449"/>
      <c r="GG157" s="449"/>
      <c r="GH157" s="449"/>
      <c r="GI157" s="449"/>
      <c r="GJ157" s="449"/>
      <c r="GK157" s="449"/>
      <c r="GL157" s="449"/>
      <c r="GM157" s="449"/>
      <c r="GN157" s="449"/>
      <c r="GO157" s="449"/>
      <c r="GP157" s="449"/>
      <c r="GQ157" s="449"/>
      <c r="GR157" s="449"/>
      <c r="GS157" s="449"/>
      <c r="GT157" s="449"/>
      <c r="GU157" s="449"/>
      <c r="GV157" s="449"/>
      <c r="GW157" s="449"/>
      <c r="GX157" s="449"/>
      <c r="GY157" s="449"/>
      <c r="GZ157" s="449"/>
      <c r="HA157" s="449"/>
      <c r="HB157" s="449"/>
      <c r="HC157" s="449"/>
      <c r="HD157" s="449"/>
      <c r="HE157" s="449"/>
      <c r="HF157" s="449"/>
      <c r="HG157" s="449"/>
      <c r="HH157" s="449"/>
      <c r="HI157" s="449"/>
      <c r="HJ157" s="449"/>
      <c r="HK157" s="449"/>
      <c r="HL157" s="449"/>
      <c r="HM157" s="449"/>
      <c r="HN157" s="449"/>
      <c r="HO157" s="449"/>
      <c r="HP157" s="449"/>
      <c r="HQ157" s="449"/>
      <c r="HR157" s="449"/>
      <c r="HS157" s="449"/>
      <c r="HT157" s="449"/>
      <c r="HU157" s="449"/>
      <c r="HV157" s="449"/>
      <c r="HW157" s="449"/>
      <c r="HX157" s="449"/>
      <c r="HY157" s="449"/>
      <c r="HZ157" s="449"/>
      <c r="IA157" s="449"/>
      <c r="IB157" s="449"/>
      <c r="IC157" s="449"/>
      <c r="ID157" s="449"/>
      <c r="IE157" s="449"/>
      <c r="IF157" s="449"/>
      <c r="IG157" s="449"/>
      <c r="IH157" s="449"/>
      <c r="II157" s="449"/>
      <c r="IJ157" s="449"/>
      <c r="IK157" s="449"/>
      <c r="IL157" s="449"/>
      <c r="IM157" s="449"/>
      <c r="IN157" s="449"/>
      <c r="IO157" s="449"/>
      <c r="IP157" s="449"/>
      <c r="IQ157" s="449"/>
      <c r="IR157" s="449"/>
      <c r="IS157" s="449"/>
      <c r="IT157" s="449"/>
      <c r="IU157" s="449"/>
      <c r="IV157" s="449"/>
      <c r="IW157" s="449"/>
      <c r="IX157" s="449"/>
    </row>
    <row r="158" spans="3:258" x14ac:dyDescent="0.2">
      <c r="C158" s="392" t="s">
        <v>1099</v>
      </c>
      <c r="D158" s="393" t="s">
        <v>877</v>
      </c>
      <c r="E158" s="410" t="s">
        <v>1100</v>
      </c>
      <c r="F158" s="410"/>
      <c r="G158" s="393">
        <v>1000</v>
      </c>
      <c r="H158" s="393">
        <v>260</v>
      </c>
      <c r="I158" s="393">
        <v>100</v>
      </c>
      <c r="J158" s="393">
        <v>20</v>
      </c>
      <c r="K158" s="452">
        <v>4254</v>
      </c>
      <c r="L158" s="453">
        <f t="shared" ref="L158:L163" si="4">K158*0.7</f>
        <v>2977.7999999999997</v>
      </c>
      <c r="M158" s="449"/>
      <c r="N158" s="449"/>
      <c r="O158" s="449"/>
      <c r="P158" s="449"/>
      <c r="Q158" s="449"/>
      <c r="R158" s="449"/>
      <c r="S158" s="449"/>
      <c r="T158" s="449"/>
      <c r="U158" s="449"/>
      <c r="V158" s="449"/>
      <c r="W158" s="449"/>
      <c r="X158" s="449"/>
      <c r="Y158" s="449"/>
      <c r="Z158" s="449"/>
      <c r="AA158" s="449"/>
      <c r="AB158" s="449"/>
      <c r="AC158" s="449"/>
      <c r="AD158" s="449"/>
      <c r="AE158" s="449"/>
      <c r="AF158" s="449"/>
      <c r="AG158" s="449"/>
      <c r="AH158" s="449"/>
      <c r="AI158" s="449"/>
      <c r="AJ158" s="449"/>
      <c r="AK158" s="449"/>
      <c r="AL158" s="449"/>
      <c r="AM158" s="449"/>
      <c r="AN158" s="449"/>
      <c r="AO158" s="449"/>
      <c r="AP158" s="449"/>
      <c r="AQ158" s="449"/>
      <c r="AR158" s="449"/>
      <c r="AS158" s="449"/>
      <c r="AT158" s="449"/>
      <c r="AU158" s="449"/>
      <c r="AV158" s="449"/>
      <c r="AW158" s="449"/>
      <c r="AX158" s="449"/>
      <c r="AY158" s="449"/>
      <c r="AZ158" s="449"/>
      <c r="BA158" s="449"/>
      <c r="BB158" s="449"/>
      <c r="BC158" s="449"/>
      <c r="BD158" s="449"/>
      <c r="BE158" s="449"/>
      <c r="BF158" s="449"/>
      <c r="BG158" s="449"/>
      <c r="BH158" s="449"/>
      <c r="BI158" s="449"/>
      <c r="BJ158" s="449"/>
      <c r="BK158" s="449"/>
      <c r="BL158" s="449"/>
      <c r="BM158" s="449"/>
      <c r="BN158" s="449"/>
      <c r="BO158" s="449"/>
      <c r="BP158" s="449"/>
      <c r="BQ158" s="449"/>
      <c r="BR158" s="449"/>
      <c r="BS158" s="449"/>
      <c r="BT158" s="449"/>
      <c r="BU158" s="449"/>
      <c r="BV158" s="449"/>
      <c r="BW158" s="449"/>
      <c r="BX158" s="449"/>
      <c r="BY158" s="449"/>
      <c r="BZ158" s="449"/>
      <c r="CA158" s="449"/>
      <c r="CB158" s="449"/>
      <c r="CC158" s="449"/>
      <c r="CD158" s="449"/>
      <c r="CE158" s="449"/>
      <c r="CF158" s="449"/>
      <c r="CG158" s="449"/>
      <c r="CH158" s="449"/>
      <c r="CI158" s="449"/>
      <c r="CJ158" s="449"/>
      <c r="CK158" s="449"/>
      <c r="CL158" s="449"/>
      <c r="CM158" s="449"/>
      <c r="CN158" s="449"/>
      <c r="CO158" s="449"/>
      <c r="CP158" s="449"/>
      <c r="CQ158" s="449"/>
      <c r="CR158" s="449"/>
      <c r="CS158" s="449"/>
      <c r="CT158" s="449"/>
      <c r="CU158" s="449"/>
      <c r="CV158" s="449"/>
      <c r="CW158" s="449"/>
      <c r="CX158" s="449"/>
      <c r="CY158" s="449"/>
      <c r="CZ158" s="449"/>
      <c r="DA158" s="449"/>
      <c r="DB158" s="449"/>
      <c r="DC158" s="449"/>
      <c r="DD158" s="449"/>
      <c r="DE158" s="449"/>
      <c r="DF158" s="449"/>
      <c r="DG158" s="449"/>
      <c r="DH158" s="449"/>
      <c r="DI158" s="449"/>
      <c r="DJ158" s="449"/>
      <c r="DK158" s="449"/>
      <c r="DL158" s="449"/>
      <c r="DM158" s="449"/>
      <c r="DN158" s="449"/>
      <c r="DO158" s="449"/>
      <c r="DP158" s="449"/>
      <c r="DQ158" s="449"/>
      <c r="DR158" s="449"/>
      <c r="DS158" s="449"/>
      <c r="DT158" s="449"/>
      <c r="DU158" s="449"/>
      <c r="DV158" s="449"/>
      <c r="DW158" s="449"/>
      <c r="DX158" s="449"/>
      <c r="DY158" s="449"/>
      <c r="DZ158" s="449"/>
      <c r="EA158" s="449"/>
      <c r="EB158" s="449"/>
      <c r="EC158" s="449"/>
      <c r="ED158" s="449"/>
      <c r="EE158" s="449"/>
      <c r="EF158" s="449"/>
      <c r="EG158" s="449"/>
      <c r="EH158" s="449"/>
      <c r="EI158" s="449"/>
      <c r="EJ158" s="449"/>
      <c r="EK158" s="449"/>
      <c r="EL158" s="449"/>
      <c r="EM158" s="449"/>
      <c r="EN158" s="449"/>
      <c r="EO158" s="449"/>
      <c r="EP158" s="449"/>
      <c r="EQ158" s="449"/>
      <c r="ER158" s="449"/>
      <c r="ES158" s="449"/>
      <c r="ET158" s="449"/>
      <c r="EU158" s="449"/>
      <c r="EV158" s="449"/>
      <c r="EW158" s="449"/>
      <c r="EX158" s="449"/>
      <c r="EY158" s="449"/>
      <c r="EZ158" s="449"/>
      <c r="FA158" s="449"/>
      <c r="FB158" s="449"/>
      <c r="FC158" s="449"/>
      <c r="FD158" s="449"/>
      <c r="FE158" s="449"/>
      <c r="FF158" s="449"/>
      <c r="FG158" s="449"/>
      <c r="FH158" s="449"/>
      <c r="FI158" s="449"/>
      <c r="FJ158" s="449"/>
      <c r="FK158" s="449"/>
      <c r="FL158" s="449"/>
      <c r="FM158" s="449"/>
      <c r="FN158" s="449"/>
      <c r="FO158" s="449"/>
      <c r="FP158" s="449"/>
      <c r="FQ158" s="449"/>
      <c r="FR158" s="449"/>
      <c r="FS158" s="449"/>
      <c r="FT158" s="449"/>
      <c r="FU158" s="449"/>
      <c r="FV158" s="449"/>
      <c r="FW158" s="449"/>
      <c r="FX158" s="449"/>
      <c r="FY158" s="449"/>
      <c r="FZ158" s="449"/>
      <c r="GA158" s="449"/>
      <c r="GB158" s="449"/>
      <c r="GC158" s="449"/>
      <c r="GD158" s="449"/>
      <c r="GE158" s="449"/>
      <c r="GF158" s="449"/>
      <c r="GG158" s="449"/>
      <c r="GH158" s="449"/>
      <c r="GI158" s="449"/>
      <c r="GJ158" s="449"/>
      <c r="GK158" s="449"/>
      <c r="GL158" s="449"/>
      <c r="GM158" s="449"/>
      <c r="GN158" s="449"/>
      <c r="GO158" s="449"/>
      <c r="GP158" s="449"/>
      <c r="GQ158" s="449"/>
      <c r="GR158" s="449"/>
      <c r="GS158" s="449"/>
      <c r="GT158" s="449"/>
      <c r="GU158" s="449"/>
      <c r="GV158" s="449"/>
      <c r="GW158" s="449"/>
      <c r="GX158" s="449"/>
      <c r="GY158" s="449"/>
      <c r="GZ158" s="449"/>
      <c r="HA158" s="449"/>
      <c r="HB158" s="449"/>
      <c r="HC158" s="449"/>
      <c r="HD158" s="449"/>
      <c r="HE158" s="449"/>
      <c r="HF158" s="449"/>
      <c r="HG158" s="449"/>
      <c r="HH158" s="449"/>
      <c r="HI158" s="449"/>
      <c r="HJ158" s="449"/>
      <c r="HK158" s="449"/>
      <c r="HL158" s="449"/>
      <c r="HM158" s="449"/>
      <c r="HN158" s="449"/>
      <c r="HO158" s="449"/>
      <c r="HP158" s="449"/>
      <c r="HQ158" s="449"/>
      <c r="HR158" s="449"/>
      <c r="HS158" s="449"/>
      <c r="HT158" s="449"/>
      <c r="HU158" s="449"/>
      <c r="HV158" s="449"/>
      <c r="HW158" s="449"/>
      <c r="HX158" s="449"/>
      <c r="HY158" s="449"/>
      <c r="HZ158" s="449"/>
      <c r="IA158" s="449"/>
      <c r="IB158" s="449"/>
      <c r="IC158" s="449"/>
      <c r="ID158" s="449"/>
      <c r="IE158" s="449"/>
      <c r="IF158" s="449"/>
      <c r="IG158" s="449"/>
      <c r="IH158" s="449"/>
      <c r="II158" s="449"/>
      <c r="IJ158" s="449"/>
      <c r="IK158" s="449"/>
      <c r="IL158" s="449"/>
      <c r="IM158" s="449"/>
      <c r="IN158" s="449"/>
      <c r="IO158" s="449"/>
      <c r="IP158" s="449"/>
      <c r="IQ158" s="449"/>
      <c r="IR158" s="449"/>
      <c r="IS158" s="449"/>
      <c r="IT158" s="449"/>
      <c r="IU158" s="449"/>
      <c r="IV158" s="449"/>
      <c r="IW158" s="449"/>
      <c r="IX158" s="449"/>
    </row>
    <row r="159" spans="3:258" x14ac:dyDescent="0.2">
      <c r="C159" s="392" t="s">
        <v>1101</v>
      </c>
      <c r="D159" s="393" t="s">
        <v>877</v>
      </c>
      <c r="E159" s="410" t="s">
        <v>1102</v>
      </c>
      <c r="F159" s="410"/>
      <c r="G159" s="393">
        <v>1000</v>
      </c>
      <c r="H159" s="393">
        <v>260</v>
      </c>
      <c r="I159" s="393">
        <v>210</v>
      </c>
      <c r="J159" s="393">
        <v>24.28</v>
      </c>
      <c r="K159" s="452">
        <v>5406</v>
      </c>
      <c r="L159" s="453">
        <f t="shared" si="4"/>
        <v>3784.2</v>
      </c>
      <c r="M159" s="449"/>
      <c r="N159" s="449"/>
      <c r="O159" s="449"/>
      <c r="P159" s="449"/>
      <c r="Q159" s="449"/>
      <c r="R159" s="449"/>
      <c r="S159" s="449"/>
      <c r="T159" s="449"/>
      <c r="U159" s="449"/>
      <c r="V159" s="449"/>
      <c r="W159" s="449"/>
      <c r="X159" s="449"/>
      <c r="Y159" s="449"/>
      <c r="Z159" s="449"/>
      <c r="AA159" s="449"/>
      <c r="AB159" s="449"/>
      <c r="AC159" s="449"/>
      <c r="AD159" s="449"/>
      <c r="AE159" s="449"/>
      <c r="AF159" s="449"/>
      <c r="AG159" s="449"/>
      <c r="AH159" s="449"/>
      <c r="AI159" s="449"/>
      <c r="AJ159" s="449"/>
      <c r="AK159" s="449"/>
      <c r="AL159" s="449"/>
      <c r="AM159" s="449"/>
      <c r="AN159" s="449"/>
      <c r="AO159" s="449"/>
      <c r="AP159" s="449"/>
      <c r="AQ159" s="449"/>
      <c r="AR159" s="449"/>
      <c r="AS159" s="449"/>
      <c r="AT159" s="449"/>
      <c r="AU159" s="449"/>
      <c r="AV159" s="449"/>
      <c r="AW159" s="449"/>
      <c r="AX159" s="449"/>
      <c r="AY159" s="449"/>
      <c r="AZ159" s="449"/>
      <c r="BA159" s="449"/>
      <c r="BB159" s="449"/>
      <c r="BC159" s="449"/>
      <c r="BD159" s="449"/>
      <c r="BE159" s="449"/>
      <c r="BF159" s="449"/>
      <c r="BG159" s="449"/>
      <c r="BH159" s="449"/>
      <c r="BI159" s="449"/>
      <c r="BJ159" s="449"/>
      <c r="BK159" s="449"/>
      <c r="BL159" s="449"/>
      <c r="BM159" s="449"/>
      <c r="BN159" s="449"/>
      <c r="BO159" s="449"/>
      <c r="BP159" s="449"/>
      <c r="BQ159" s="449"/>
      <c r="BR159" s="449"/>
      <c r="BS159" s="449"/>
      <c r="BT159" s="449"/>
      <c r="BU159" s="449"/>
      <c r="BV159" s="449"/>
      <c r="BW159" s="449"/>
      <c r="BX159" s="449"/>
      <c r="BY159" s="449"/>
      <c r="BZ159" s="449"/>
      <c r="CA159" s="449"/>
      <c r="CB159" s="449"/>
      <c r="CC159" s="449"/>
      <c r="CD159" s="449"/>
      <c r="CE159" s="449"/>
      <c r="CF159" s="449"/>
      <c r="CG159" s="449"/>
      <c r="CH159" s="449"/>
      <c r="CI159" s="449"/>
      <c r="CJ159" s="449"/>
      <c r="CK159" s="449"/>
      <c r="CL159" s="449"/>
      <c r="CM159" s="449"/>
      <c r="CN159" s="449"/>
      <c r="CO159" s="449"/>
      <c r="CP159" s="449"/>
      <c r="CQ159" s="449"/>
      <c r="CR159" s="449"/>
      <c r="CS159" s="449"/>
      <c r="CT159" s="449"/>
      <c r="CU159" s="449"/>
      <c r="CV159" s="449"/>
      <c r="CW159" s="449"/>
      <c r="CX159" s="449"/>
      <c r="CY159" s="449"/>
      <c r="CZ159" s="449"/>
      <c r="DA159" s="449"/>
      <c r="DB159" s="449"/>
      <c r="DC159" s="449"/>
      <c r="DD159" s="449"/>
      <c r="DE159" s="449"/>
      <c r="DF159" s="449"/>
      <c r="DG159" s="449"/>
      <c r="DH159" s="449"/>
      <c r="DI159" s="449"/>
      <c r="DJ159" s="449"/>
      <c r="DK159" s="449"/>
      <c r="DL159" s="449"/>
      <c r="DM159" s="449"/>
      <c r="DN159" s="449"/>
      <c r="DO159" s="449"/>
      <c r="DP159" s="449"/>
      <c r="DQ159" s="449"/>
      <c r="DR159" s="449"/>
      <c r="DS159" s="449"/>
      <c r="DT159" s="449"/>
      <c r="DU159" s="449"/>
      <c r="DV159" s="449"/>
      <c r="DW159" s="449"/>
      <c r="DX159" s="449"/>
      <c r="DY159" s="449"/>
      <c r="DZ159" s="449"/>
      <c r="EA159" s="449"/>
      <c r="EB159" s="449"/>
      <c r="EC159" s="449"/>
      <c r="ED159" s="449"/>
      <c r="EE159" s="449"/>
      <c r="EF159" s="449"/>
      <c r="EG159" s="449"/>
      <c r="EH159" s="449"/>
      <c r="EI159" s="449"/>
      <c r="EJ159" s="449"/>
      <c r="EK159" s="449"/>
      <c r="EL159" s="449"/>
      <c r="EM159" s="449"/>
      <c r="EN159" s="449"/>
      <c r="EO159" s="449"/>
      <c r="EP159" s="449"/>
      <c r="EQ159" s="449"/>
      <c r="ER159" s="449"/>
      <c r="ES159" s="449"/>
      <c r="ET159" s="449"/>
      <c r="EU159" s="449"/>
      <c r="EV159" s="449"/>
      <c r="EW159" s="449"/>
      <c r="EX159" s="449"/>
      <c r="EY159" s="449"/>
      <c r="EZ159" s="449"/>
      <c r="FA159" s="449"/>
      <c r="FB159" s="449"/>
      <c r="FC159" s="449"/>
      <c r="FD159" s="449"/>
      <c r="FE159" s="449"/>
      <c r="FF159" s="449"/>
      <c r="FG159" s="449"/>
      <c r="FH159" s="449"/>
      <c r="FI159" s="449"/>
      <c r="FJ159" s="449"/>
      <c r="FK159" s="449"/>
      <c r="FL159" s="449"/>
      <c r="FM159" s="449"/>
      <c r="FN159" s="449"/>
      <c r="FO159" s="449"/>
      <c r="FP159" s="449"/>
      <c r="FQ159" s="449"/>
      <c r="FR159" s="449"/>
      <c r="FS159" s="449"/>
      <c r="FT159" s="449"/>
      <c r="FU159" s="449"/>
      <c r="FV159" s="449"/>
      <c r="FW159" s="449"/>
      <c r="FX159" s="449"/>
      <c r="FY159" s="449"/>
      <c r="FZ159" s="449"/>
      <c r="GA159" s="449"/>
      <c r="GB159" s="449"/>
      <c r="GC159" s="449"/>
      <c r="GD159" s="449"/>
      <c r="GE159" s="449"/>
      <c r="GF159" s="449"/>
      <c r="GG159" s="449"/>
      <c r="GH159" s="449"/>
      <c r="GI159" s="449"/>
      <c r="GJ159" s="449"/>
      <c r="GK159" s="449"/>
      <c r="GL159" s="449"/>
      <c r="GM159" s="449"/>
      <c r="GN159" s="449"/>
      <c r="GO159" s="449"/>
      <c r="GP159" s="449"/>
      <c r="GQ159" s="449"/>
      <c r="GR159" s="449"/>
      <c r="GS159" s="449"/>
      <c r="GT159" s="449"/>
      <c r="GU159" s="449"/>
      <c r="GV159" s="449"/>
      <c r="GW159" s="449"/>
      <c r="GX159" s="449"/>
      <c r="GY159" s="449"/>
      <c r="GZ159" s="449"/>
      <c r="HA159" s="449"/>
      <c r="HB159" s="449"/>
      <c r="HC159" s="449"/>
      <c r="HD159" s="449"/>
      <c r="HE159" s="449"/>
      <c r="HF159" s="449"/>
      <c r="HG159" s="449"/>
      <c r="HH159" s="449"/>
      <c r="HI159" s="449"/>
      <c r="HJ159" s="449"/>
      <c r="HK159" s="449"/>
      <c r="HL159" s="449"/>
      <c r="HM159" s="449"/>
      <c r="HN159" s="449"/>
      <c r="HO159" s="449"/>
      <c r="HP159" s="449"/>
      <c r="HQ159" s="449"/>
      <c r="HR159" s="449"/>
      <c r="HS159" s="449"/>
      <c r="HT159" s="449"/>
      <c r="HU159" s="449"/>
      <c r="HV159" s="449"/>
      <c r="HW159" s="449"/>
      <c r="HX159" s="449"/>
      <c r="HY159" s="449"/>
      <c r="HZ159" s="449"/>
      <c r="IA159" s="449"/>
      <c r="IB159" s="449"/>
      <c r="IC159" s="449"/>
      <c r="ID159" s="449"/>
      <c r="IE159" s="449"/>
      <c r="IF159" s="449"/>
      <c r="IG159" s="449"/>
      <c r="IH159" s="449"/>
      <c r="II159" s="449"/>
      <c r="IJ159" s="449"/>
      <c r="IK159" s="449"/>
      <c r="IL159" s="449"/>
      <c r="IM159" s="449"/>
      <c r="IN159" s="449"/>
      <c r="IO159" s="449"/>
      <c r="IP159" s="449"/>
      <c r="IQ159" s="449"/>
      <c r="IR159" s="449"/>
      <c r="IS159" s="449"/>
      <c r="IT159" s="449"/>
      <c r="IU159" s="449"/>
      <c r="IV159" s="449"/>
      <c r="IW159" s="449"/>
      <c r="IX159" s="449"/>
    </row>
    <row r="160" spans="3:258" x14ac:dyDescent="0.2">
      <c r="C160" s="392" t="s">
        <v>1103</v>
      </c>
      <c r="D160" s="393" t="s">
        <v>877</v>
      </c>
      <c r="E160" s="410" t="s">
        <v>1104</v>
      </c>
      <c r="F160" s="410"/>
      <c r="G160" s="393">
        <v>1000</v>
      </c>
      <c r="H160" s="393">
        <v>260</v>
      </c>
      <c r="I160" s="393">
        <v>260</v>
      </c>
      <c r="J160" s="393">
        <v>28.41</v>
      </c>
      <c r="K160" s="452">
        <v>6168</v>
      </c>
      <c r="L160" s="453">
        <f t="shared" si="4"/>
        <v>4317.5999999999995</v>
      </c>
      <c r="M160" s="449"/>
      <c r="N160" s="449"/>
      <c r="O160" s="449"/>
      <c r="P160" s="449"/>
      <c r="Q160" s="449"/>
      <c r="R160" s="449"/>
      <c r="S160" s="449"/>
      <c r="T160" s="449"/>
      <c r="U160" s="449"/>
      <c r="V160" s="449"/>
      <c r="W160" s="449"/>
      <c r="X160" s="449"/>
      <c r="Y160" s="449"/>
      <c r="Z160" s="449"/>
      <c r="AA160" s="449"/>
      <c r="AB160" s="449"/>
      <c r="AC160" s="449"/>
      <c r="AD160" s="449"/>
      <c r="AE160" s="449"/>
      <c r="AF160" s="449"/>
      <c r="AG160" s="449"/>
      <c r="AH160" s="449"/>
      <c r="AI160" s="449"/>
      <c r="AJ160" s="449"/>
      <c r="AK160" s="449"/>
      <c r="AL160" s="449"/>
      <c r="AM160" s="449"/>
      <c r="AN160" s="449"/>
      <c r="AO160" s="449"/>
      <c r="AP160" s="449"/>
      <c r="AQ160" s="449"/>
      <c r="AR160" s="449"/>
      <c r="AS160" s="449"/>
      <c r="AT160" s="449"/>
      <c r="AU160" s="449"/>
      <c r="AV160" s="449"/>
      <c r="AW160" s="449"/>
      <c r="AX160" s="449"/>
      <c r="AY160" s="449"/>
      <c r="AZ160" s="449"/>
      <c r="BA160" s="449"/>
      <c r="BB160" s="449"/>
      <c r="BC160" s="449"/>
      <c r="BD160" s="449"/>
      <c r="BE160" s="449"/>
      <c r="BF160" s="449"/>
      <c r="BG160" s="449"/>
      <c r="BH160" s="449"/>
      <c r="BI160" s="449"/>
      <c r="BJ160" s="449"/>
      <c r="BK160" s="449"/>
      <c r="BL160" s="449"/>
      <c r="BM160" s="449"/>
      <c r="BN160" s="449"/>
      <c r="BO160" s="449"/>
      <c r="BP160" s="449"/>
      <c r="BQ160" s="449"/>
      <c r="BR160" s="449"/>
      <c r="BS160" s="449"/>
      <c r="BT160" s="449"/>
      <c r="BU160" s="449"/>
      <c r="BV160" s="449"/>
      <c r="BW160" s="449"/>
      <c r="BX160" s="449"/>
      <c r="BY160" s="449"/>
      <c r="BZ160" s="449"/>
      <c r="CA160" s="449"/>
      <c r="CB160" s="449"/>
      <c r="CC160" s="449"/>
      <c r="CD160" s="449"/>
      <c r="CE160" s="449"/>
      <c r="CF160" s="449"/>
      <c r="CG160" s="449"/>
      <c r="CH160" s="449"/>
      <c r="CI160" s="449"/>
      <c r="CJ160" s="449"/>
      <c r="CK160" s="449"/>
      <c r="CL160" s="449"/>
      <c r="CM160" s="449"/>
      <c r="CN160" s="449"/>
      <c r="CO160" s="449"/>
      <c r="CP160" s="449"/>
      <c r="CQ160" s="449"/>
      <c r="CR160" s="449"/>
      <c r="CS160" s="449"/>
      <c r="CT160" s="449"/>
      <c r="CU160" s="449"/>
      <c r="CV160" s="449"/>
      <c r="CW160" s="449"/>
      <c r="CX160" s="449"/>
      <c r="CY160" s="449"/>
      <c r="CZ160" s="449"/>
      <c r="DA160" s="449"/>
      <c r="DB160" s="449"/>
      <c r="DC160" s="449"/>
      <c r="DD160" s="449"/>
      <c r="DE160" s="449"/>
      <c r="DF160" s="449"/>
      <c r="DG160" s="449"/>
      <c r="DH160" s="449"/>
      <c r="DI160" s="449"/>
      <c r="DJ160" s="449"/>
      <c r="DK160" s="449"/>
      <c r="DL160" s="449"/>
      <c r="DM160" s="449"/>
      <c r="DN160" s="449"/>
      <c r="DO160" s="449"/>
      <c r="DP160" s="449"/>
      <c r="DQ160" s="449"/>
      <c r="DR160" s="449"/>
      <c r="DS160" s="449"/>
      <c r="DT160" s="449"/>
      <c r="DU160" s="449"/>
      <c r="DV160" s="449"/>
      <c r="DW160" s="449"/>
      <c r="DX160" s="449"/>
      <c r="DY160" s="449"/>
      <c r="DZ160" s="449"/>
      <c r="EA160" s="449"/>
      <c r="EB160" s="449"/>
      <c r="EC160" s="449"/>
      <c r="ED160" s="449"/>
      <c r="EE160" s="449"/>
      <c r="EF160" s="449"/>
      <c r="EG160" s="449"/>
      <c r="EH160" s="449"/>
      <c r="EI160" s="449"/>
      <c r="EJ160" s="449"/>
      <c r="EK160" s="449"/>
      <c r="EL160" s="449"/>
      <c r="EM160" s="449"/>
      <c r="EN160" s="449"/>
      <c r="EO160" s="449"/>
      <c r="EP160" s="449"/>
      <c r="EQ160" s="449"/>
      <c r="ER160" s="449"/>
      <c r="ES160" s="449"/>
      <c r="ET160" s="449"/>
      <c r="EU160" s="449"/>
      <c r="EV160" s="449"/>
      <c r="EW160" s="449"/>
      <c r="EX160" s="449"/>
      <c r="EY160" s="449"/>
      <c r="EZ160" s="449"/>
      <c r="FA160" s="449"/>
      <c r="FB160" s="449"/>
      <c r="FC160" s="449"/>
      <c r="FD160" s="449"/>
      <c r="FE160" s="449"/>
      <c r="FF160" s="449"/>
      <c r="FG160" s="449"/>
      <c r="FH160" s="449"/>
      <c r="FI160" s="449"/>
      <c r="FJ160" s="449"/>
      <c r="FK160" s="449"/>
      <c r="FL160" s="449"/>
      <c r="FM160" s="449"/>
      <c r="FN160" s="449"/>
      <c r="FO160" s="449"/>
      <c r="FP160" s="449"/>
      <c r="FQ160" s="449"/>
      <c r="FR160" s="449"/>
      <c r="FS160" s="449"/>
      <c r="FT160" s="449"/>
      <c r="FU160" s="449"/>
      <c r="FV160" s="449"/>
      <c r="FW160" s="449"/>
      <c r="FX160" s="449"/>
      <c r="FY160" s="449"/>
      <c r="FZ160" s="449"/>
      <c r="GA160" s="449"/>
      <c r="GB160" s="449"/>
      <c r="GC160" s="449"/>
      <c r="GD160" s="449"/>
      <c r="GE160" s="449"/>
      <c r="GF160" s="449"/>
      <c r="GG160" s="449"/>
      <c r="GH160" s="449"/>
      <c r="GI160" s="449"/>
      <c r="GJ160" s="449"/>
      <c r="GK160" s="449"/>
      <c r="GL160" s="449"/>
      <c r="GM160" s="449"/>
      <c r="GN160" s="449"/>
      <c r="GO160" s="449"/>
      <c r="GP160" s="449"/>
      <c r="GQ160" s="449"/>
      <c r="GR160" s="449"/>
      <c r="GS160" s="449"/>
      <c r="GT160" s="449"/>
      <c r="GU160" s="449"/>
      <c r="GV160" s="449"/>
      <c r="GW160" s="449"/>
      <c r="GX160" s="449"/>
      <c r="GY160" s="449"/>
      <c r="GZ160" s="449"/>
      <c r="HA160" s="449"/>
      <c r="HB160" s="449"/>
      <c r="HC160" s="449"/>
      <c r="HD160" s="449"/>
      <c r="HE160" s="449"/>
      <c r="HF160" s="449"/>
      <c r="HG160" s="449"/>
      <c r="HH160" s="449"/>
      <c r="HI160" s="449"/>
      <c r="HJ160" s="449"/>
      <c r="HK160" s="449"/>
      <c r="HL160" s="449"/>
      <c r="HM160" s="449"/>
      <c r="HN160" s="449"/>
      <c r="HO160" s="449"/>
      <c r="HP160" s="449"/>
      <c r="HQ160" s="449"/>
      <c r="HR160" s="449"/>
      <c r="HS160" s="449"/>
      <c r="HT160" s="449"/>
      <c r="HU160" s="449"/>
      <c r="HV160" s="449"/>
      <c r="HW160" s="449"/>
      <c r="HX160" s="449"/>
      <c r="HY160" s="449"/>
      <c r="HZ160" s="449"/>
      <c r="IA160" s="449"/>
      <c r="IB160" s="449"/>
      <c r="IC160" s="449"/>
      <c r="ID160" s="449"/>
      <c r="IE160" s="449"/>
      <c r="IF160" s="449"/>
      <c r="IG160" s="449"/>
      <c r="IH160" s="449"/>
      <c r="II160" s="449"/>
      <c r="IJ160" s="449"/>
      <c r="IK160" s="449"/>
      <c r="IL160" s="449"/>
      <c r="IM160" s="449"/>
      <c r="IN160" s="449"/>
      <c r="IO160" s="449"/>
      <c r="IP160" s="449"/>
      <c r="IQ160" s="449"/>
      <c r="IR160" s="449"/>
      <c r="IS160" s="449"/>
      <c r="IT160" s="449"/>
      <c r="IU160" s="449"/>
      <c r="IV160" s="449"/>
      <c r="IW160" s="449"/>
      <c r="IX160" s="449"/>
    </row>
    <row r="161" spans="3:258" x14ac:dyDescent="0.2">
      <c r="C161" s="392" t="s">
        <v>1105</v>
      </c>
      <c r="D161" s="393" t="s">
        <v>877</v>
      </c>
      <c r="E161" s="410" t="s">
        <v>1106</v>
      </c>
      <c r="F161" s="410"/>
      <c r="G161" s="393">
        <v>1000</v>
      </c>
      <c r="H161" s="393">
        <v>260</v>
      </c>
      <c r="I161" s="393">
        <v>310</v>
      </c>
      <c r="J161" s="393">
        <v>32.840000000000003</v>
      </c>
      <c r="K161" s="452">
        <v>6611</v>
      </c>
      <c r="L161" s="453">
        <f t="shared" si="4"/>
        <v>4627.7</v>
      </c>
      <c r="M161" s="449"/>
      <c r="N161" s="449"/>
      <c r="O161" s="449"/>
      <c r="P161" s="449"/>
      <c r="Q161" s="449"/>
      <c r="R161" s="449"/>
      <c r="S161" s="449"/>
      <c r="T161" s="449"/>
      <c r="U161" s="449"/>
      <c r="V161" s="449"/>
      <c r="W161" s="449"/>
      <c r="X161" s="449"/>
      <c r="Y161" s="449"/>
      <c r="Z161" s="449"/>
      <c r="AA161" s="449"/>
      <c r="AB161" s="449"/>
      <c r="AC161" s="449"/>
      <c r="AD161" s="449"/>
      <c r="AE161" s="449"/>
      <c r="AF161" s="449"/>
      <c r="AG161" s="449"/>
      <c r="AH161" s="449"/>
      <c r="AI161" s="449"/>
      <c r="AJ161" s="449"/>
      <c r="AK161" s="449"/>
      <c r="AL161" s="449"/>
      <c r="AM161" s="449"/>
      <c r="AN161" s="449"/>
      <c r="AO161" s="449"/>
      <c r="AP161" s="449"/>
      <c r="AQ161" s="449"/>
      <c r="AR161" s="449"/>
      <c r="AS161" s="449"/>
      <c r="AT161" s="449"/>
      <c r="AU161" s="449"/>
      <c r="AV161" s="449"/>
      <c r="AW161" s="449"/>
      <c r="AX161" s="449"/>
      <c r="AY161" s="449"/>
      <c r="AZ161" s="449"/>
      <c r="BA161" s="449"/>
      <c r="BB161" s="449"/>
      <c r="BC161" s="449"/>
      <c r="BD161" s="449"/>
      <c r="BE161" s="449"/>
      <c r="BF161" s="449"/>
      <c r="BG161" s="449"/>
      <c r="BH161" s="449"/>
      <c r="BI161" s="449"/>
      <c r="BJ161" s="449"/>
      <c r="BK161" s="449"/>
      <c r="BL161" s="449"/>
      <c r="BM161" s="449"/>
      <c r="BN161" s="449"/>
      <c r="BO161" s="449"/>
      <c r="BP161" s="449"/>
      <c r="BQ161" s="449"/>
      <c r="BR161" s="449"/>
      <c r="BS161" s="449"/>
      <c r="BT161" s="449"/>
      <c r="BU161" s="449"/>
      <c r="BV161" s="449"/>
      <c r="BW161" s="449"/>
      <c r="BX161" s="449"/>
      <c r="BY161" s="449"/>
      <c r="BZ161" s="449"/>
      <c r="CA161" s="449"/>
      <c r="CB161" s="449"/>
      <c r="CC161" s="449"/>
      <c r="CD161" s="449"/>
      <c r="CE161" s="449"/>
      <c r="CF161" s="449"/>
      <c r="CG161" s="449"/>
      <c r="CH161" s="449"/>
      <c r="CI161" s="449"/>
      <c r="CJ161" s="449"/>
      <c r="CK161" s="449"/>
      <c r="CL161" s="449"/>
      <c r="CM161" s="449"/>
      <c r="CN161" s="449"/>
      <c r="CO161" s="449"/>
      <c r="CP161" s="449"/>
      <c r="CQ161" s="449"/>
      <c r="CR161" s="449"/>
      <c r="CS161" s="449"/>
      <c r="CT161" s="449"/>
      <c r="CU161" s="449"/>
      <c r="CV161" s="449"/>
      <c r="CW161" s="449"/>
      <c r="CX161" s="449"/>
      <c r="CY161" s="449"/>
      <c r="CZ161" s="449"/>
      <c r="DA161" s="449"/>
      <c r="DB161" s="449"/>
      <c r="DC161" s="449"/>
      <c r="DD161" s="449"/>
      <c r="DE161" s="449"/>
      <c r="DF161" s="449"/>
      <c r="DG161" s="449"/>
      <c r="DH161" s="449"/>
      <c r="DI161" s="449"/>
      <c r="DJ161" s="449"/>
      <c r="DK161" s="449"/>
      <c r="DL161" s="449"/>
      <c r="DM161" s="449"/>
      <c r="DN161" s="449"/>
      <c r="DO161" s="449"/>
      <c r="DP161" s="449"/>
      <c r="DQ161" s="449"/>
      <c r="DR161" s="449"/>
      <c r="DS161" s="449"/>
      <c r="DT161" s="449"/>
      <c r="DU161" s="449"/>
      <c r="DV161" s="449"/>
      <c r="DW161" s="449"/>
      <c r="DX161" s="449"/>
      <c r="DY161" s="449"/>
      <c r="DZ161" s="449"/>
      <c r="EA161" s="449"/>
      <c r="EB161" s="449"/>
      <c r="EC161" s="449"/>
      <c r="ED161" s="449"/>
      <c r="EE161" s="449"/>
      <c r="EF161" s="449"/>
      <c r="EG161" s="449"/>
      <c r="EH161" s="449"/>
      <c r="EI161" s="449"/>
      <c r="EJ161" s="449"/>
      <c r="EK161" s="449"/>
      <c r="EL161" s="449"/>
      <c r="EM161" s="449"/>
      <c r="EN161" s="449"/>
      <c r="EO161" s="449"/>
      <c r="EP161" s="449"/>
      <c r="EQ161" s="449"/>
      <c r="ER161" s="449"/>
      <c r="ES161" s="449"/>
      <c r="ET161" s="449"/>
      <c r="EU161" s="449"/>
      <c r="EV161" s="449"/>
      <c r="EW161" s="449"/>
      <c r="EX161" s="449"/>
      <c r="EY161" s="449"/>
      <c r="EZ161" s="449"/>
      <c r="FA161" s="449"/>
      <c r="FB161" s="449"/>
      <c r="FC161" s="449"/>
      <c r="FD161" s="449"/>
      <c r="FE161" s="449"/>
      <c r="FF161" s="449"/>
      <c r="FG161" s="449"/>
      <c r="FH161" s="449"/>
      <c r="FI161" s="449"/>
      <c r="FJ161" s="449"/>
      <c r="FK161" s="449"/>
      <c r="FL161" s="449"/>
      <c r="FM161" s="449"/>
      <c r="FN161" s="449"/>
      <c r="FO161" s="449"/>
      <c r="FP161" s="449"/>
      <c r="FQ161" s="449"/>
      <c r="FR161" s="449"/>
      <c r="FS161" s="449"/>
      <c r="FT161" s="449"/>
      <c r="FU161" s="449"/>
      <c r="FV161" s="449"/>
      <c r="FW161" s="449"/>
      <c r="FX161" s="449"/>
      <c r="FY161" s="449"/>
      <c r="FZ161" s="449"/>
      <c r="GA161" s="449"/>
      <c r="GB161" s="449"/>
      <c r="GC161" s="449"/>
      <c r="GD161" s="449"/>
      <c r="GE161" s="449"/>
      <c r="GF161" s="449"/>
      <c r="GG161" s="449"/>
      <c r="GH161" s="449"/>
      <c r="GI161" s="449"/>
      <c r="GJ161" s="449"/>
      <c r="GK161" s="449"/>
      <c r="GL161" s="449"/>
      <c r="GM161" s="449"/>
      <c r="GN161" s="449"/>
      <c r="GO161" s="449"/>
      <c r="GP161" s="449"/>
      <c r="GQ161" s="449"/>
      <c r="GR161" s="449"/>
      <c r="GS161" s="449"/>
      <c r="GT161" s="449"/>
      <c r="GU161" s="449"/>
      <c r="GV161" s="449"/>
      <c r="GW161" s="449"/>
      <c r="GX161" s="449"/>
      <c r="GY161" s="449"/>
      <c r="GZ161" s="449"/>
      <c r="HA161" s="449"/>
      <c r="HB161" s="449"/>
      <c r="HC161" s="449"/>
      <c r="HD161" s="449"/>
      <c r="HE161" s="449"/>
      <c r="HF161" s="449"/>
      <c r="HG161" s="449"/>
      <c r="HH161" s="449"/>
      <c r="HI161" s="449"/>
      <c r="HJ161" s="449"/>
      <c r="HK161" s="449"/>
      <c r="HL161" s="449"/>
      <c r="HM161" s="449"/>
      <c r="HN161" s="449"/>
      <c r="HO161" s="449"/>
      <c r="HP161" s="449"/>
      <c r="HQ161" s="449"/>
      <c r="HR161" s="449"/>
      <c r="HS161" s="449"/>
      <c r="HT161" s="449"/>
      <c r="HU161" s="449"/>
      <c r="HV161" s="449"/>
      <c r="HW161" s="449"/>
      <c r="HX161" s="449"/>
      <c r="HY161" s="449"/>
      <c r="HZ161" s="449"/>
      <c r="IA161" s="449"/>
      <c r="IB161" s="449"/>
      <c r="IC161" s="449"/>
      <c r="ID161" s="449"/>
      <c r="IE161" s="449"/>
      <c r="IF161" s="449"/>
      <c r="IG161" s="449"/>
      <c r="IH161" s="449"/>
      <c r="II161" s="449"/>
      <c r="IJ161" s="449"/>
      <c r="IK161" s="449"/>
      <c r="IL161" s="449"/>
      <c r="IM161" s="449"/>
      <c r="IN161" s="449"/>
      <c r="IO161" s="449"/>
      <c r="IP161" s="449"/>
      <c r="IQ161" s="449"/>
      <c r="IR161" s="449"/>
      <c r="IS161" s="449"/>
      <c r="IT161" s="449"/>
      <c r="IU161" s="449"/>
      <c r="IV161" s="449"/>
      <c r="IW161" s="449"/>
      <c r="IX161" s="449"/>
    </row>
    <row r="162" spans="3:258" x14ac:dyDescent="0.2">
      <c r="C162" s="392" t="s">
        <v>1107</v>
      </c>
      <c r="D162" s="393" t="s">
        <v>877</v>
      </c>
      <c r="E162" s="410" t="s">
        <v>1108</v>
      </c>
      <c r="F162" s="410"/>
      <c r="G162" s="393">
        <v>1000</v>
      </c>
      <c r="H162" s="393">
        <v>260</v>
      </c>
      <c r="I162" s="393">
        <v>360</v>
      </c>
      <c r="J162" s="393">
        <v>37.590000000000003</v>
      </c>
      <c r="K162" s="452">
        <v>7325</v>
      </c>
      <c r="L162" s="453">
        <f t="shared" si="4"/>
        <v>5127.5</v>
      </c>
      <c r="M162" s="449"/>
      <c r="N162" s="449"/>
      <c r="O162" s="449"/>
      <c r="P162" s="449"/>
      <c r="Q162" s="449"/>
      <c r="R162" s="449"/>
      <c r="S162" s="449"/>
      <c r="T162" s="449"/>
      <c r="U162" s="449"/>
      <c r="V162" s="449"/>
      <c r="W162" s="449"/>
      <c r="X162" s="449"/>
      <c r="Y162" s="449"/>
      <c r="Z162" s="449"/>
      <c r="AA162" s="449"/>
      <c r="AB162" s="449"/>
      <c r="AC162" s="449"/>
      <c r="AD162" s="449"/>
      <c r="AE162" s="449"/>
      <c r="AF162" s="449"/>
      <c r="AG162" s="449"/>
      <c r="AH162" s="449"/>
      <c r="AI162" s="449"/>
      <c r="AJ162" s="449"/>
      <c r="AK162" s="449"/>
      <c r="AL162" s="449"/>
      <c r="AM162" s="449"/>
      <c r="AN162" s="449"/>
      <c r="AO162" s="449"/>
      <c r="AP162" s="449"/>
      <c r="AQ162" s="449"/>
      <c r="AR162" s="449"/>
      <c r="AS162" s="449"/>
      <c r="AT162" s="449"/>
      <c r="AU162" s="449"/>
      <c r="AV162" s="449"/>
      <c r="AW162" s="449"/>
      <c r="AX162" s="449"/>
      <c r="AY162" s="449"/>
      <c r="AZ162" s="449"/>
      <c r="BA162" s="449"/>
      <c r="BB162" s="449"/>
      <c r="BC162" s="449"/>
      <c r="BD162" s="449"/>
      <c r="BE162" s="449"/>
      <c r="BF162" s="449"/>
      <c r="BG162" s="449"/>
      <c r="BH162" s="449"/>
      <c r="BI162" s="449"/>
      <c r="BJ162" s="449"/>
      <c r="BK162" s="449"/>
      <c r="BL162" s="449"/>
      <c r="BM162" s="449"/>
      <c r="BN162" s="449"/>
      <c r="BO162" s="449"/>
      <c r="BP162" s="449"/>
      <c r="BQ162" s="449"/>
      <c r="BR162" s="449"/>
      <c r="BS162" s="449"/>
      <c r="BT162" s="449"/>
      <c r="BU162" s="449"/>
      <c r="BV162" s="449"/>
      <c r="BW162" s="449"/>
      <c r="BX162" s="449"/>
      <c r="BY162" s="449"/>
      <c r="BZ162" s="449"/>
      <c r="CA162" s="449"/>
      <c r="CB162" s="449"/>
      <c r="CC162" s="449"/>
      <c r="CD162" s="449"/>
      <c r="CE162" s="449"/>
      <c r="CF162" s="449"/>
      <c r="CG162" s="449"/>
      <c r="CH162" s="449"/>
      <c r="CI162" s="449"/>
      <c r="CJ162" s="449"/>
      <c r="CK162" s="449"/>
      <c r="CL162" s="449"/>
      <c r="CM162" s="449"/>
      <c r="CN162" s="449"/>
      <c r="CO162" s="449"/>
      <c r="CP162" s="449"/>
      <c r="CQ162" s="449"/>
      <c r="CR162" s="449"/>
      <c r="CS162" s="449"/>
      <c r="CT162" s="449"/>
      <c r="CU162" s="449"/>
      <c r="CV162" s="449"/>
      <c r="CW162" s="449"/>
      <c r="CX162" s="449"/>
      <c r="CY162" s="449"/>
      <c r="CZ162" s="449"/>
      <c r="DA162" s="449"/>
      <c r="DB162" s="449"/>
      <c r="DC162" s="449"/>
      <c r="DD162" s="449"/>
      <c r="DE162" s="449"/>
      <c r="DF162" s="449"/>
      <c r="DG162" s="449"/>
      <c r="DH162" s="449"/>
      <c r="DI162" s="449"/>
      <c r="DJ162" s="449"/>
      <c r="DK162" s="449"/>
      <c r="DL162" s="449"/>
      <c r="DM162" s="449"/>
      <c r="DN162" s="449"/>
      <c r="DO162" s="449"/>
      <c r="DP162" s="449"/>
      <c r="DQ162" s="449"/>
      <c r="DR162" s="449"/>
      <c r="DS162" s="449"/>
      <c r="DT162" s="449"/>
      <c r="DU162" s="449"/>
      <c r="DV162" s="449"/>
      <c r="DW162" s="449"/>
      <c r="DX162" s="449"/>
      <c r="DY162" s="449"/>
      <c r="DZ162" s="449"/>
      <c r="EA162" s="449"/>
      <c r="EB162" s="449"/>
      <c r="EC162" s="449"/>
      <c r="ED162" s="449"/>
      <c r="EE162" s="449"/>
      <c r="EF162" s="449"/>
      <c r="EG162" s="449"/>
      <c r="EH162" s="449"/>
      <c r="EI162" s="449"/>
      <c r="EJ162" s="449"/>
      <c r="EK162" s="449"/>
      <c r="EL162" s="449"/>
      <c r="EM162" s="449"/>
      <c r="EN162" s="449"/>
      <c r="EO162" s="449"/>
      <c r="EP162" s="449"/>
      <c r="EQ162" s="449"/>
      <c r="ER162" s="449"/>
      <c r="ES162" s="449"/>
      <c r="ET162" s="449"/>
      <c r="EU162" s="449"/>
      <c r="EV162" s="449"/>
      <c r="EW162" s="449"/>
      <c r="EX162" s="449"/>
      <c r="EY162" s="449"/>
      <c r="EZ162" s="449"/>
      <c r="FA162" s="449"/>
      <c r="FB162" s="449"/>
      <c r="FC162" s="449"/>
      <c r="FD162" s="449"/>
      <c r="FE162" s="449"/>
      <c r="FF162" s="449"/>
      <c r="FG162" s="449"/>
      <c r="FH162" s="449"/>
      <c r="FI162" s="449"/>
      <c r="FJ162" s="449"/>
      <c r="FK162" s="449"/>
      <c r="FL162" s="449"/>
      <c r="FM162" s="449"/>
      <c r="FN162" s="449"/>
      <c r="FO162" s="449"/>
      <c r="FP162" s="449"/>
      <c r="FQ162" s="449"/>
      <c r="FR162" s="449"/>
      <c r="FS162" s="449"/>
      <c r="FT162" s="449"/>
      <c r="FU162" s="449"/>
      <c r="FV162" s="449"/>
      <c r="FW162" s="449"/>
      <c r="FX162" s="449"/>
      <c r="FY162" s="449"/>
      <c r="FZ162" s="449"/>
      <c r="GA162" s="449"/>
      <c r="GB162" s="449"/>
      <c r="GC162" s="449"/>
      <c r="GD162" s="449"/>
      <c r="GE162" s="449"/>
      <c r="GF162" s="449"/>
      <c r="GG162" s="449"/>
      <c r="GH162" s="449"/>
      <c r="GI162" s="449"/>
      <c r="GJ162" s="449"/>
      <c r="GK162" s="449"/>
      <c r="GL162" s="449"/>
      <c r="GM162" s="449"/>
      <c r="GN162" s="449"/>
      <c r="GO162" s="449"/>
      <c r="GP162" s="449"/>
      <c r="GQ162" s="449"/>
      <c r="GR162" s="449"/>
      <c r="GS162" s="449"/>
      <c r="GT162" s="449"/>
      <c r="GU162" s="449"/>
      <c r="GV162" s="449"/>
      <c r="GW162" s="449"/>
      <c r="GX162" s="449"/>
      <c r="GY162" s="449"/>
      <c r="GZ162" s="449"/>
      <c r="HA162" s="449"/>
      <c r="HB162" s="449"/>
      <c r="HC162" s="449"/>
      <c r="HD162" s="449"/>
      <c r="HE162" s="449"/>
      <c r="HF162" s="449"/>
      <c r="HG162" s="449"/>
      <c r="HH162" s="449"/>
      <c r="HI162" s="449"/>
      <c r="HJ162" s="449"/>
      <c r="HK162" s="449"/>
      <c r="HL162" s="449"/>
      <c r="HM162" s="449"/>
      <c r="HN162" s="449"/>
      <c r="HO162" s="449"/>
      <c r="HP162" s="449"/>
      <c r="HQ162" s="449"/>
      <c r="HR162" s="449"/>
      <c r="HS162" s="449"/>
      <c r="HT162" s="449"/>
      <c r="HU162" s="449"/>
      <c r="HV162" s="449"/>
      <c r="HW162" s="449"/>
      <c r="HX162" s="449"/>
      <c r="HY162" s="449"/>
      <c r="HZ162" s="449"/>
      <c r="IA162" s="449"/>
      <c r="IB162" s="449"/>
      <c r="IC162" s="449"/>
      <c r="ID162" s="449"/>
      <c r="IE162" s="449"/>
      <c r="IF162" s="449"/>
      <c r="IG162" s="449"/>
      <c r="IH162" s="449"/>
      <c r="II162" s="449"/>
      <c r="IJ162" s="449"/>
      <c r="IK162" s="449"/>
      <c r="IL162" s="449"/>
      <c r="IM162" s="449"/>
      <c r="IN162" s="449"/>
      <c r="IO162" s="449"/>
      <c r="IP162" s="449"/>
      <c r="IQ162" s="449"/>
      <c r="IR162" s="449"/>
      <c r="IS162" s="449"/>
      <c r="IT162" s="449"/>
      <c r="IU162" s="449"/>
      <c r="IV162" s="449"/>
      <c r="IW162" s="449"/>
      <c r="IX162" s="449"/>
    </row>
    <row r="163" spans="3:258" x14ac:dyDescent="0.2">
      <c r="C163" s="392" t="s">
        <v>1109</v>
      </c>
      <c r="D163" s="393" t="s">
        <v>877</v>
      </c>
      <c r="E163" s="410" t="s">
        <v>1110</v>
      </c>
      <c r="F163" s="410"/>
      <c r="G163" s="393">
        <v>500</v>
      </c>
      <c r="H163" s="393">
        <v>260</v>
      </c>
      <c r="I163" s="393">
        <v>600</v>
      </c>
      <c r="J163" s="393">
        <v>33.880000000000003</v>
      </c>
      <c r="K163" s="452">
        <v>7483</v>
      </c>
      <c r="L163" s="453">
        <f t="shared" si="4"/>
        <v>5238.0999999999995</v>
      </c>
      <c r="M163" s="449"/>
      <c r="N163" s="449"/>
      <c r="O163" s="449"/>
      <c r="P163" s="449"/>
      <c r="Q163" s="449"/>
      <c r="R163" s="449"/>
      <c r="S163" s="449"/>
      <c r="T163" s="449"/>
      <c r="U163" s="449"/>
      <c r="V163" s="449"/>
      <c r="W163" s="449"/>
      <c r="X163" s="449"/>
      <c r="Y163" s="449"/>
      <c r="Z163" s="449"/>
      <c r="AA163" s="449"/>
      <c r="AB163" s="449"/>
      <c r="AC163" s="449"/>
      <c r="AD163" s="449"/>
      <c r="AE163" s="449"/>
      <c r="AF163" s="449"/>
      <c r="AG163" s="449"/>
      <c r="AH163" s="449"/>
      <c r="AI163" s="449"/>
      <c r="AJ163" s="449"/>
      <c r="AK163" s="449"/>
      <c r="AL163" s="449"/>
      <c r="AM163" s="449"/>
      <c r="AN163" s="449"/>
      <c r="AO163" s="449"/>
      <c r="AP163" s="449"/>
      <c r="AQ163" s="449"/>
      <c r="AR163" s="449"/>
      <c r="AS163" s="449"/>
      <c r="AT163" s="449"/>
      <c r="AU163" s="449"/>
      <c r="AV163" s="449"/>
      <c r="AW163" s="449"/>
      <c r="AX163" s="449"/>
      <c r="AY163" s="449"/>
      <c r="AZ163" s="449"/>
      <c r="BA163" s="449"/>
      <c r="BB163" s="449"/>
      <c r="BC163" s="449"/>
      <c r="BD163" s="449"/>
      <c r="BE163" s="449"/>
      <c r="BF163" s="449"/>
      <c r="BG163" s="449"/>
      <c r="BH163" s="449"/>
      <c r="BI163" s="449"/>
      <c r="BJ163" s="449"/>
      <c r="BK163" s="449"/>
      <c r="BL163" s="449"/>
      <c r="BM163" s="449"/>
      <c r="BN163" s="449"/>
      <c r="BO163" s="449"/>
      <c r="BP163" s="449"/>
      <c r="BQ163" s="449"/>
      <c r="BR163" s="449"/>
      <c r="BS163" s="449"/>
      <c r="BT163" s="449"/>
      <c r="BU163" s="449"/>
      <c r="BV163" s="449"/>
      <c r="BW163" s="449"/>
      <c r="BX163" s="449"/>
      <c r="BY163" s="449"/>
      <c r="BZ163" s="449"/>
      <c r="CA163" s="449"/>
      <c r="CB163" s="449"/>
      <c r="CC163" s="449"/>
      <c r="CD163" s="449"/>
      <c r="CE163" s="449"/>
      <c r="CF163" s="449"/>
      <c r="CG163" s="449"/>
      <c r="CH163" s="449"/>
      <c r="CI163" s="449"/>
      <c r="CJ163" s="449"/>
      <c r="CK163" s="449"/>
      <c r="CL163" s="449"/>
      <c r="CM163" s="449"/>
      <c r="CN163" s="449"/>
      <c r="CO163" s="449"/>
      <c r="CP163" s="449"/>
      <c r="CQ163" s="449"/>
      <c r="CR163" s="449"/>
      <c r="CS163" s="449"/>
      <c r="CT163" s="449"/>
      <c r="CU163" s="449"/>
      <c r="CV163" s="449"/>
      <c r="CW163" s="449"/>
      <c r="CX163" s="449"/>
      <c r="CY163" s="449"/>
      <c r="CZ163" s="449"/>
      <c r="DA163" s="449"/>
      <c r="DB163" s="449"/>
      <c r="DC163" s="449"/>
      <c r="DD163" s="449"/>
      <c r="DE163" s="449"/>
      <c r="DF163" s="449"/>
      <c r="DG163" s="449"/>
      <c r="DH163" s="449"/>
      <c r="DI163" s="449"/>
      <c r="DJ163" s="449"/>
      <c r="DK163" s="449"/>
      <c r="DL163" s="449"/>
      <c r="DM163" s="449"/>
      <c r="DN163" s="449"/>
      <c r="DO163" s="449"/>
      <c r="DP163" s="449"/>
      <c r="DQ163" s="449"/>
      <c r="DR163" s="449"/>
      <c r="DS163" s="449"/>
      <c r="DT163" s="449"/>
      <c r="DU163" s="449"/>
      <c r="DV163" s="449"/>
      <c r="DW163" s="449"/>
      <c r="DX163" s="449"/>
      <c r="DY163" s="449"/>
      <c r="DZ163" s="449"/>
      <c r="EA163" s="449"/>
      <c r="EB163" s="449"/>
      <c r="EC163" s="449"/>
      <c r="ED163" s="449"/>
      <c r="EE163" s="449"/>
      <c r="EF163" s="449"/>
      <c r="EG163" s="449"/>
      <c r="EH163" s="449"/>
      <c r="EI163" s="449"/>
      <c r="EJ163" s="449"/>
      <c r="EK163" s="449"/>
      <c r="EL163" s="449"/>
      <c r="EM163" s="449"/>
      <c r="EN163" s="449"/>
      <c r="EO163" s="449"/>
      <c r="EP163" s="449"/>
      <c r="EQ163" s="449"/>
      <c r="ER163" s="449"/>
      <c r="ES163" s="449"/>
      <c r="ET163" s="449"/>
      <c r="EU163" s="449"/>
      <c r="EV163" s="449"/>
      <c r="EW163" s="449"/>
      <c r="EX163" s="449"/>
      <c r="EY163" s="449"/>
      <c r="EZ163" s="449"/>
      <c r="FA163" s="449"/>
      <c r="FB163" s="449"/>
      <c r="FC163" s="449"/>
      <c r="FD163" s="449"/>
      <c r="FE163" s="449"/>
      <c r="FF163" s="449"/>
      <c r="FG163" s="449"/>
      <c r="FH163" s="449"/>
      <c r="FI163" s="449"/>
      <c r="FJ163" s="449"/>
      <c r="FK163" s="449"/>
      <c r="FL163" s="449"/>
      <c r="FM163" s="449"/>
      <c r="FN163" s="449"/>
      <c r="FO163" s="449"/>
      <c r="FP163" s="449"/>
      <c r="FQ163" s="449"/>
      <c r="FR163" s="449"/>
      <c r="FS163" s="449"/>
      <c r="FT163" s="449"/>
      <c r="FU163" s="449"/>
      <c r="FV163" s="449"/>
      <c r="FW163" s="449"/>
      <c r="FX163" s="449"/>
      <c r="FY163" s="449"/>
      <c r="FZ163" s="449"/>
      <c r="GA163" s="449"/>
      <c r="GB163" s="449"/>
      <c r="GC163" s="449"/>
      <c r="GD163" s="449"/>
      <c r="GE163" s="449"/>
      <c r="GF163" s="449"/>
      <c r="GG163" s="449"/>
      <c r="GH163" s="449"/>
      <c r="GI163" s="449"/>
      <c r="GJ163" s="449"/>
      <c r="GK163" s="449"/>
      <c r="GL163" s="449"/>
      <c r="GM163" s="449"/>
      <c r="GN163" s="449"/>
      <c r="GO163" s="449"/>
      <c r="GP163" s="449"/>
      <c r="GQ163" s="449"/>
      <c r="GR163" s="449"/>
      <c r="GS163" s="449"/>
      <c r="GT163" s="449"/>
      <c r="GU163" s="449"/>
      <c r="GV163" s="449"/>
      <c r="GW163" s="449"/>
      <c r="GX163" s="449"/>
      <c r="GY163" s="449"/>
      <c r="GZ163" s="449"/>
      <c r="HA163" s="449"/>
      <c r="HB163" s="449"/>
      <c r="HC163" s="449"/>
      <c r="HD163" s="449"/>
      <c r="HE163" s="449"/>
      <c r="HF163" s="449"/>
      <c r="HG163" s="449"/>
      <c r="HH163" s="449"/>
      <c r="HI163" s="449"/>
      <c r="HJ163" s="449"/>
      <c r="HK163" s="449"/>
      <c r="HL163" s="449"/>
      <c r="HM163" s="449"/>
      <c r="HN163" s="449"/>
      <c r="HO163" s="449"/>
      <c r="HP163" s="449"/>
      <c r="HQ163" s="449"/>
      <c r="HR163" s="449"/>
      <c r="HS163" s="449"/>
      <c r="HT163" s="449"/>
      <c r="HU163" s="449"/>
      <c r="HV163" s="449"/>
      <c r="HW163" s="449"/>
      <c r="HX163" s="449"/>
      <c r="HY163" s="449"/>
      <c r="HZ163" s="449"/>
      <c r="IA163" s="449"/>
      <c r="IB163" s="449"/>
      <c r="IC163" s="449"/>
      <c r="ID163" s="449"/>
      <c r="IE163" s="449"/>
      <c r="IF163" s="449"/>
      <c r="IG163" s="449"/>
      <c r="IH163" s="449"/>
      <c r="II163" s="449"/>
      <c r="IJ163" s="449"/>
      <c r="IK163" s="449"/>
      <c r="IL163" s="449"/>
      <c r="IM163" s="449"/>
      <c r="IN163" s="449"/>
      <c r="IO163" s="449"/>
      <c r="IP163" s="449"/>
      <c r="IQ163" s="449"/>
      <c r="IR163" s="449"/>
      <c r="IS163" s="449"/>
      <c r="IT163" s="449"/>
      <c r="IU163" s="449"/>
      <c r="IV163" s="449"/>
      <c r="IW163" s="449"/>
      <c r="IX163" s="449"/>
    </row>
    <row r="164" spans="3:258" x14ac:dyDescent="0.2">
      <c r="C164" s="388" t="s">
        <v>1111</v>
      </c>
      <c r="D164" s="389"/>
      <c r="E164" s="389"/>
      <c r="F164" s="389"/>
      <c r="G164" s="389"/>
      <c r="H164" s="389"/>
      <c r="I164" s="389"/>
      <c r="J164" s="389"/>
      <c r="K164" s="390"/>
      <c r="L164" s="391" t="str">
        <f>IFERROR(K164/#REF!-1,"")</f>
        <v/>
      </c>
      <c r="M164" s="449"/>
      <c r="N164" s="449"/>
      <c r="O164" s="449"/>
      <c r="P164" s="449"/>
      <c r="Q164" s="449"/>
      <c r="R164" s="449"/>
      <c r="S164" s="449"/>
      <c r="T164" s="449"/>
      <c r="U164" s="449"/>
      <c r="V164" s="449"/>
      <c r="W164" s="449"/>
      <c r="X164" s="449"/>
      <c r="Y164" s="449"/>
      <c r="Z164" s="449"/>
      <c r="AA164" s="449"/>
      <c r="AB164" s="449"/>
      <c r="AC164" s="449"/>
      <c r="AD164" s="449"/>
      <c r="AE164" s="449"/>
      <c r="AF164" s="449"/>
      <c r="AG164" s="449"/>
      <c r="AH164" s="449"/>
      <c r="AI164" s="449"/>
      <c r="AJ164" s="449"/>
      <c r="AK164" s="449"/>
      <c r="AL164" s="449"/>
      <c r="AM164" s="449"/>
      <c r="AN164" s="449"/>
      <c r="AO164" s="449"/>
      <c r="AP164" s="449"/>
      <c r="AQ164" s="449"/>
      <c r="AR164" s="449"/>
      <c r="AS164" s="449"/>
      <c r="AT164" s="449"/>
      <c r="AU164" s="449"/>
      <c r="AV164" s="449"/>
      <c r="AW164" s="449"/>
      <c r="AX164" s="449"/>
      <c r="AY164" s="449"/>
      <c r="AZ164" s="449"/>
      <c r="BA164" s="449"/>
      <c r="BB164" s="449"/>
      <c r="BC164" s="449"/>
      <c r="BD164" s="449"/>
      <c r="BE164" s="449"/>
      <c r="BF164" s="449"/>
      <c r="BG164" s="449"/>
      <c r="BH164" s="449"/>
      <c r="BI164" s="449"/>
      <c r="BJ164" s="449"/>
      <c r="BK164" s="449"/>
      <c r="BL164" s="449"/>
      <c r="BM164" s="449"/>
      <c r="BN164" s="449"/>
      <c r="BO164" s="449"/>
      <c r="BP164" s="449"/>
      <c r="BQ164" s="449"/>
      <c r="BR164" s="449"/>
      <c r="BS164" s="449"/>
      <c r="BT164" s="449"/>
      <c r="BU164" s="449"/>
      <c r="BV164" s="449"/>
      <c r="BW164" s="449"/>
      <c r="BX164" s="449"/>
      <c r="BY164" s="449"/>
      <c r="BZ164" s="449"/>
      <c r="CA164" s="449"/>
      <c r="CB164" s="449"/>
      <c r="CC164" s="449"/>
      <c r="CD164" s="449"/>
      <c r="CE164" s="449"/>
      <c r="CF164" s="449"/>
      <c r="CG164" s="449"/>
      <c r="CH164" s="449"/>
      <c r="CI164" s="449"/>
      <c r="CJ164" s="449"/>
      <c r="CK164" s="449"/>
      <c r="CL164" s="449"/>
      <c r="CM164" s="449"/>
      <c r="CN164" s="449"/>
      <c r="CO164" s="449"/>
      <c r="CP164" s="449"/>
      <c r="CQ164" s="449"/>
      <c r="CR164" s="449"/>
      <c r="CS164" s="449"/>
      <c r="CT164" s="449"/>
      <c r="CU164" s="449"/>
      <c r="CV164" s="449"/>
      <c r="CW164" s="449"/>
      <c r="CX164" s="449"/>
      <c r="CY164" s="449"/>
      <c r="CZ164" s="449"/>
      <c r="DA164" s="449"/>
      <c r="DB164" s="449"/>
      <c r="DC164" s="449"/>
      <c r="DD164" s="449"/>
      <c r="DE164" s="449"/>
      <c r="DF164" s="449"/>
      <c r="DG164" s="449"/>
      <c r="DH164" s="449"/>
      <c r="DI164" s="449"/>
      <c r="DJ164" s="449"/>
      <c r="DK164" s="449"/>
      <c r="DL164" s="449"/>
      <c r="DM164" s="449"/>
      <c r="DN164" s="449"/>
      <c r="DO164" s="449"/>
      <c r="DP164" s="449"/>
      <c r="DQ164" s="449"/>
      <c r="DR164" s="449"/>
      <c r="DS164" s="449"/>
      <c r="DT164" s="449"/>
      <c r="DU164" s="449"/>
      <c r="DV164" s="449"/>
      <c r="DW164" s="449"/>
      <c r="DX164" s="449"/>
      <c r="DY164" s="449"/>
      <c r="DZ164" s="449"/>
      <c r="EA164" s="449"/>
      <c r="EB164" s="449"/>
      <c r="EC164" s="449"/>
      <c r="ED164" s="449"/>
      <c r="EE164" s="449"/>
      <c r="EF164" s="449"/>
      <c r="EG164" s="449"/>
      <c r="EH164" s="449"/>
      <c r="EI164" s="449"/>
      <c r="EJ164" s="449"/>
      <c r="EK164" s="449"/>
      <c r="EL164" s="449"/>
      <c r="EM164" s="449"/>
      <c r="EN164" s="449"/>
      <c r="EO164" s="449"/>
      <c r="EP164" s="449"/>
      <c r="EQ164" s="449"/>
      <c r="ER164" s="449"/>
      <c r="ES164" s="449"/>
      <c r="ET164" s="449"/>
      <c r="EU164" s="449"/>
      <c r="EV164" s="449"/>
      <c r="EW164" s="449"/>
      <c r="EX164" s="449"/>
      <c r="EY164" s="449"/>
      <c r="EZ164" s="449"/>
      <c r="FA164" s="449"/>
      <c r="FB164" s="449"/>
      <c r="FC164" s="449"/>
      <c r="FD164" s="449"/>
      <c r="FE164" s="449"/>
      <c r="FF164" s="449"/>
      <c r="FG164" s="449"/>
      <c r="FH164" s="449"/>
      <c r="FI164" s="449"/>
      <c r="FJ164" s="449"/>
      <c r="FK164" s="449"/>
      <c r="FL164" s="449"/>
      <c r="FM164" s="449"/>
      <c r="FN164" s="449"/>
      <c r="FO164" s="449"/>
      <c r="FP164" s="449"/>
      <c r="FQ164" s="449"/>
      <c r="FR164" s="449"/>
      <c r="FS164" s="449"/>
      <c r="FT164" s="449"/>
      <c r="FU164" s="449"/>
      <c r="FV164" s="449"/>
      <c r="FW164" s="449"/>
      <c r="FX164" s="449"/>
      <c r="FY164" s="449"/>
      <c r="FZ164" s="449"/>
      <c r="GA164" s="449"/>
      <c r="GB164" s="449"/>
      <c r="GC164" s="449"/>
      <c r="GD164" s="449"/>
      <c r="GE164" s="449"/>
      <c r="GF164" s="449"/>
      <c r="GG164" s="449"/>
      <c r="GH164" s="449"/>
      <c r="GI164" s="449"/>
      <c r="GJ164" s="449"/>
      <c r="GK164" s="449"/>
      <c r="GL164" s="449"/>
      <c r="GM164" s="449"/>
      <c r="GN164" s="449"/>
      <c r="GO164" s="449"/>
      <c r="GP164" s="449"/>
      <c r="GQ164" s="449"/>
      <c r="GR164" s="449"/>
      <c r="GS164" s="449"/>
      <c r="GT164" s="449"/>
      <c r="GU164" s="449"/>
      <c r="GV164" s="449"/>
      <c r="GW164" s="449"/>
      <c r="GX164" s="449"/>
      <c r="GY164" s="449"/>
      <c r="GZ164" s="449"/>
      <c r="HA164" s="449"/>
      <c r="HB164" s="449"/>
      <c r="HC164" s="449"/>
      <c r="HD164" s="449"/>
      <c r="HE164" s="449"/>
      <c r="HF164" s="449"/>
      <c r="HG164" s="449"/>
      <c r="HH164" s="449"/>
      <c r="HI164" s="449"/>
      <c r="HJ164" s="449"/>
      <c r="HK164" s="449"/>
      <c r="HL164" s="449"/>
      <c r="HM164" s="449"/>
      <c r="HN164" s="449"/>
      <c r="HO164" s="449"/>
      <c r="HP164" s="449"/>
      <c r="HQ164" s="449"/>
      <c r="HR164" s="449"/>
      <c r="HS164" s="449"/>
      <c r="HT164" s="449"/>
      <c r="HU164" s="449"/>
      <c r="HV164" s="449"/>
      <c r="HW164" s="449"/>
      <c r="HX164" s="449"/>
      <c r="HY164" s="449"/>
      <c r="HZ164" s="449"/>
      <c r="IA164" s="449"/>
      <c r="IB164" s="449"/>
      <c r="IC164" s="449"/>
      <c r="ID164" s="449"/>
      <c r="IE164" s="449"/>
      <c r="IF164" s="449"/>
      <c r="IG164" s="449"/>
      <c r="IH164" s="449"/>
      <c r="II164" s="449"/>
      <c r="IJ164" s="449"/>
      <c r="IK164" s="449"/>
      <c r="IL164" s="449"/>
      <c r="IM164" s="449"/>
      <c r="IN164" s="449"/>
      <c r="IO164" s="449"/>
      <c r="IP164" s="449"/>
      <c r="IQ164" s="449"/>
      <c r="IR164" s="449"/>
      <c r="IS164" s="449"/>
      <c r="IT164" s="449"/>
      <c r="IU164" s="449"/>
      <c r="IV164" s="449"/>
      <c r="IW164" s="449"/>
      <c r="IX164" s="449"/>
    </row>
    <row r="165" spans="3:258" x14ac:dyDescent="0.2">
      <c r="C165" s="392" t="s">
        <v>1003</v>
      </c>
      <c r="D165" s="393" t="s">
        <v>877</v>
      </c>
      <c r="E165" s="392" t="s">
        <v>1004</v>
      </c>
      <c r="F165" s="392"/>
      <c r="G165" s="393">
        <v>500</v>
      </c>
      <c r="H165" s="393">
        <v>250</v>
      </c>
      <c r="I165" s="393"/>
      <c r="J165" s="393">
        <v>8.16</v>
      </c>
      <c r="K165" s="397">
        <v>2480</v>
      </c>
      <c r="L165" s="398">
        <f>K165*0.65</f>
        <v>1612</v>
      </c>
      <c r="M165" s="449"/>
      <c r="N165" s="449"/>
      <c r="O165" s="449"/>
      <c r="P165" s="449"/>
      <c r="Q165" s="449"/>
      <c r="R165" s="449"/>
      <c r="S165" s="449"/>
      <c r="T165" s="449"/>
      <c r="U165" s="449"/>
      <c r="V165" s="449"/>
      <c r="W165" s="449"/>
      <c r="X165" s="449"/>
      <c r="Y165" s="449"/>
      <c r="Z165" s="449"/>
      <c r="AA165" s="449"/>
      <c r="AB165" s="449"/>
      <c r="AC165" s="449"/>
      <c r="AD165" s="449"/>
      <c r="AE165" s="449"/>
      <c r="AF165" s="449"/>
      <c r="AG165" s="449"/>
      <c r="AH165" s="449"/>
      <c r="AI165" s="449"/>
      <c r="AJ165" s="449"/>
      <c r="AK165" s="449"/>
      <c r="AL165" s="449"/>
      <c r="AM165" s="449"/>
      <c r="AN165" s="449"/>
      <c r="AO165" s="449"/>
      <c r="AP165" s="449"/>
      <c r="AQ165" s="449"/>
      <c r="AR165" s="449"/>
      <c r="AS165" s="449"/>
      <c r="AT165" s="449"/>
      <c r="AU165" s="449"/>
      <c r="AV165" s="449"/>
      <c r="AW165" s="449"/>
      <c r="AX165" s="449"/>
      <c r="AY165" s="449"/>
      <c r="AZ165" s="449"/>
      <c r="BA165" s="449"/>
      <c r="BB165" s="449"/>
      <c r="BC165" s="449"/>
      <c r="BD165" s="449"/>
      <c r="BE165" s="449"/>
      <c r="BF165" s="449"/>
      <c r="BG165" s="449"/>
      <c r="BH165" s="449"/>
      <c r="BI165" s="449"/>
      <c r="BJ165" s="449"/>
      <c r="BK165" s="449"/>
      <c r="BL165" s="449"/>
      <c r="BM165" s="449"/>
      <c r="BN165" s="449"/>
      <c r="BO165" s="449"/>
      <c r="BP165" s="449"/>
      <c r="BQ165" s="449"/>
      <c r="BR165" s="449"/>
      <c r="BS165" s="449"/>
      <c r="BT165" s="449"/>
      <c r="BU165" s="449"/>
      <c r="BV165" s="449"/>
      <c r="BW165" s="449"/>
      <c r="BX165" s="449"/>
      <c r="BY165" s="449"/>
      <c r="BZ165" s="449"/>
      <c r="CA165" s="449"/>
      <c r="CB165" s="449"/>
      <c r="CC165" s="449"/>
      <c r="CD165" s="449"/>
      <c r="CE165" s="449"/>
      <c r="CF165" s="449"/>
      <c r="CG165" s="449"/>
      <c r="CH165" s="449"/>
      <c r="CI165" s="449"/>
      <c r="CJ165" s="449"/>
      <c r="CK165" s="449"/>
      <c r="CL165" s="449"/>
      <c r="CM165" s="449"/>
      <c r="CN165" s="449"/>
      <c r="CO165" s="449"/>
      <c r="CP165" s="449"/>
      <c r="CQ165" s="449"/>
      <c r="CR165" s="449"/>
      <c r="CS165" s="449"/>
      <c r="CT165" s="449"/>
      <c r="CU165" s="449"/>
      <c r="CV165" s="449"/>
      <c r="CW165" s="449"/>
      <c r="CX165" s="449"/>
      <c r="CY165" s="449"/>
      <c r="CZ165" s="449"/>
      <c r="DA165" s="449"/>
      <c r="DB165" s="449"/>
      <c r="DC165" s="449"/>
      <c r="DD165" s="449"/>
      <c r="DE165" s="449"/>
      <c r="DF165" s="449"/>
      <c r="DG165" s="449"/>
      <c r="DH165" s="449"/>
      <c r="DI165" s="449"/>
      <c r="DJ165" s="449"/>
      <c r="DK165" s="449"/>
      <c r="DL165" s="449"/>
      <c r="DM165" s="449"/>
      <c r="DN165" s="449"/>
      <c r="DO165" s="449"/>
      <c r="DP165" s="449"/>
      <c r="DQ165" s="449"/>
      <c r="DR165" s="449"/>
      <c r="DS165" s="449"/>
      <c r="DT165" s="449"/>
      <c r="DU165" s="449"/>
      <c r="DV165" s="449"/>
      <c r="DW165" s="449"/>
      <c r="DX165" s="449"/>
      <c r="DY165" s="449"/>
      <c r="DZ165" s="449"/>
      <c r="EA165" s="449"/>
      <c r="EB165" s="449"/>
      <c r="EC165" s="449"/>
      <c r="ED165" s="449"/>
      <c r="EE165" s="449"/>
      <c r="EF165" s="449"/>
      <c r="EG165" s="449"/>
      <c r="EH165" s="449"/>
      <c r="EI165" s="449"/>
      <c r="EJ165" s="449"/>
      <c r="EK165" s="449"/>
      <c r="EL165" s="449"/>
      <c r="EM165" s="449"/>
      <c r="EN165" s="449"/>
      <c r="EO165" s="449"/>
      <c r="EP165" s="449"/>
      <c r="EQ165" s="449"/>
      <c r="ER165" s="449"/>
      <c r="ES165" s="449"/>
      <c r="ET165" s="449"/>
      <c r="EU165" s="449"/>
      <c r="EV165" s="449"/>
      <c r="EW165" s="449"/>
      <c r="EX165" s="449"/>
      <c r="EY165" s="449"/>
      <c r="EZ165" s="449"/>
      <c r="FA165" s="449"/>
      <c r="FB165" s="449"/>
      <c r="FC165" s="449"/>
      <c r="FD165" s="449"/>
      <c r="FE165" s="449"/>
      <c r="FF165" s="449"/>
      <c r="FG165" s="449"/>
      <c r="FH165" s="449"/>
      <c r="FI165" s="449"/>
      <c r="FJ165" s="449"/>
      <c r="FK165" s="449"/>
      <c r="FL165" s="449"/>
      <c r="FM165" s="449"/>
      <c r="FN165" s="449"/>
      <c r="FO165" s="449"/>
      <c r="FP165" s="449"/>
      <c r="FQ165" s="449"/>
      <c r="FR165" s="449"/>
      <c r="FS165" s="449"/>
      <c r="FT165" s="449"/>
      <c r="FU165" s="449"/>
      <c r="FV165" s="449"/>
      <c r="FW165" s="449"/>
      <c r="FX165" s="449"/>
      <c r="FY165" s="449"/>
      <c r="FZ165" s="449"/>
      <c r="GA165" s="449"/>
      <c r="GB165" s="449"/>
      <c r="GC165" s="449"/>
      <c r="GD165" s="449"/>
      <c r="GE165" s="449"/>
      <c r="GF165" s="449"/>
      <c r="GG165" s="449"/>
      <c r="GH165" s="449"/>
      <c r="GI165" s="449"/>
      <c r="GJ165" s="449"/>
      <c r="GK165" s="449"/>
      <c r="GL165" s="449"/>
      <c r="GM165" s="449"/>
      <c r="GN165" s="449"/>
      <c r="GO165" s="449"/>
      <c r="GP165" s="449"/>
      <c r="GQ165" s="449"/>
      <c r="GR165" s="449"/>
      <c r="GS165" s="449"/>
      <c r="GT165" s="449"/>
      <c r="GU165" s="449"/>
      <c r="GV165" s="449"/>
      <c r="GW165" s="449"/>
      <c r="GX165" s="449"/>
      <c r="GY165" s="449"/>
      <c r="GZ165" s="449"/>
      <c r="HA165" s="449"/>
      <c r="HB165" s="449"/>
      <c r="HC165" s="449"/>
      <c r="HD165" s="449"/>
      <c r="HE165" s="449"/>
      <c r="HF165" s="449"/>
      <c r="HG165" s="449"/>
      <c r="HH165" s="449"/>
      <c r="HI165" s="449"/>
      <c r="HJ165" s="449"/>
      <c r="HK165" s="449"/>
      <c r="HL165" s="449"/>
      <c r="HM165" s="449"/>
      <c r="HN165" s="449"/>
      <c r="HO165" s="449"/>
      <c r="HP165" s="449"/>
      <c r="HQ165" s="449"/>
      <c r="HR165" s="449"/>
      <c r="HS165" s="449"/>
      <c r="HT165" s="449"/>
      <c r="HU165" s="449"/>
      <c r="HV165" s="449"/>
      <c r="HW165" s="449"/>
      <c r="HX165" s="449"/>
      <c r="HY165" s="449"/>
      <c r="HZ165" s="449"/>
      <c r="IA165" s="449"/>
      <c r="IB165" s="449"/>
      <c r="IC165" s="449"/>
      <c r="ID165" s="449"/>
      <c r="IE165" s="449"/>
      <c r="IF165" s="449"/>
      <c r="IG165" s="449"/>
      <c r="IH165" s="449"/>
      <c r="II165" s="449"/>
      <c r="IJ165" s="449"/>
      <c r="IK165" s="449"/>
      <c r="IL165" s="449"/>
      <c r="IM165" s="449"/>
      <c r="IN165" s="449"/>
      <c r="IO165" s="449"/>
      <c r="IP165" s="449"/>
      <c r="IQ165" s="449"/>
      <c r="IR165" s="449"/>
      <c r="IS165" s="449"/>
      <c r="IT165" s="449"/>
      <c r="IU165" s="449"/>
      <c r="IV165" s="449"/>
      <c r="IW165" s="449"/>
      <c r="IX165" s="449"/>
    </row>
    <row r="166" spans="3:258" x14ac:dyDescent="0.2">
      <c r="C166" s="392" t="s">
        <v>1005</v>
      </c>
      <c r="D166" s="393" t="s">
        <v>1028</v>
      </c>
      <c r="E166" s="392" t="s">
        <v>1112</v>
      </c>
      <c r="F166" s="392"/>
      <c r="G166" s="393">
        <v>500</v>
      </c>
      <c r="H166" s="393">
        <v>250</v>
      </c>
      <c r="I166" s="393"/>
      <c r="J166" s="393"/>
      <c r="K166" s="397">
        <v>2760</v>
      </c>
      <c r="L166" s="398">
        <f>K166*0.65</f>
        <v>1794</v>
      </c>
      <c r="M166" s="449"/>
      <c r="N166" s="449"/>
      <c r="O166" s="449"/>
      <c r="P166" s="449"/>
      <c r="Q166" s="449"/>
      <c r="R166" s="449"/>
      <c r="S166" s="449"/>
      <c r="T166" s="449"/>
      <c r="U166" s="449"/>
      <c r="V166" s="449"/>
      <c r="W166" s="449"/>
      <c r="X166" s="449"/>
      <c r="Y166" s="449"/>
      <c r="Z166" s="449"/>
      <c r="AA166" s="449"/>
      <c r="AB166" s="449"/>
      <c r="AC166" s="449"/>
      <c r="AD166" s="449"/>
      <c r="AE166" s="449"/>
      <c r="AF166" s="449"/>
      <c r="AG166" s="449"/>
      <c r="AH166" s="449"/>
      <c r="AI166" s="449"/>
      <c r="AJ166" s="449"/>
      <c r="AK166" s="449"/>
      <c r="AL166" s="449"/>
      <c r="AM166" s="449"/>
      <c r="AN166" s="449"/>
      <c r="AO166" s="449"/>
      <c r="AP166" s="449"/>
      <c r="AQ166" s="449"/>
      <c r="AR166" s="449"/>
      <c r="AS166" s="449"/>
      <c r="AT166" s="449"/>
      <c r="AU166" s="449"/>
      <c r="AV166" s="449"/>
      <c r="AW166" s="449"/>
      <c r="AX166" s="449"/>
      <c r="AY166" s="449"/>
      <c r="AZ166" s="449"/>
      <c r="BA166" s="449"/>
      <c r="BB166" s="449"/>
      <c r="BC166" s="449"/>
      <c r="BD166" s="449"/>
      <c r="BE166" s="449"/>
      <c r="BF166" s="449"/>
      <c r="BG166" s="449"/>
      <c r="BH166" s="449"/>
      <c r="BI166" s="449"/>
      <c r="BJ166" s="449"/>
      <c r="BK166" s="449"/>
      <c r="BL166" s="449"/>
      <c r="BM166" s="449"/>
      <c r="BN166" s="449"/>
      <c r="BO166" s="449"/>
      <c r="BP166" s="449"/>
      <c r="BQ166" s="449"/>
      <c r="BR166" s="449"/>
      <c r="BS166" s="449"/>
      <c r="BT166" s="449"/>
      <c r="BU166" s="449"/>
      <c r="BV166" s="449"/>
      <c r="BW166" s="449"/>
      <c r="BX166" s="449"/>
      <c r="BY166" s="449"/>
      <c r="BZ166" s="449"/>
      <c r="CA166" s="449"/>
      <c r="CB166" s="449"/>
      <c r="CC166" s="449"/>
      <c r="CD166" s="449"/>
      <c r="CE166" s="449"/>
      <c r="CF166" s="449"/>
      <c r="CG166" s="449"/>
      <c r="CH166" s="449"/>
      <c r="CI166" s="449"/>
      <c r="CJ166" s="449"/>
      <c r="CK166" s="449"/>
      <c r="CL166" s="449"/>
      <c r="CM166" s="449"/>
      <c r="CN166" s="449"/>
      <c r="CO166" s="449"/>
      <c r="CP166" s="449"/>
      <c r="CQ166" s="449"/>
      <c r="CR166" s="449"/>
      <c r="CS166" s="449"/>
      <c r="CT166" s="449"/>
      <c r="CU166" s="449"/>
      <c r="CV166" s="449"/>
      <c r="CW166" s="449"/>
      <c r="CX166" s="449"/>
      <c r="CY166" s="449"/>
      <c r="CZ166" s="449"/>
      <c r="DA166" s="449"/>
      <c r="DB166" s="449"/>
      <c r="DC166" s="449"/>
      <c r="DD166" s="449"/>
      <c r="DE166" s="449"/>
      <c r="DF166" s="449"/>
      <c r="DG166" s="449"/>
      <c r="DH166" s="449"/>
      <c r="DI166" s="449"/>
      <c r="DJ166" s="449"/>
      <c r="DK166" s="449"/>
      <c r="DL166" s="449"/>
      <c r="DM166" s="449"/>
      <c r="DN166" s="449"/>
      <c r="DO166" s="449"/>
      <c r="DP166" s="449"/>
      <c r="DQ166" s="449"/>
      <c r="DR166" s="449"/>
      <c r="DS166" s="449"/>
      <c r="DT166" s="449"/>
      <c r="DU166" s="449"/>
      <c r="DV166" s="449"/>
      <c r="DW166" s="449"/>
      <c r="DX166" s="449"/>
      <c r="DY166" s="449"/>
      <c r="DZ166" s="449"/>
      <c r="EA166" s="449"/>
      <c r="EB166" s="449"/>
      <c r="EC166" s="449"/>
      <c r="ED166" s="449"/>
      <c r="EE166" s="449"/>
      <c r="EF166" s="449"/>
      <c r="EG166" s="449"/>
      <c r="EH166" s="449"/>
      <c r="EI166" s="449"/>
      <c r="EJ166" s="449"/>
      <c r="EK166" s="449"/>
      <c r="EL166" s="449"/>
      <c r="EM166" s="449"/>
      <c r="EN166" s="449"/>
      <c r="EO166" s="449"/>
      <c r="EP166" s="449"/>
      <c r="EQ166" s="449"/>
      <c r="ER166" s="449"/>
      <c r="ES166" s="449"/>
      <c r="ET166" s="449"/>
      <c r="EU166" s="449"/>
      <c r="EV166" s="449"/>
      <c r="EW166" s="449"/>
      <c r="EX166" s="449"/>
      <c r="EY166" s="449"/>
      <c r="EZ166" s="449"/>
      <c r="FA166" s="449"/>
      <c r="FB166" s="449"/>
      <c r="FC166" s="449"/>
      <c r="FD166" s="449"/>
      <c r="FE166" s="449"/>
      <c r="FF166" s="449"/>
      <c r="FG166" s="449"/>
      <c r="FH166" s="449"/>
      <c r="FI166" s="449"/>
      <c r="FJ166" s="449"/>
      <c r="FK166" s="449"/>
      <c r="FL166" s="449"/>
      <c r="FM166" s="449"/>
      <c r="FN166" s="449"/>
      <c r="FO166" s="449"/>
      <c r="FP166" s="449"/>
      <c r="FQ166" s="449"/>
      <c r="FR166" s="449"/>
      <c r="FS166" s="449"/>
      <c r="FT166" s="449"/>
      <c r="FU166" s="449"/>
      <c r="FV166" s="449"/>
      <c r="FW166" s="449"/>
      <c r="FX166" s="449"/>
      <c r="FY166" s="449"/>
      <c r="FZ166" s="449"/>
      <c r="GA166" s="449"/>
      <c r="GB166" s="449"/>
      <c r="GC166" s="449"/>
      <c r="GD166" s="449"/>
      <c r="GE166" s="449"/>
      <c r="GF166" s="449"/>
      <c r="GG166" s="449"/>
      <c r="GH166" s="449"/>
      <c r="GI166" s="449"/>
      <c r="GJ166" s="449"/>
      <c r="GK166" s="449"/>
      <c r="GL166" s="449"/>
      <c r="GM166" s="449"/>
      <c r="GN166" s="449"/>
      <c r="GO166" s="449"/>
      <c r="GP166" s="449"/>
      <c r="GQ166" s="449"/>
      <c r="GR166" s="449"/>
      <c r="GS166" s="449"/>
      <c r="GT166" s="449"/>
      <c r="GU166" s="449"/>
      <c r="GV166" s="449"/>
      <c r="GW166" s="449"/>
      <c r="GX166" s="449"/>
      <c r="GY166" s="449"/>
      <c r="GZ166" s="449"/>
      <c r="HA166" s="449"/>
      <c r="HB166" s="449"/>
      <c r="HC166" s="449"/>
      <c r="HD166" s="449"/>
      <c r="HE166" s="449"/>
      <c r="HF166" s="449"/>
      <c r="HG166" s="449"/>
      <c r="HH166" s="449"/>
      <c r="HI166" s="449"/>
      <c r="HJ166" s="449"/>
      <c r="HK166" s="449"/>
      <c r="HL166" s="449"/>
      <c r="HM166" s="449"/>
      <c r="HN166" s="449"/>
      <c r="HO166" s="449"/>
      <c r="HP166" s="449"/>
      <c r="HQ166" s="449"/>
      <c r="HR166" s="449"/>
      <c r="HS166" s="449"/>
      <c r="HT166" s="449"/>
      <c r="HU166" s="449"/>
      <c r="HV166" s="449"/>
      <c r="HW166" s="449"/>
      <c r="HX166" s="449"/>
      <c r="HY166" s="449"/>
      <c r="HZ166" s="449"/>
      <c r="IA166" s="449"/>
      <c r="IB166" s="449"/>
      <c r="IC166" s="449"/>
      <c r="ID166" s="449"/>
      <c r="IE166" s="449"/>
      <c r="IF166" s="449"/>
      <c r="IG166" s="449"/>
      <c r="IH166" s="449"/>
      <c r="II166" s="449"/>
      <c r="IJ166" s="449"/>
      <c r="IK166" s="449"/>
      <c r="IL166" s="449"/>
      <c r="IM166" s="449"/>
      <c r="IN166" s="449"/>
      <c r="IO166" s="449"/>
      <c r="IP166" s="449"/>
      <c r="IQ166" s="449"/>
      <c r="IR166" s="449"/>
      <c r="IS166" s="449"/>
      <c r="IT166" s="449"/>
      <c r="IU166" s="449"/>
      <c r="IV166" s="449"/>
      <c r="IW166" s="449"/>
      <c r="IX166" s="449"/>
    </row>
    <row r="167" spans="3:258" x14ac:dyDescent="0.2">
      <c r="C167" s="388" t="s">
        <v>1007</v>
      </c>
      <c r="D167" s="389"/>
      <c r="E167" s="389"/>
      <c r="F167" s="389"/>
      <c r="G167" s="389"/>
      <c r="H167" s="389"/>
      <c r="I167" s="389"/>
      <c r="J167" s="389"/>
      <c r="K167" s="390"/>
      <c r="L167" s="391" t="str">
        <f>IFERROR(K167/#REF!-1,"")</f>
        <v/>
      </c>
      <c r="M167" s="449"/>
      <c r="N167" s="449"/>
      <c r="O167" s="449"/>
      <c r="P167" s="449"/>
      <c r="Q167" s="449"/>
      <c r="R167" s="449"/>
      <c r="S167" s="449"/>
      <c r="T167" s="449"/>
      <c r="U167" s="449"/>
      <c r="V167" s="449"/>
      <c r="W167" s="449"/>
      <c r="X167" s="449"/>
      <c r="Y167" s="449"/>
      <c r="Z167" s="449"/>
      <c r="AA167" s="449"/>
      <c r="AB167" s="449"/>
      <c r="AC167" s="449"/>
      <c r="AD167" s="449"/>
      <c r="AE167" s="449"/>
      <c r="AF167" s="449"/>
      <c r="AG167" s="449"/>
      <c r="AH167" s="449"/>
      <c r="AI167" s="449"/>
      <c r="AJ167" s="449"/>
      <c r="AK167" s="449"/>
      <c r="AL167" s="449"/>
      <c r="AM167" s="449"/>
      <c r="AN167" s="449"/>
      <c r="AO167" s="449"/>
      <c r="AP167" s="449"/>
      <c r="AQ167" s="449"/>
      <c r="AR167" s="449"/>
      <c r="AS167" s="449"/>
      <c r="AT167" s="449"/>
      <c r="AU167" s="449"/>
      <c r="AV167" s="449"/>
      <c r="AW167" s="449"/>
      <c r="AX167" s="449"/>
      <c r="AY167" s="449"/>
      <c r="AZ167" s="449"/>
      <c r="BA167" s="449"/>
      <c r="BB167" s="449"/>
      <c r="BC167" s="449"/>
      <c r="BD167" s="449"/>
      <c r="BE167" s="449"/>
      <c r="BF167" s="449"/>
      <c r="BG167" s="449"/>
      <c r="BH167" s="449"/>
      <c r="BI167" s="449"/>
      <c r="BJ167" s="449"/>
      <c r="BK167" s="449"/>
      <c r="BL167" s="449"/>
      <c r="BM167" s="449"/>
      <c r="BN167" s="449"/>
      <c r="BO167" s="449"/>
      <c r="BP167" s="449"/>
      <c r="BQ167" s="449"/>
      <c r="BR167" s="449"/>
      <c r="BS167" s="449"/>
      <c r="BT167" s="449"/>
      <c r="BU167" s="449"/>
      <c r="BV167" s="449"/>
      <c r="BW167" s="449"/>
      <c r="BX167" s="449"/>
      <c r="BY167" s="449"/>
      <c r="BZ167" s="449"/>
      <c r="CA167" s="449"/>
      <c r="CB167" s="449"/>
      <c r="CC167" s="449"/>
      <c r="CD167" s="449"/>
      <c r="CE167" s="449"/>
      <c r="CF167" s="449"/>
      <c r="CG167" s="449"/>
      <c r="CH167" s="449"/>
      <c r="CI167" s="449"/>
      <c r="CJ167" s="449"/>
      <c r="CK167" s="449"/>
      <c r="CL167" s="449"/>
      <c r="CM167" s="449"/>
      <c r="CN167" s="449"/>
      <c r="CO167" s="449"/>
      <c r="CP167" s="449"/>
      <c r="CQ167" s="449"/>
      <c r="CR167" s="449"/>
      <c r="CS167" s="449"/>
      <c r="CT167" s="449"/>
      <c r="CU167" s="449"/>
      <c r="CV167" s="449"/>
      <c r="CW167" s="449"/>
      <c r="CX167" s="449"/>
      <c r="CY167" s="449"/>
      <c r="CZ167" s="449"/>
      <c r="DA167" s="449"/>
      <c r="DB167" s="449"/>
      <c r="DC167" s="449"/>
      <c r="DD167" s="449"/>
      <c r="DE167" s="449"/>
      <c r="DF167" s="449"/>
      <c r="DG167" s="449"/>
      <c r="DH167" s="449"/>
      <c r="DI167" s="449"/>
      <c r="DJ167" s="449"/>
      <c r="DK167" s="449"/>
      <c r="DL167" s="449"/>
      <c r="DM167" s="449"/>
      <c r="DN167" s="449"/>
      <c r="DO167" s="449"/>
      <c r="DP167" s="449"/>
      <c r="DQ167" s="449"/>
      <c r="DR167" s="449"/>
      <c r="DS167" s="449"/>
      <c r="DT167" s="449"/>
      <c r="DU167" s="449"/>
      <c r="DV167" s="449"/>
      <c r="DW167" s="449"/>
      <c r="DX167" s="449"/>
      <c r="DY167" s="449"/>
      <c r="DZ167" s="449"/>
      <c r="EA167" s="449"/>
      <c r="EB167" s="449"/>
      <c r="EC167" s="449"/>
      <c r="ED167" s="449"/>
      <c r="EE167" s="449"/>
      <c r="EF167" s="449"/>
      <c r="EG167" s="449"/>
      <c r="EH167" s="449"/>
      <c r="EI167" s="449"/>
      <c r="EJ167" s="449"/>
      <c r="EK167" s="449"/>
      <c r="EL167" s="449"/>
      <c r="EM167" s="449"/>
      <c r="EN167" s="449"/>
      <c r="EO167" s="449"/>
      <c r="EP167" s="449"/>
      <c r="EQ167" s="449"/>
      <c r="ER167" s="449"/>
      <c r="ES167" s="449"/>
      <c r="ET167" s="449"/>
      <c r="EU167" s="449"/>
      <c r="EV167" s="449"/>
      <c r="EW167" s="449"/>
      <c r="EX167" s="449"/>
      <c r="EY167" s="449"/>
      <c r="EZ167" s="449"/>
      <c r="FA167" s="449"/>
      <c r="FB167" s="449"/>
      <c r="FC167" s="449"/>
      <c r="FD167" s="449"/>
      <c r="FE167" s="449"/>
      <c r="FF167" s="449"/>
      <c r="FG167" s="449"/>
      <c r="FH167" s="449"/>
      <c r="FI167" s="449"/>
      <c r="FJ167" s="449"/>
      <c r="FK167" s="449"/>
      <c r="FL167" s="449"/>
      <c r="FM167" s="449"/>
      <c r="FN167" s="449"/>
      <c r="FO167" s="449"/>
      <c r="FP167" s="449"/>
      <c r="FQ167" s="449"/>
      <c r="FR167" s="449"/>
      <c r="FS167" s="449"/>
      <c r="FT167" s="449"/>
      <c r="FU167" s="449"/>
      <c r="FV167" s="449"/>
      <c r="FW167" s="449"/>
      <c r="FX167" s="449"/>
      <c r="FY167" s="449"/>
      <c r="FZ167" s="449"/>
      <c r="GA167" s="449"/>
      <c r="GB167" s="449"/>
      <c r="GC167" s="449"/>
      <c r="GD167" s="449"/>
      <c r="GE167" s="449"/>
      <c r="GF167" s="449"/>
      <c r="GG167" s="449"/>
      <c r="GH167" s="449"/>
      <c r="GI167" s="449"/>
      <c r="GJ167" s="449"/>
      <c r="GK167" s="449"/>
      <c r="GL167" s="449"/>
      <c r="GM167" s="449"/>
      <c r="GN167" s="449"/>
      <c r="GO167" s="449"/>
      <c r="GP167" s="449"/>
      <c r="GQ167" s="449"/>
      <c r="GR167" s="449"/>
      <c r="GS167" s="449"/>
      <c r="GT167" s="449"/>
      <c r="GU167" s="449"/>
      <c r="GV167" s="449"/>
      <c r="GW167" s="449"/>
      <c r="GX167" s="449"/>
      <c r="GY167" s="449"/>
      <c r="GZ167" s="449"/>
      <c r="HA167" s="449"/>
      <c r="HB167" s="449"/>
      <c r="HC167" s="449"/>
      <c r="HD167" s="449"/>
      <c r="HE167" s="449"/>
      <c r="HF167" s="449"/>
      <c r="HG167" s="449"/>
      <c r="HH167" s="449"/>
      <c r="HI167" s="449"/>
      <c r="HJ167" s="449"/>
      <c r="HK167" s="449"/>
      <c r="HL167" s="449"/>
      <c r="HM167" s="449"/>
      <c r="HN167" s="449"/>
      <c r="HO167" s="449"/>
      <c r="HP167" s="449"/>
      <c r="HQ167" s="449"/>
      <c r="HR167" s="449"/>
      <c r="HS167" s="449"/>
      <c r="HT167" s="449"/>
      <c r="HU167" s="449"/>
      <c r="HV167" s="449"/>
      <c r="HW167" s="449"/>
      <c r="HX167" s="449"/>
      <c r="HY167" s="449"/>
      <c r="HZ167" s="449"/>
      <c r="IA167" s="449"/>
      <c r="IB167" s="449"/>
      <c r="IC167" s="449"/>
      <c r="ID167" s="449"/>
      <c r="IE167" s="449"/>
      <c r="IF167" s="449"/>
      <c r="IG167" s="449"/>
      <c r="IH167" s="449"/>
      <c r="II167" s="449"/>
      <c r="IJ167" s="449"/>
      <c r="IK167" s="449"/>
      <c r="IL167" s="449"/>
      <c r="IM167" s="449"/>
      <c r="IN167" s="449"/>
      <c r="IO167" s="449"/>
      <c r="IP167" s="449"/>
      <c r="IQ167" s="449"/>
      <c r="IR167" s="449"/>
      <c r="IS167" s="449"/>
      <c r="IT167" s="449"/>
      <c r="IU167" s="449"/>
      <c r="IV167" s="449"/>
      <c r="IW167" s="449"/>
      <c r="IX167" s="449"/>
    </row>
    <row r="168" spans="3:258" x14ac:dyDescent="0.2">
      <c r="C168" s="392"/>
      <c r="D168" s="393"/>
      <c r="E168" s="392" t="s">
        <v>1113</v>
      </c>
      <c r="F168" s="392"/>
      <c r="G168" s="393"/>
      <c r="H168" s="393"/>
      <c r="I168" s="393"/>
      <c r="J168" s="393"/>
      <c r="K168" s="454">
        <v>15</v>
      </c>
      <c r="L168" s="455">
        <f>K168*0.75</f>
        <v>11.25</v>
      </c>
      <c r="M168" s="449"/>
      <c r="N168" s="449"/>
      <c r="O168" s="449"/>
      <c r="P168" s="449"/>
      <c r="Q168" s="449"/>
      <c r="R168" s="449"/>
      <c r="S168" s="449"/>
      <c r="T168" s="449"/>
      <c r="U168" s="449"/>
      <c r="V168" s="449"/>
      <c r="W168" s="449"/>
      <c r="X168" s="449"/>
      <c r="Y168" s="449"/>
      <c r="Z168" s="449"/>
      <c r="AA168" s="449"/>
      <c r="AB168" s="449"/>
      <c r="AC168" s="449"/>
      <c r="AD168" s="449"/>
      <c r="AE168" s="449"/>
      <c r="AF168" s="449"/>
      <c r="AG168" s="449"/>
      <c r="AH168" s="449"/>
      <c r="AI168" s="449"/>
      <c r="AJ168" s="449"/>
      <c r="AK168" s="449"/>
      <c r="AL168" s="449"/>
      <c r="AM168" s="449"/>
      <c r="AN168" s="449"/>
      <c r="AO168" s="449"/>
      <c r="AP168" s="449"/>
      <c r="AQ168" s="449"/>
      <c r="AR168" s="449"/>
      <c r="AS168" s="449"/>
      <c r="AT168" s="449"/>
      <c r="AU168" s="449"/>
      <c r="AV168" s="449"/>
      <c r="AW168" s="449"/>
      <c r="AX168" s="449"/>
      <c r="AY168" s="449"/>
      <c r="AZ168" s="449"/>
      <c r="BA168" s="449"/>
      <c r="BB168" s="449"/>
      <c r="BC168" s="449"/>
      <c r="BD168" s="449"/>
      <c r="BE168" s="449"/>
      <c r="BF168" s="449"/>
      <c r="BG168" s="449"/>
      <c r="BH168" s="449"/>
      <c r="BI168" s="449"/>
      <c r="BJ168" s="449"/>
      <c r="BK168" s="449"/>
      <c r="BL168" s="449"/>
      <c r="BM168" s="449"/>
      <c r="BN168" s="449"/>
      <c r="BO168" s="449"/>
      <c r="BP168" s="449"/>
      <c r="BQ168" s="449"/>
      <c r="BR168" s="449"/>
      <c r="BS168" s="449"/>
      <c r="BT168" s="449"/>
      <c r="BU168" s="449"/>
      <c r="BV168" s="449"/>
      <c r="BW168" s="449"/>
      <c r="BX168" s="449"/>
      <c r="BY168" s="449"/>
      <c r="BZ168" s="449"/>
      <c r="CA168" s="449"/>
      <c r="CB168" s="449"/>
      <c r="CC168" s="449"/>
      <c r="CD168" s="449"/>
      <c r="CE168" s="449"/>
      <c r="CF168" s="449"/>
      <c r="CG168" s="449"/>
      <c r="CH168" s="449"/>
      <c r="CI168" s="449"/>
      <c r="CJ168" s="449"/>
      <c r="CK168" s="449"/>
      <c r="CL168" s="449"/>
      <c r="CM168" s="449"/>
      <c r="CN168" s="449"/>
      <c r="CO168" s="449"/>
      <c r="CP168" s="449"/>
      <c r="CQ168" s="449"/>
      <c r="CR168" s="449"/>
      <c r="CS168" s="449"/>
      <c r="CT168" s="449"/>
      <c r="CU168" s="449"/>
      <c r="CV168" s="449"/>
      <c r="CW168" s="449"/>
      <c r="CX168" s="449"/>
      <c r="CY168" s="449"/>
      <c r="CZ168" s="449"/>
      <c r="DA168" s="449"/>
      <c r="DB168" s="449"/>
      <c r="DC168" s="449"/>
      <c r="DD168" s="449"/>
      <c r="DE168" s="449"/>
      <c r="DF168" s="449"/>
      <c r="DG168" s="449"/>
      <c r="DH168" s="449"/>
      <c r="DI168" s="449"/>
      <c r="DJ168" s="449"/>
      <c r="DK168" s="449"/>
      <c r="DL168" s="449"/>
      <c r="DM168" s="449"/>
      <c r="DN168" s="449"/>
      <c r="DO168" s="449"/>
      <c r="DP168" s="449"/>
      <c r="DQ168" s="449"/>
      <c r="DR168" s="449"/>
      <c r="DS168" s="449"/>
      <c r="DT168" s="449"/>
      <c r="DU168" s="449"/>
      <c r="DV168" s="449"/>
      <c r="DW168" s="449"/>
      <c r="DX168" s="449"/>
      <c r="DY168" s="449"/>
      <c r="DZ168" s="449"/>
      <c r="EA168" s="449"/>
      <c r="EB168" s="449"/>
      <c r="EC168" s="449"/>
      <c r="ED168" s="449"/>
      <c r="EE168" s="449"/>
      <c r="EF168" s="449"/>
      <c r="EG168" s="449"/>
      <c r="EH168" s="449"/>
      <c r="EI168" s="449"/>
      <c r="EJ168" s="449"/>
      <c r="EK168" s="449"/>
      <c r="EL168" s="449"/>
      <c r="EM168" s="449"/>
      <c r="EN168" s="449"/>
      <c r="EO168" s="449"/>
      <c r="EP168" s="449"/>
      <c r="EQ168" s="449"/>
      <c r="ER168" s="449"/>
      <c r="ES168" s="449"/>
      <c r="ET168" s="449"/>
      <c r="EU168" s="449"/>
      <c r="EV168" s="449"/>
      <c r="EW168" s="449"/>
      <c r="EX168" s="449"/>
      <c r="EY168" s="449"/>
      <c r="EZ168" s="449"/>
      <c r="FA168" s="449"/>
      <c r="FB168" s="449"/>
      <c r="FC168" s="449"/>
      <c r="FD168" s="449"/>
      <c r="FE168" s="449"/>
      <c r="FF168" s="449"/>
      <c r="FG168" s="449"/>
      <c r="FH168" s="449"/>
      <c r="FI168" s="449"/>
      <c r="FJ168" s="449"/>
      <c r="FK168" s="449"/>
      <c r="FL168" s="449"/>
      <c r="FM168" s="449"/>
      <c r="FN168" s="449"/>
      <c r="FO168" s="449"/>
      <c r="FP168" s="449"/>
      <c r="FQ168" s="449"/>
      <c r="FR168" s="449"/>
      <c r="FS168" s="449"/>
      <c r="FT168" s="449"/>
      <c r="FU168" s="449"/>
      <c r="FV168" s="449"/>
      <c r="FW168" s="449"/>
      <c r="FX168" s="449"/>
      <c r="FY168" s="449"/>
      <c r="FZ168" s="449"/>
      <c r="GA168" s="449"/>
      <c r="GB168" s="449"/>
      <c r="GC168" s="449"/>
      <c r="GD168" s="449"/>
      <c r="GE168" s="449"/>
      <c r="GF168" s="449"/>
      <c r="GG168" s="449"/>
      <c r="GH168" s="449"/>
      <c r="GI168" s="449"/>
      <c r="GJ168" s="449"/>
      <c r="GK168" s="449"/>
      <c r="GL168" s="449"/>
      <c r="GM168" s="449"/>
      <c r="GN168" s="449"/>
      <c r="GO168" s="449"/>
      <c r="GP168" s="449"/>
      <c r="GQ168" s="449"/>
      <c r="GR168" s="449"/>
      <c r="GS168" s="449"/>
      <c r="GT168" s="449"/>
      <c r="GU168" s="449"/>
      <c r="GV168" s="449"/>
      <c r="GW168" s="449"/>
      <c r="GX168" s="449"/>
      <c r="GY168" s="449"/>
      <c r="GZ168" s="449"/>
      <c r="HA168" s="449"/>
      <c r="HB168" s="449"/>
      <c r="HC168" s="449"/>
      <c r="HD168" s="449"/>
      <c r="HE168" s="449"/>
      <c r="HF168" s="449"/>
      <c r="HG168" s="449"/>
      <c r="HH168" s="449"/>
      <c r="HI168" s="449"/>
      <c r="HJ168" s="449"/>
      <c r="HK168" s="449"/>
      <c r="HL168" s="449"/>
      <c r="HM168" s="449"/>
      <c r="HN168" s="449"/>
      <c r="HO168" s="449"/>
      <c r="HP168" s="449"/>
      <c r="HQ168" s="449"/>
      <c r="HR168" s="449"/>
      <c r="HS168" s="449"/>
      <c r="HT168" s="449"/>
      <c r="HU168" s="449"/>
      <c r="HV168" s="449"/>
      <c r="HW168" s="449"/>
      <c r="HX168" s="449"/>
      <c r="HY168" s="449"/>
      <c r="HZ168" s="449"/>
      <c r="IA168" s="449"/>
      <c r="IB168" s="449"/>
      <c r="IC168" s="449"/>
      <c r="ID168" s="449"/>
      <c r="IE168" s="449"/>
      <c r="IF168" s="449"/>
      <c r="IG168" s="449"/>
      <c r="IH168" s="449"/>
      <c r="II168" s="449"/>
      <c r="IJ168" s="449"/>
      <c r="IK168" s="449"/>
      <c r="IL168" s="449"/>
      <c r="IM168" s="449"/>
      <c r="IN168" s="449"/>
      <c r="IO168" s="449"/>
      <c r="IP168" s="449"/>
      <c r="IQ168" s="449"/>
      <c r="IR168" s="449"/>
      <c r="IS168" s="449"/>
      <c r="IT168" s="449"/>
      <c r="IU168" s="449"/>
      <c r="IV168" s="449"/>
      <c r="IW168" s="449"/>
      <c r="IX168" s="449"/>
    </row>
    <row r="169" spans="3:258" x14ac:dyDescent="0.2">
      <c r="C169" s="392"/>
      <c r="D169" s="393"/>
      <c r="E169" s="392" t="s">
        <v>1114</v>
      </c>
      <c r="F169" s="392"/>
      <c r="G169" s="393"/>
      <c r="H169" s="393"/>
      <c r="I169" s="393"/>
      <c r="J169" s="393"/>
      <c r="K169" s="454">
        <v>15</v>
      </c>
      <c r="L169" s="455">
        <f>K169*0.75</f>
        <v>11.25</v>
      </c>
      <c r="M169" s="449"/>
      <c r="N169" s="449"/>
      <c r="O169" s="449"/>
      <c r="P169" s="449"/>
      <c r="Q169" s="449"/>
      <c r="R169" s="449"/>
      <c r="S169" s="449"/>
      <c r="T169" s="449"/>
      <c r="U169" s="449"/>
      <c r="V169" s="449"/>
      <c r="W169" s="449"/>
      <c r="X169" s="449"/>
      <c r="Y169" s="449"/>
      <c r="Z169" s="449"/>
      <c r="AA169" s="449"/>
      <c r="AB169" s="449"/>
      <c r="AC169" s="449"/>
      <c r="AD169" s="449"/>
      <c r="AE169" s="449"/>
      <c r="AF169" s="449"/>
      <c r="AG169" s="449"/>
      <c r="AH169" s="449"/>
      <c r="AI169" s="449"/>
      <c r="AJ169" s="449"/>
      <c r="AK169" s="449"/>
      <c r="AL169" s="449"/>
      <c r="AM169" s="449"/>
      <c r="AN169" s="449"/>
      <c r="AO169" s="449"/>
      <c r="AP169" s="449"/>
      <c r="AQ169" s="449"/>
      <c r="AR169" s="449"/>
      <c r="AS169" s="449"/>
      <c r="AT169" s="449"/>
      <c r="AU169" s="449"/>
      <c r="AV169" s="449"/>
      <c r="AW169" s="449"/>
      <c r="AX169" s="449"/>
      <c r="AY169" s="449"/>
      <c r="AZ169" s="449"/>
      <c r="BA169" s="449"/>
      <c r="BB169" s="449"/>
      <c r="BC169" s="449"/>
      <c r="BD169" s="449"/>
      <c r="BE169" s="449"/>
      <c r="BF169" s="449"/>
      <c r="BG169" s="449"/>
      <c r="BH169" s="449"/>
      <c r="BI169" s="449"/>
      <c r="BJ169" s="449"/>
      <c r="BK169" s="449"/>
      <c r="BL169" s="449"/>
      <c r="BM169" s="449"/>
      <c r="BN169" s="449"/>
      <c r="BO169" s="449"/>
      <c r="BP169" s="449"/>
      <c r="BQ169" s="449"/>
      <c r="BR169" s="449"/>
      <c r="BS169" s="449"/>
      <c r="BT169" s="449"/>
      <c r="BU169" s="449"/>
      <c r="BV169" s="449"/>
      <c r="BW169" s="449"/>
      <c r="BX169" s="449"/>
      <c r="BY169" s="449"/>
      <c r="BZ169" s="449"/>
      <c r="CA169" s="449"/>
      <c r="CB169" s="449"/>
      <c r="CC169" s="449"/>
      <c r="CD169" s="449"/>
      <c r="CE169" s="449"/>
      <c r="CF169" s="449"/>
      <c r="CG169" s="449"/>
      <c r="CH169" s="449"/>
      <c r="CI169" s="449"/>
      <c r="CJ169" s="449"/>
      <c r="CK169" s="449"/>
      <c r="CL169" s="449"/>
      <c r="CM169" s="449"/>
      <c r="CN169" s="449"/>
      <c r="CO169" s="449"/>
      <c r="CP169" s="449"/>
      <c r="CQ169" s="449"/>
      <c r="CR169" s="449"/>
      <c r="CS169" s="449"/>
      <c r="CT169" s="449"/>
      <c r="CU169" s="449"/>
      <c r="CV169" s="449"/>
      <c r="CW169" s="449"/>
      <c r="CX169" s="449"/>
      <c r="CY169" s="449"/>
      <c r="CZ169" s="449"/>
      <c r="DA169" s="449"/>
      <c r="DB169" s="449"/>
      <c r="DC169" s="449"/>
      <c r="DD169" s="449"/>
      <c r="DE169" s="449"/>
      <c r="DF169" s="449"/>
      <c r="DG169" s="449"/>
      <c r="DH169" s="449"/>
      <c r="DI169" s="449"/>
      <c r="DJ169" s="449"/>
      <c r="DK169" s="449"/>
      <c r="DL169" s="449"/>
      <c r="DM169" s="449"/>
      <c r="DN169" s="449"/>
      <c r="DO169" s="449"/>
      <c r="DP169" s="449"/>
      <c r="DQ169" s="449"/>
      <c r="DR169" s="449"/>
      <c r="DS169" s="449"/>
      <c r="DT169" s="449"/>
      <c r="DU169" s="449"/>
      <c r="DV169" s="449"/>
      <c r="DW169" s="449"/>
      <c r="DX169" s="449"/>
      <c r="DY169" s="449"/>
      <c r="DZ169" s="449"/>
      <c r="EA169" s="449"/>
      <c r="EB169" s="449"/>
      <c r="EC169" s="449"/>
      <c r="ED169" s="449"/>
      <c r="EE169" s="449"/>
      <c r="EF169" s="449"/>
      <c r="EG169" s="449"/>
      <c r="EH169" s="449"/>
      <c r="EI169" s="449"/>
      <c r="EJ169" s="449"/>
      <c r="EK169" s="449"/>
      <c r="EL169" s="449"/>
      <c r="EM169" s="449"/>
      <c r="EN169" s="449"/>
      <c r="EO169" s="449"/>
      <c r="EP169" s="449"/>
      <c r="EQ169" s="449"/>
      <c r="ER169" s="449"/>
      <c r="ES169" s="449"/>
      <c r="ET169" s="449"/>
      <c r="EU169" s="449"/>
      <c r="EV169" s="449"/>
      <c r="EW169" s="449"/>
      <c r="EX169" s="449"/>
      <c r="EY169" s="449"/>
      <c r="EZ169" s="449"/>
      <c r="FA169" s="449"/>
      <c r="FB169" s="449"/>
      <c r="FC169" s="449"/>
      <c r="FD169" s="449"/>
      <c r="FE169" s="449"/>
      <c r="FF169" s="449"/>
      <c r="FG169" s="449"/>
      <c r="FH169" s="449"/>
      <c r="FI169" s="449"/>
      <c r="FJ169" s="449"/>
      <c r="FK169" s="449"/>
      <c r="FL169" s="449"/>
      <c r="FM169" s="449"/>
      <c r="FN169" s="449"/>
      <c r="FO169" s="449"/>
      <c r="FP169" s="449"/>
      <c r="FQ169" s="449"/>
      <c r="FR169" s="449"/>
      <c r="FS169" s="449"/>
      <c r="FT169" s="449"/>
      <c r="FU169" s="449"/>
      <c r="FV169" s="449"/>
      <c r="FW169" s="449"/>
      <c r="FX169" s="449"/>
      <c r="FY169" s="449"/>
      <c r="FZ169" s="449"/>
      <c r="GA169" s="449"/>
      <c r="GB169" s="449"/>
      <c r="GC169" s="449"/>
      <c r="GD169" s="449"/>
      <c r="GE169" s="449"/>
      <c r="GF169" s="449"/>
      <c r="GG169" s="449"/>
      <c r="GH169" s="449"/>
      <c r="GI169" s="449"/>
      <c r="GJ169" s="449"/>
      <c r="GK169" s="449"/>
      <c r="GL169" s="449"/>
      <c r="GM169" s="449"/>
      <c r="GN169" s="449"/>
      <c r="GO169" s="449"/>
      <c r="GP169" s="449"/>
      <c r="GQ169" s="449"/>
      <c r="GR169" s="449"/>
      <c r="GS169" s="449"/>
      <c r="GT169" s="449"/>
      <c r="GU169" s="449"/>
      <c r="GV169" s="449"/>
      <c r="GW169" s="449"/>
      <c r="GX169" s="449"/>
      <c r="GY169" s="449"/>
      <c r="GZ169" s="449"/>
      <c r="HA169" s="449"/>
      <c r="HB169" s="449"/>
      <c r="HC169" s="449"/>
      <c r="HD169" s="449"/>
      <c r="HE169" s="449"/>
      <c r="HF169" s="449"/>
      <c r="HG169" s="449"/>
      <c r="HH169" s="449"/>
      <c r="HI169" s="449"/>
      <c r="HJ169" s="449"/>
      <c r="HK169" s="449"/>
      <c r="HL169" s="449"/>
      <c r="HM169" s="449"/>
      <c r="HN169" s="449"/>
      <c r="HO169" s="449"/>
      <c r="HP169" s="449"/>
      <c r="HQ169" s="449"/>
      <c r="HR169" s="449"/>
      <c r="HS169" s="449"/>
      <c r="HT169" s="449"/>
      <c r="HU169" s="449"/>
      <c r="HV169" s="449"/>
      <c r="HW169" s="449"/>
      <c r="HX169" s="449"/>
      <c r="HY169" s="449"/>
      <c r="HZ169" s="449"/>
      <c r="IA169" s="449"/>
      <c r="IB169" s="449"/>
      <c r="IC169" s="449"/>
      <c r="ID169" s="449"/>
      <c r="IE169" s="449"/>
      <c r="IF169" s="449"/>
      <c r="IG169" s="449"/>
      <c r="IH169" s="449"/>
      <c r="II169" s="449"/>
      <c r="IJ169" s="449"/>
      <c r="IK169" s="449"/>
      <c r="IL169" s="449"/>
      <c r="IM169" s="449"/>
      <c r="IN169" s="449"/>
      <c r="IO169" s="449"/>
      <c r="IP169" s="449"/>
      <c r="IQ169" s="449"/>
      <c r="IR169" s="449"/>
      <c r="IS169" s="449"/>
      <c r="IT169" s="449"/>
      <c r="IU169" s="449"/>
      <c r="IV169" s="449"/>
      <c r="IW169" s="449"/>
      <c r="IX169" s="449"/>
    </row>
    <row r="170" spans="3:258" x14ac:dyDescent="0.2">
      <c r="C170" s="384" t="s">
        <v>1010</v>
      </c>
      <c r="D170" s="385"/>
      <c r="E170" s="385"/>
      <c r="F170" s="385"/>
      <c r="G170" s="385"/>
      <c r="H170" s="385"/>
      <c r="I170" s="385"/>
      <c r="J170" s="385"/>
      <c r="K170" s="386"/>
      <c r="L170" s="387" t="str">
        <f>IFERROR(K170/#REF!-1,"")</f>
        <v/>
      </c>
      <c r="M170" s="449"/>
      <c r="N170" s="449"/>
      <c r="O170" s="449"/>
      <c r="P170" s="449"/>
      <c r="Q170" s="449"/>
      <c r="R170" s="449"/>
      <c r="S170" s="449"/>
      <c r="T170" s="449"/>
      <c r="U170" s="449"/>
      <c r="V170" s="449"/>
      <c r="W170" s="449"/>
      <c r="X170" s="449"/>
      <c r="Y170" s="449"/>
      <c r="Z170" s="449"/>
      <c r="AA170" s="449"/>
      <c r="AB170" s="449"/>
      <c r="AC170" s="449"/>
      <c r="AD170" s="449"/>
      <c r="AE170" s="449"/>
      <c r="AF170" s="449"/>
      <c r="AG170" s="449"/>
      <c r="AH170" s="449"/>
      <c r="AI170" s="449"/>
      <c r="AJ170" s="449"/>
      <c r="AK170" s="449"/>
      <c r="AL170" s="449"/>
      <c r="AM170" s="449"/>
      <c r="AN170" s="449"/>
      <c r="AO170" s="449"/>
      <c r="AP170" s="449"/>
      <c r="AQ170" s="449"/>
      <c r="AR170" s="449"/>
      <c r="AS170" s="449"/>
      <c r="AT170" s="449"/>
      <c r="AU170" s="449"/>
      <c r="AV170" s="449"/>
      <c r="AW170" s="449"/>
      <c r="AX170" s="449"/>
      <c r="AY170" s="449"/>
      <c r="AZ170" s="449"/>
      <c r="BA170" s="449"/>
      <c r="BB170" s="449"/>
      <c r="BC170" s="449"/>
      <c r="BD170" s="449"/>
      <c r="BE170" s="449"/>
      <c r="BF170" s="449"/>
      <c r="BG170" s="449"/>
      <c r="BH170" s="449"/>
      <c r="BI170" s="449"/>
      <c r="BJ170" s="449"/>
      <c r="BK170" s="449"/>
      <c r="BL170" s="449"/>
      <c r="BM170" s="449"/>
      <c r="BN170" s="449"/>
      <c r="BO170" s="449"/>
      <c r="BP170" s="449"/>
      <c r="BQ170" s="449"/>
      <c r="BR170" s="449"/>
      <c r="BS170" s="449"/>
      <c r="BT170" s="449"/>
      <c r="BU170" s="449"/>
      <c r="BV170" s="449"/>
      <c r="BW170" s="449"/>
      <c r="BX170" s="449"/>
      <c r="BY170" s="449"/>
      <c r="BZ170" s="449"/>
      <c r="CA170" s="449"/>
      <c r="CB170" s="449"/>
      <c r="CC170" s="449"/>
      <c r="CD170" s="449"/>
      <c r="CE170" s="449"/>
      <c r="CF170" s="449"/>
      <c r="CG170" s="449"/>
      <c r="CH170" s="449"/>
      <c r="CI170" s="449"/>
      <c r="CJ170" s="449"/>
      <c r="CK170" s="449"/>
      <c r="CL170" s="449"/>
      <c r="CM170" s="449"/>
      <c r="CN170" s="449"/>
      <c r="CO170" s="449"/>
      <c r="CP170" s="449"/>
      <c r="CQ170" s="449"/>
      <c r="CR170" s="449"/>
      <c r="CS170" s="449"/>
      <c r="CT170" s="449"/>
      <c r="CU170" s="449"/>
      <c r="CV170" s="449"/>
      <c r="CW170" s="449"/>
      <c r="CX170" s="449"/>
      <c r="CY170" s="449"/>
      <c r="CZ170" s="449"/>
      <c r="DA170" s="449"/>
      <c r="DB170" s="449"/>
      <c r="DC170" s="449"/>
      <c r="DD170" s="449"/>
      <c r="DE170" s="449"/>
      <c r="DF170" s="449"/>
      <c r="DG170" s="449"/>
      <c r="DH170" s="449"/>
      <c r="DI170" s="449"/>
      <c r="DJ170" s="449"/>
      <c r="DK170" s="449"/>
      <c r="DL170" s="449"/>
      <c r="DM170" s="449"/>
      <c r="DN170" s="449"/>
      <c r="DO170" s="449"/>
      <c r="DP170" s="449"/>
      <c r="DQ170" s="449"/>
      <c r="DR170" s="449"/>
      <c r="DS170" s="449"/>
      <c r="DT170" s="449"/>
      <c r="DU170" s="449"/>
      <c r="DV170" s="449"/>
      <c r="DW170" s="449"/>
      <c r="DX170" s="449"/>
      <c r="DY170" s="449"/>
      <c r="DZ170" s="449"/>
      <c r="EA170" s="449"/>
      <c r="EB170" s="449"/>
      <c r="EC170" s="449"/>
      <c r="ED170" s="449"/>
      <c r="EE170" s="449"/>
      <c r="EF170" s="449"/>
      <c r="EG170" s="449"/>
      <c r="EH170" s="449"/>
      <c r="EI170" s="449"/>
      <c r="EJ170" s="449"/>
      <c r="EK170" s="449"/>
      <c r="EL170" s="449"/>
      <c r="EM170" s="449"/>
      <c r="EN170" s="449"/>
      <c r="EO170" s="449"/>
      <c r="EP170" s="449"/>
      <c r="EQ170" s="449"/>
      <c r="ER170" s="449"/>
      <c r="ES170" s="449"/>
      <c r="ET170" s="449"/>
      <c r="EU170" s="449"/>
      <c r="EV170" s="449"/>
      <c r="EW170" s="449"/>
      <c r="EX170" s="449"/>
      <c r="EY170" s="449"/>
      <c r="EZ170" s="449"/>
      <c r="FA170" s="449"/>
      <c r="FB170" s="449"/>
      <c r="FC170" s="449"/>
      <c r="FD170" s="449"/>
      <c r="FE170" s="449"/>
      <c r="FF170" s="449"/>
      <c r="FG170" s="449"/>
      <c r="FH170" s="449"/>
      <c r="FI170" s="449"/>
      <c r="FJ170" s="449"/>
      <c r="FK170" s="449"/>
      <c r="FL170" s="449"/>
      <c r="FM170" s="449"/>
      <c r="FN170" s="449"/>
      <c r="FO170" s="449"/>
      <c r="FP170" s="449"/>
      <c r="FQ170" s="449"/>
      <c r="FR170" s="449"/>
      <c r="FS170" s="449"/>
      <c r="FT170" s="449"/>
      <c r="FU170" s="449"/>
      <c r="FV170" s="449"/>
      <c r="FW170" s="449"/>
      <c r="FX170" s="449"/>
      <c r="FY170" s="449"/>
      <c r="FZ170" s="449"/>
      <c r="GA170" s="449"/>
      <c r="GB170" s="449"/>
      <c r="GC170" s="449"/>
      <c r="GD170" s="449"/>
      <c r="GE170" s="449"/>
      <c r="GF170" s="449"/>
      <c r="GG170" s="449"/>
      <c r="GH170" s="449"/>
      <c r="GI170" s="449"/>
      <c r="GJ170" s="449"/>
      <c r="GK170" s="449"/>
      <c r="GL170" s="449"/>
      <c r="GM170" s="449"/>
      <c r="GN170" s="449"/>
      <c r="GO170" s="449"/>
      <c r="GP170" s="449"/>
      <c r="GQ170" s="449"/>
      <c r="GR170" s="449"/>
      <c r="GS170" s="449"/>
      <c r="GT170" s="449"/>
      <c r="GU170" s="449"/>
      <c r="GV170" s="449"/>
      <c r="GW170" s="449"/>
      <c r="GX170" s="449"/>
      <c r="GY170" s="449"/>
      <c r="GZ170" s="449"/>
      <c r="HA170" s="449"/>
      <c r="HB170" s="449"/>
      <c r="HC170" s="449"/>
      <c r="HD170" s="449"/>
      <c r="HE170" s="449"/>
      <c r="HF170" s="449"/>
      <c r="HG170" s="449"/>
      <c r="HH170" s="449"/>
      <c r="HI170" s="449"/>
      <c r="HJ170" s="449"/>
      <c r="HK170" s="449"/>
      <c r="HL170" s="449"/>
      <c r="HM170" s="449"/>
      <c r="HN170" s="449"/>
      <c r="HO170" s="449"/>
      <c r="HP170" s="449"/>
      <c r="HQ170" s="449"/>
      <c r="HR170" s="449"/>
      <c r="HS170" s="449"/>
      <c r="HT170" s="449"/>
      <c r="HU170" s="449"/>
      <c r="HV170" s="449"/>
      <c r="HW170" s="449"/>
      <c r="HX170" s="449"/>
      <c r="HY170" s="449"/>
      <c r="HZ170" s="449"/>
      <c r="IA170" s="449"/>
      <c r="IB170" s="449"/>
      <c r="IC170" s="449"/>
      <c r="ID170" s="449"/>
      <c r="IE170" s="449"/>
      <c r="IF170" s="449"/>
      <c r="IG170" s="449"/>
      <c r="IH170" s="449"/>
      <c r="II170" s="449"/>
      <c r="IJ170" s="449"/>
      <c r="IK170" s="449"/>
      <c r="IL170" s="449"/>
      <c r="IM170" s="449"/>
      <c r="IN170" s="449"/>
      <c r="IO170" s="449"/>
      <c r="IP170" s="449"/>
      <c r="IQ170" s="449"/>
      <c r="IR170" s="449"/>
      <c r="IS170" s="449"/>
      <c r="IT170" s="449"/>
      <c r="IU170" s="449"/>
      <c r="IV170" s="449"/>
      <c r="IW170" s="449"/>
      <c r="IX170" s="449"/>
    </row>
    <row r="171" spans="3:258" x14ac:dyDescent="0.2">
      <c r="C171" s="388" t="s">
        <v>1115</v>
      </c>
      <c r="D171" s="389"/>
      <c r="E171" s="389"/>
      <c r="F171" s="389"/>
      <c r="G171" s="389"/>
      <c r="H171" s="389"/>
      <c r="I171" s="389"/>
      <c r="J171" s="389"/>
      <c r="K171" s="390"/>
      <c r="L171" s="391" t="str">
        <f>IFERROR(K171/#REF!-1,"")</f>
        <v/>
      </c>
      <c r="M171" s="449"/>
      <c r="N171" s="449"/>
      <c r="O171" s="449"/>
      <c r="P171" s="449"/>
      <c r="Q171" s="449"/>
      <c r="R171" s="449"/>
      <c r="S171" s="449"/>
      <c r="T171" s="449"/>
      <c r="U171" s="449"/>
      <c r="V171" s="449"/>
      <c r="W171" s="449"/>
      <c r="X171" s="449"/>
      <c r="Y171" s="449"/>
      <c r="Z171" s="449"/>
      <c r="AA171" s="449"/>
      <c r="AB171" s="449"/>
      <c r="AC171" s="449"/>
      <c r="AD171" s="449"/>
      <c r="AE171" s="449"/>
      <c r="AF171" s="449"/>
      <c r="AG171" s="449"/>
      <c r="AH171" s="449"/>
      <c r="AI171" s="449"/>
      <c r="AJ171" s="449"/>
      <c r="AK171" s="449"/>
      <c r="AL171" s="449"/>
      <c r="AM171" s="449"/>
      <c r="AN171" s="449"/>
      <c r="AO171" s="449"/>
      <c r="AP171" s="449"/>
      <c r="AQ171" s="449"/>
      <c r="AR171" s="449"/>
      <c r="AS171" s="449"/>
      <c r="AT171" s="449"/>
      <c r="AU171" s="449"/>
      <c r="AV171" s="449"/>
      <c r="AW171" s="449"/>
      <c r="AX171" s="449"/>
      <c r="AY171" s="449"/>
      <c r="AZ171" s="449"/>
      <c r="BA171" s="449"/>
      <c r="BB171" s="449"/>
      <c r="BC171" s="449"/>
      <c r="BD171" s="449"/>
      <c r="BE171" s="449"/>
      <c r="BF171" s="449"/>
      <c r="BG171" s="449"/>
      <c r="BH171" s="449"/>
      <c r="BI171" s="449"/>
      <c r="BJ171" s="449"/>
      <c r="BK171" s="449"/>
      <c r="BL171" s="449"/>
      <c r="BM171" s="449"/>
      <c r="BN171" s="449"/>
      <c r="BO171" s="449"/>
      <c r="BP171" s="449"/>
      <c r="BQ171" s="449"/>
      <c r="BR171" s="449"/>
      <c r="BS171" s="449"/>
      <c r="BT171" s="449"/>
      <c r="BU171" s="449"/>
      <c r="BV171" s="449"/>
      <c r="BW171" s="449"/>
      <c r="BX171" s="449"/>
      <c r="BY171" s="449"/>
      <c r="BZ171" s="449"/>
      <c r="CA171" s="449"/>
      <c r="CB171" s="449"/>
      <c r="CC171" s="449"/>
      <c r="CD171" s="449"/>
      <c r="CE171" s="449"/>
      <c r="CF171" s="449"/>
      <c r="CG171" s="449"/>
      <c r="CH171" s="449"/>
      <c r="CI171" s="449"/>
      <c r="CJ171" s="449"/>
      <c r="CK171" s="449"/>
      <c r="CL171" s="449"/>
      <c r="CM171" s="449"/>
      <c r="CN171" s="449"/>
      <c r="CO171" s="449"/>
      <c r="CP171" s="449"/>
      <c r="CQ171" s="449"/>
      <c r="CR171" s="449"/>
      <c r="CS171" s="449"/>
      <c r="CT171" s="449"/>
      <c r="CU171" s="449"/>
      <c r="CV171" s="449"/>
      <c r="CW171" s="449"/>
      <c r="CX171" s="449"/>
      <c r="CY171" s="449"/>
      <c r="CZ171" s="449"/>
      <c r="DA171" s="449"/>
      <c r="DB171" s="449"/>
      <c r="DC171" s="449"/>
      <c r="DD171" s="449"/>
      <c r="DE171" s="449"/>
      <c r="DF171" s="449"/>
      <c r="DG171" s="449"/>
      <c r="DH171" s="449"/>
      <c r="DI171" s="449"/>
      <c r="DJ171" s="449"/>
      <c r="DK171" s="449"/>
      <c r="DL171" s="449"/>
      <c r="DM171" s="449"/>
      <c r="DN171" s="449"/>
      <c r="DO171" s="449"/>
      <c r="DP171" s="449"/>
      <c r="DQ171" s="449"/>
      <c r="DR171" s="449"/>
      <c r="DS171" s="449"/>
      <c r="DT171" s="449"/>
      <c r="DU171" s="449"/>
      <c r="DV171" s="449"/>
      <c r="DW171" s="449"/>
      <c r="DX171" s="449"/>
      <c r="DY171" s="449"/>
      <c r="DZ171" s="449"/>
      <c r="EA171" s="449"/>
      <c r="EB171" s="449"/>
      <c r="EC171" s="449"/>
      <c r="ED171" s="449"/>
      <c r="EE171" s="449"/>
      <c r="EF171" s="449"/>
      <c r="EG171" s="449"/>
      <c r="EH171" s="449"/>
      <c r="EI171" s="449"/>
      <c r="EJ171" s="449"/>
      <c r="EK171" s="449"/>
      <c r="EL171" s="449"/>
      <c r="EM171" s="449"/>
      <c r="EN171" s="449"/>
      <c r="EO171" s="449"/>
      <c r="EP171" s="449"/>
      <c r="EQ171" s="449"/>
      <c r="ER171" s="449"/>
      <c r="ES171" s="449"/>
      <c r="ET171" s="449"/>
      <c r="EU171" s="449"/>
      <c r="EV171" s="449"/>
      <c r="EW171" s="449"/>
      <c r="EX171" s="449"/>
      <c r="EY171" s="449"/>
      <c r="EZ171" s="449"/>
      <c r="FA171" s="449"/>
      <c r="FB171" s="449"/>
      <c r="FC171" s="449"/>
      <c r="FD171" s="449"/>
      <c r="FE171" s="449"/>
      <c r="FF171" s="449"/>
      <c r="FG171" s="449"/>
      <c r="FH171" s="449"/>
      <c r="FI171" s="449"/>
      <c r="FJ171" s="449"/>
      <c r="FK171" s="449"/>
      <c r="FL171" s="449"/>
      <c r="FM171" s="449"/>
      <c r="FN171" s="449"/>
      <c r="FO171" s="449"/>
      <c r="FP171" s="449"/>
      <c r="FQ171" s="449"/>
      <c r="FR171" s="449"/>
      <c r="FS171" s="449"/>
      <c r="FT171" s="449"/>
      <c r="FU171" s="449"/>
      <c r="FV171" s="449"/>
      <c r="FW171" s="449"/>
      <c r="FX171" s="449"/>
      <c r="FY171" s="449"/>
      <c r="FZ171" s="449"/>
      <c r="GA171" s="449"/>
      <c r="GB171" s="449"/>
      <c r="GC171" s="449"/>
      <c r="GD171" s="449"/>
      <c r="GE171" s="449"/>
      <c r="GF171" s="449"/>
      <c r="GG171" s="449"/>
      <c r="GH171" s="449"/>
      <c r="GI171" s="449"/>
      <c r="GJ171" s="449"/>
      <c r="GK171" s="449"/>
      <c r="GL171" s="449"/>
      <c r="GM171" s="449"/>
      <c r="GN171" s="449"/>
      <c r="GO171" s="449"/>
      <c r="GP171" s="449"/>
      <c r="GQ171" s="449"/>
      <c r="GR171" s="449"/>
      <c r="GS171" s="449"/>
      <c r="GT171" s="449"/>
      <c r="GU171" s="449"/>
      <c r="GV171" s="449"/>
      <c r="GW171" s="449"/>
      <c r="GX171" s="449"/>
      <c r="GY171" s="449"/>
      <c r="GZ171" s="449"/>
      <c r="HA171" s="449"/>
      <c r="HB171" s="449"/>
      <c r="HC171" s="449"/>
      <c r="HD171" s="449"/>
      <c r="HE171" s="449"/>
      <c r="HF171" s="449"/>
      <c r="HG171" s="449"/>
      <c r="HH171" s="449"/>
      <c r="HI171" s="449"/>
      <c r="HJ171" s="449"/>
      <c r="HK171" s="449"/>
      <c r="HL171" s="449"/>
      <c r="HM171" s="449"/>
      <c r="HN171" s="449"/>
      <c r="HO171" s="449"/>
      <c r="HP171" s="449"/>
      <c r="HQ171" s="449"/>
      <c r="HR171" s="449"/>
      <c r="HS171" s="449"/>
      <c r="HT171" s="449"/>
      <c r="HU171" s="449"/>
      <c r="HV171" s="449"/>
      <c r="HW171" s="449"/>
      <c r="HX171" s="449"/>
      <c r="HY171" s="449"/>
      <c r="HZ171" s="449"/>
      <c r="IA171" s="449"/>
      <c r="IB171" s="449"/>
      <c r="IC171" s="449"/>
      <c r="ID171" s="449"/>
      <c r="IE171" s="449"/>
      <c r="IF171" s="449"/>
      <c r="IG171" s="449"/>
      <c r="IH171" s="449"/>
      <c r="II171" s="449"/>
      <c r="IJ171" s="449"/>
      <c r="IK171" s="449"/>
      <c r="IL171" s="449"/>
      <c r="IM171" s="449"/>
      <c r="IN171" s="449"/>
      <c r="IO171" s="449"/>
      <c r="IP171" s="449"/>
      <c r="IQ171" s="449"/>
      <c r="IR171" s="449"/>
      <c r="IS171" s="449"/>
      <c r="IT171" s="449"/>
      <c r="IU171" s="449"/>
      <c r="IV171" s="449"/>
      <c r="IW171" s="449"/>
      <c r="IX171" s="449"/>
    </row>
    <row r="172" spans="3:258" x14ac:dyDescent="0.2">
      <c r="C172" s="410" t="s">
        <v>1116</v>
      </c>
      <c r="D172" s="393" t="s">
        <v>877</v>
      </c>
      <c r="E172" s="410" t="s">
        <v>1117</v>
      </c>
      <c r="F172" s="410"/>
      <c r="G172" s="393">
        <v>1000</v>
      </c>
      <c r="H172" s="393">
        <v>260</v>
      </c>
      <c r="I172" s="393">
        <v>100</v>
      </c>
      <c r="J172" s="393"/>
      <c r="K172" s="397">
        <v>9119</v>
      </c>
      <c r="L172" s="398">
        <f t="shared" ref="L172:L177" si="5">K172*0.7</f>
        <v>6383.2999999999993</v>
      </c>
      <c r="M172" s="449"/>
      <c r="N172" s="449"/>
      <c r="O172" s="449"/>
      <c r="P172" s="449"/>
      <c r="Q172" s="449"/>
      <c r="R172" s="449"/>
      <c r="S172" s="449"/>
      <c r="T172" s="449"/>
      <c r="U172" s="449"/>
      <c r="V172" s="449"/>
      <c r="W172" s="449"/>
      <c r="X172" s="449"/>
      <c r="Y172" s="449"/>
      <c r="Z172" s="449"/>
      <c r="AA172" s="449"/>
      <c r="AB172" s="449"/>
      <c r="AC172" s="449"/>
      <c r="AD172" s="449"/>
      <c r="AE172" s="449"/>
      <c r="AF172" s="449"/>
      <c r="AG172" s="449"/>
      <c r="AH172" s="449"/>
      <c r="AI172" s="449"/>
      <c r="AJ172" s="449"/>
      <c r="AK172" s="449"/>
      <c r="AL172" s="449"/>
      <c r="AM172" s="449"/>
      <c r="AN172" s="449"/>
      <c r="AO172" s="449"/>
      <c r="AP172" s="449"/>
      <c r="AQ172" s="449"/>
      <c r="AR172" s="449"/>
      <c r="AS172" s="449"/>
      <c r="AT172" s="449"/>
      <c r="AU172" s="449"/>
      <c r="AV172" s="449"/>
      <c r="AW172" s="449"/>
      <c r="AX172" s="449"/>
      <c r="AY172" s="449"/>
      <c r="AZ172" s="449"/>
      <c r="BA172" s="449"/>
      <c r="BB172" s="449"/>
      <c r="BC172" s="449"/>
      <c r="BD172" s="449"/>
      <c r="BE172" s="449"/>
      <c r="BF172" s="449"/>
      <c r="BG172" s="449"/>
      <c r="BH172" s="449"/>
      <c r="BI172" s="449"/>
      <c r="BJ172" s="449"/>
      <c r="BK172" s="449"/>
      <c r="BL172" s="449"/>
      <c r="BM172" s="449"/>
      <c r="BN172" s="449"/>
      <c r="BO172" s="449"/>
      <c r="BP172" s="449"/>
      <c r="BQ172" s="449"/>
      <c r="BR172" s="449"/>
      <c r="BS172" s="449"/>
      <c r="BT172" s="449"/>
      <c r="BU172" s="449"/>
      <c r="BV172" s="449"/>
      <c r="BW172" s="449"/>
      <c r="BX172" s="449"/>
      <c r="BY172" s="449"/>
      <c r="BZ172" s="449"/>
      <c r="CA172" s="449"/>
      <c r="CB172" s="449"/>
      <c r="CC172" s="449"/>
      <c r="CD172" s="449"/>
      <c r="CE172" s="449"/>
      <c r="CF172" s="449"/>
      <c r="CG172" s="449"/>
      <c r="CH172" s="449"/>
      <c r="CI172" s="449"/>
      <c r="CJ172" s="449"/>
      <c r="CK172" s="449"/>
      <c r="CL172" s="449"/>
      <c r="CM172" s="449"/>
      <c r="CN172" s="449"/>
      <c r="CO172" s="449"/>
      <c r="CP172" s="449"/>
      <c r="CQ172" s="449"/>
      <c r="CR172" s="449"/>
      <c r="CS172" s="449"/>
      <c r="CT172" s="449"/>
      <c r="CU172" s="449"/>
      <c r="CV172" s="449"/>
      <c r="CW172" s="449"/>
      <c r="CX172" s="449"/>
      <c r="CY172" s="449"/>
      <c r="CZ172" s="449"/>
      <c r="DA172" s="449"/>
      <c r="DB172" s="449"/>
      <c r="DC172" s="449"/>
      <c r="DD172" s="449"/>
      <c r="DE172" s="449"/>
      <c r="DF172" s="449"/>
      <c r="DG172" s="449"/>
      <c r="DH172" s="449"/>
      <c r="DI172" s="449"/>
      <c r="DJ172" s="449"/>
      <c r="DK172" s="449"/>
      <c r="DL172" s="449"/>
      <c r="DM172" s="449"/>
      <c r="DN172" s="449"/>
      <c r="DO172" s="449"/>
      <c r="DP172" s="449"/>
      <c r="DQ172" s="449"/>
      <c r="DR172" s="449"/>
      <c r="DS172" s="449"/>
      <c r="DT172" s="449"/>
      <c r="DU172" s="449"/>
      <c r="DV172" s="449"/>
      <c r="DW172" s="449"/>
      <c r="DX172" s="449"/>
      <c r="DY172" s="449"/>
      <c r="DZ172" s="449"/>
      <c r="EA172" s="449"/>
      <c r="EB172" s="449"/>
      <c r="EC172" s="449"/>
      <c r="ED172" s="449"/>
      <c r="EE172" s="449"/>
      <c r="EF172" s="449"/>
      <c r="EG172" s="449"/>
      <c r="EH172" s="449"/>
      <c r="EI172" s="449"/>
      <c r="EJ172" s="449"/>
      <c r="EK172" s="449"/>
      <c r="EL172" s="449"/>
      <c r="EM172" s="449"/>
      <c r="EN172" s="449"/>
      <c r="EO172" s="449"/>
      <c r="EP172" s="449"/>
      <c r="EQ172" s="449"/>
      <c r="ER172" s="449"/>
      <c r="ES172" s="449"/>
      <c r="ET172" s="449"/>
      <c r="EU172" s="449"/>
      <c r="EV172" s="449"/>
      <c r="EW172" s="449"/>
      <c r="EX172" s="449"/>
      <c r="EY172" s="449"/>
      <c r="EZ172" s="449"/>
      <c r="FA172" s="449"/>
      <c r="FB172" s="449"/>
      <c r="FC172" s="449"/>
      <c r="FD172" s="449"/>
      <c r="FE172" s="449"/>
      <c r="FF172" s="449"/>
      <c r="FG172" s="449"/>
      <c r="FH172" s="449"/>
      <c r="FI172" s="449"/>
      <c r="FJ172" s="449"/>
      <c r="FK172" s="449"/>
      <c r="FL172" s="449"/>
      <c r="FM172" s="449"/>
      <c r="FN172" s="449"/>
      <c r="FO172" s="449"/>
      <c r="FP172" s="449"/>
      <c r="FQ172" s="449"/>
      <c r="FR172" s="449"/>
      <c r="FS172" s="449"/>
      <c r="FT172" s="449"/>
      <c r="FU172" s="449"/>
      <c r="FV172" s="449"/>
      <c r="FW172" s="449"/>
      <c r="FX172" s="449"/>
      <c r="FY172" s="449"/>
      <c r="FZ172" s="449"/>
      <c r="GA172" s="449"/>
      <c r="GB172" s="449"/>
      <c r="GC172" s="449"/>
      <c r="GD172" s="449"/>
      <c r="GE172" s="449"/>
      <c r="GF172" s="449"/>
      <c r="GG172" s="449"/>
      <c r="GH172" s="449"/>
      <c r="GI172" s="449"/>
      <c r="GJ172" s="449"/>
      <c r="GK172" s="449"/>
      <c r="GL172" s="449"/>
      <c r="GM172" s="449"/>
      <c r="GN172" s="449"/>
      <c r="GO172" s="449"/>
      <c r="GP172" s="449"/>
      <c r="GQ172" s="449"/>
      <c r="GR172" s="449"/>
      <c r="GS172" s="449"/>
      <c r="GT172" s="449"/>
      <c r="GU172" s="449"/>
      <c r="GV172" s="449"/>
      <c r="GW172" s="449"/>
      <c r="GX172" s="449"/>
      <c r="GY172" s="449"/>
      <c r="GZ172" s="449"/>
      <c r="HA172" s="449"/>
      <c r="HB172" s="449"/>
      <c r="HC172" s="449"/>
      <c r="HD172" s="449"/>
      <c r="HE172" s="449"/>
      <c r="HF172" s="449"/>
      <c r="HG172" s="449"/>
      <c r="HH172" s="449"/>
      <c r="HI172" s="449"/>
      <c r="HJ172" s="449"/>
      <c r="HK172" s="449"/>
      <c r="HL172" s="449"/>
      <c r="HM172" s="449"/>
      <c r="HN172" s="449"/>
      <c r="HO172" s="449"/>
      <c r="HP172" s="449"/>
      <c r="HQ172" s="449"/>
      <c r="HR172" s="449"/>
      <c r="HS172" s="449"/>
      <c r="HT172" s="449"/>
      <c r="HU172" s="449"/>
      <c r="HV172" s="449"/>
      <c r="HW172" s="449"/>
      <c r="HX172" s="449"/>
      <c r="HY172" s="449"/>
      <c r="HZ172" s="449"/>
      <c r="IA172" s="449"/>
      <c r="IB172" s="449"/>
      <c r="IC172" s="449"/>
      <c r="ID172" s="449"/>
      <c r="IE172" s="449"/>
      <c r="IF172" s="449"/>
      <c r="IG172" s="449"/>
      <c r="IH172" s="449"/>
      <c r="II172" s="449"/>
      <c r="IJ172" s="449"/>
      <c r="IK172" s="449"/>
      <c r="IL172" s="449"/>
      <c r="IM172" s="449"/>
      <c r="IN172" s="449"/>
      <c r="IO172" s="449"/>
      <c r="IP172" s="449"/>
      <c r="IQ172" s="449"/>
      <c r="IR172" s="449"/>
      <c r="IS172" s="449"/>
      <c r="IT172" s="449"/>
      <c r="IU172" s="449"/>
      <c r="IV172" s="449"/>
      <c r="IW172" s="449"/>
      <c r="IX172" s="449"/>
    </row>
    <row r="173" spans="3:258" x14ac:dyDescent="0.2">
      <c r="C173" s="410" t="s">
        <v>1118</v>
      </c>
      <c r="D173" s="393" t="s">
        <v>877</v>
      </c>
      <c r="E173" s="410" t="s">
        <v>1119</v>
      </c>
      <c r="F173" s="410"/>
      <c r="G173" s="393">
        <v>1000</v>
      </c>
      <c r="H173" s="393">
        <v>260</v>
      </c>
      <c r="I173" s="393">
        <v>210</v>
      </c>
      <c r="J173" s="393">
        <v>35.86</v>
      </c>
      <c r="K173" s="397">
        <v>10270</v>
      </c>
      <c r="L173" s="398">
        <f t="shared" si="5"/>
        <v>7188.9999999999991</v>
      </c>
      <c r="M173" s="449"/>
      <c r="N173" s="449"/>
      <c r="O173" s="449"/>
      <c r="P173" s="449"/>
      <c r="Q173" s="449"/>
      <c r="R173" s="449"/>
      <c r="S173" s="449"/>
      <c r="T173" s="449"/>
      <c r="U173" s="449"/>
      <c r="V173" s="449"/>
      <c r="W173" s="449"/>
      <c r="X173" s="449"/>
      <c r="Y173" s="449"/>
      <c r="Z173" s="449"/>
      <c r="AA173" s="449"/>
      <c r="AB173" s="449"/>
      <c r="AC173" s="449"/>
      <c r="AD173" s="449"/>
      <c r="AE173" s="449"/>
      <c r="AF173" s="449"/>
      <c r="AG173" s="449"/>
      <c r="AH173" s="449"/>
      <c r="AI173" s="449"/>
      <c r="AJ173" s="449"/>
      <c r="AK173" s="449"/>
      <c r="AL173" s="449"/>
      <c r="AM173" s="449"/>
      <c r="AN173" s="449"/>
      <c r="AO173" s="449"/>
      <c r="AP173" s="449"/>
      <c r="AQ173" s="449"/>
      <c r="AR173" s="449"/>
      <c r="AS173" s="449"/>
      <c r="AT173" s="449"/>
      <c r="AU173" s="449"/>
      <c r="AV173" s="449"/>
      <c r="AW173" s="449"/>
      <c r="AX173" s="449"/>
      <c r="AY173" s="449"/>
      <c r="AZ173" s="449"/>
      <c r="BA173" s="449"/>
      <c r="BB173" s="449"/>
      <c r="BC173" s="449"/>
      <c r="BD173" s="449"/>
      <c r="BE173" s="449"/>
      <c r="BF173" s="449"/>
      <c r="BG173" s="449"/>
      <c r="BH173" s="449"/>
      <c r="BI173" s="449"/>
      <c r="BJ173" s="449"/>
      <c r="BK173" s="449"/>
      <c r="BL173" s="449"/>
      <c r="BM173" s="449"/>
      <c r="BN173" s="449"/>
      <c r="BO173" s="449"/>
      <c r="BP173" s="449"/>
      <c r="BQ173" s="449"/>
      <c r="BR173" s="449"/>
      <c r="BS173" s="449"/>
      <c r="BT173" s="449"/>
      <c r="BU173" s="449"/>
      <c r="BV173" s="449"/>
      <c r="BW173" s="449"/>
      <c r="BX173" s="449"/>
      <c r="BY173" s="449"/>
      <c r="BZ173" s="449"/>
      <c r="CA173" s="449"/>
      <c r="CB173" s="449"/>
      <c r="CC173" s="449"/>
      <c r="CD173" s="449"/>
      <c r="CE173" s="449"/>
      <c r="CF173" s="449"/>
      <c r="CG173" s="449"/>
      <c r="CH173" s="449"/>
      <c r="CI173" s="449"/>
      <c r="CJ173" s="449"/>
      <c r="CK173" s="449"/>
      <c r="CL173" s="449"/>
      <c r="CM173" s="449"/>
      <c r="CN173" s="449"/>
      <c r="CO173" s="449"/>
      <c r="CP173" s="449"/>
      <c r="CQ173" s="449"/>
      <c r="CR173" s="449"/>
      <c r="CS173" s="449"/>
      <c r="CT173" s="449"/>
      <c r="CU173" s="449"/>
      <c r="CV173" s="449"/>
      <c r="CW173" s="449"/>
      <c r="CX173" s="449"/>
      <c r="CY173" s="449"/>
      <c r="CZ173" s="449"/>
      <c r="DA173" s="449"/>
      <c r="DB173" s="449"/>
      <c r="DC173" s="449"/>
      <c r="DD173" s="449"/>
      <c r="DE173" s="449"/>
      <c r="DF173" s="449"/>
      <c r="DG173" s="449"/>
      <c r="DH173" s="449"/>
      <c r="DI173" s="449"/>
      <c r="DJ173" s="449"/>
      <c r="DK173" s="449"/>
      <c r="DL173" s="449"/>
      <c r="DM173" s="449"/>
      <c r="DN173" s="449"/>
      <c r="DO173" s="449"/>
      <c r="DP173" s="449"/>
      <c r="DQ173" s="449"/>
      <c r="DR173" s="449"/>
      <c r="DS173" s="449"/>
      <c r="DT173" s="449"/>
      <c r="DU173" s="449"/>
      <c r="DV173" s="449"/>
      <c r="DW173" s="449"/>
      <c r="DX173" s="449"/>
      <c r="DY173" s="449"/>
      <c r="DZ173" s="449"/>
      <c r="EA173" s="449"/>
      <c r="EB173" s="449"/>
      <c r="EC173" s="449"/>
      <c r="ED173" s="449"/>
      <c r="EE173" s="449"/>
      <c r="EF173" s="449"/>
      <c r="EG173" s="449"/>
      <c r="EH173" s="449"/>
      <c r="EI173" s="449"/>
      <c r="EJ173" s="449"/>
      <c r="EK173" s="449"/>
      <c r="EL173" s="449"/>
      <c r="EM173" s="449"/>
      <c r="EN173" s="449"/>
      <c r="EO173" s="449"/>
      <c r="EP173" s="449"/>
      <c r="EQ173" s="449"/>
      <c r="ER173" s="449"/>
      <c r="ES173" s="449"/>
      <c r="ET173" s="449"/>
      <c r="EU173" s="449"/>
      <c r="EV173" s="449"/>
      <c r="EW173" s="449"/>
      <c r="EX173" s="449"/>
      <c r="EY173" s="449"/>
      <c r="EZ173" s="449"/>
      <c r="FA173" s="449"/>
      <c r="FB173" s="449"/>
      <c r="FC173" s="449"/>
      <c r="FD173" s="449"/>
      <c r="FE173" s="449"/>
      <c r="FF173" s="449"/>
      <c r="FG173" s="449"/>
      <c r="FH173" s="449"/>
      <c r="FI173" s="449"/>
      <c r="FJ173" s="449"/>
      <c r="FK173" s="449"/>
      <c r="FL173" s="449"/>
      <c r="FM173" s="449"/>
      <c r="FN173" s="449"/>
      <c r="FO173" s="449"/>
      <c r="FP173" s="449"/>
      <c r="FQ173" s="449"/>
      <c r="FR173" s="449"/>
      <c r="FS173" s="449"/>
      <c r="FT173" s="449"/>
      <c r="FU173" s="449"/>
      <c r="FV173" s="449"/>
      <c r="FW173" s="449"/>
      <c r="FX173" s="449"/>
      <c r="FY173" s="449"/>
      <c r="FZ173" s="449"/>
      <c r="GA173" s="449"/>
      <c r="GB173" s="449"/>
      <c r="GC173" s="449"/>
      <c r="GD173" s="449"/>
      <c r="GE173" s="449"/>
      <c r="GF173" s="449"/>
      <c r="GG173" s="449"/>
      <c r="GH173" s="449"/>
      <c r="GI173" s="449"/>
      <c r="GJ173" s="449"/>
      <c r="GK173" s="449"/>
      <c r="GL173" s="449"/>
      <c r="GM173" s="449"/>
      <c r="GN173" s="449"/>
      <c r="GO173" s="449"/>
      <c r="GP173" s="449"/>
      <c r="GQ173" s="449"/>
      <c r="GR173" s="449"/>
      <c r="GS173" s="449"/>
      <c r="GT173" s="449"/>
      <c r="GU173" s="449"/>
      <c r="GV173" s="449"/>
      <c r="GW173" s="449"/>
      <c r="GX173" s="449"/>
      <c r="GY173" s="449"/>
      <c r="GZ173" s="449"/>
      <c r="HA173" s="449"/>
      <c r="HB173" s="449"/>
      <c r="HC173" s="449"/>
      <c r="HD173" s="449"/>
      <c r="HE173" s="449"/>
      <c r="HF173" s="449"/>
      <c r="HG173" s="449"/>
      <c r="HH173" s="449"/>
      <c r="HI173" s="449"/>
      <c r="HJ173" s="449"/>
      <c r="HK173" s="449"/>
      <c r="HL173" s="449"/>
      <c r="HM173" s="449"/>
      <c r="HN173" s="449"/>
      <c r="HO173" s="449"/>
      <c r="HP173" s="449"/>
      <c r="HQ173" s="449"/>
      <c r="HR173" s="449"/>
      <c r="HS173" s="449"/>
      <c r="HT173" s="449"/>
      <c r="HU173" s="449"/>
      <c r="HV173" s="449"/>
      <c r="HW173" s="449"/>
      <c r="HX173" s="449"/>
      <c r="HY173" s="449"/>
      <c r="HZ173" s="449"/>
      <c r="IA173" s="449"/>
      <c r="IB173" s="449"/>
      <c r="IC173" s="449"/>
      <c r="ID173" s="449"/>
      <c r="IE173" s="449"/>
      <c r="IF173" s="449"/>
      <c r="IG173" s="449"/>
      <c r="IH173" s="449"/>
      <c r="II173" s="449"/>
      <c r="IJ173" s="449"/>
      <c r="IK173" s="449"/>
      <c r="IL173" s="449"/>
      <c r="IM173" s="449"/>
      <c r="IN173" s="449"/>
      <c r="IO173" s="449"/>
      <c r="IP173" s="449"/>
      <c r="IQ173" s="449"/>
      <c r="IR173" s="449"/>
      <c r="IS173" s="449"/>
      <c r="IT173" s="449"/>
      <c r="IU173" s="449"/>
      <c r="IV173" s="449"/>
      <c r="IW173" s="449"/>
      <c r="IX173" s="449"/>
    </row>
    <row r="174" spans="3:258" x14ac:dyDescent="0.2">
      <c r="C174" s="410" t="s">
        <v>1120</v>
      </c>
      <c r="D174" s="393" t="s">
        <v>877</v>
      </c>
      <c r="E174" s="410" t="s">
        <v>1121</v>
      </c>
      <c r="F174" s="410"/>
      <c r="G174" s="393">
        <v>1000</v>
      </c>
      <c r="H174" s="393">
        <v>260</v>
      </c>
      <c r="I174" s="393">
        <v>260</v>
      </c>
      <c r="J174" s="393">
        <v>39.99</v>
      </c>
      <c r="K174" s="397">
        <v>11032</v>
      </c>
      <c r="L174" s="398">
        <f t="shared" si="5"/>
        <v>7722.4</v>
      </c>
      <c r="M174" s="449"/>
      <c r="N174" s="449"/>
      <c r="O174" s="449"/>
      <c r="P174" s="449"/>
      <c r="Q174" s="449"/>
      <c r="R174" s="449"/>
      <c r="S174" s="449"/>
      <c r="T174" s="449"/>
      <c r="U174" s="449"/>
      <c r="V174" s="449"/>
      <c r="W174" s="449"/>
      <c r="X174" s="449"/>
      <c r="Y174" s="449"/>
      <c r="Z174" s="449"/>
      <c r="AA174" s="449"/>
      <c r="AB174" s="449"/>
      <c r="AC174" s="449"/>
      <c r="AD174" s="449"/>
      <c r="AE174" s="449"/>
      <c r="AF174" s="449"/>
      <c r="AG174" s="449"/>
      <c r="AH174" s="449"/>
      <c r="AI174" s="449"/>
      <c r="AJ174" s="449"/>
      <c r="AK174" s="449"/>
      <c r="AL174" s="449"/>
      <c r="AM174" s="449"/>
      <c r="AN174" s="449"/>
      <c r="AO174" s="449"/>
      <c r="AP174" s="449"/>
      <c r="AQ174" s="449"/>
      <c r="AR174" s="449"/>
      <c r="AS174" s="449"/>
      <c r="AT174" s="449"/>
      <c r="AU174" s="449"/>
      <c r="AV174" s="449"/>
      <c r="AW174" s="449"/>
      <c r="AX174" s="449"/>
      <c r="AY174" s="449"/>
      <c r="AZ174" s="449"/>
      <c r="BA174" s="449"/>
      <c r="BB174" s="449"/>
      <c r="BC174" s="449"/>
      <c r="BD174" s="449"/>
      <c r="BE174" s="449"/>
      <c r="BF174" s="449"/>
      <c r="BG174" s="449"/>
      <c r="BH174" s="449"/>
      <c r="BI174" s="449"/>
      <c r="BJ174" s="449"/>
      <c r="BK174" s="449"/>
      <c r="BL174" s="449"/>
      <c r="BM174" s="449"/>
      <c r="BN174" s="449"/>
      <c r="BO174" s="449"/>
      <c r="BP174" s="449"/>
      <c r="BQ174" s="449"/>
      <c r="BR174" s="449"/>
      <c r="BS174" s="449"/>
      <c r="BT174" s="449"/>
      <c r="BU174" s="449"/>
      <c r="BV174" s="449"/>
      <c r="BW174" s="449"/>
      <c r="BX174" s="449"/>
      <c r="BY174" s="449"/>
      <c r="BZ174" s="449"/>
      <c r="CA174" s="449"/>
      <c r="CB174" s="449"/>
      <c r="CC174" s="449"/>
      <c r="CD174" s="449"/>
      <c r="CE174" s="449"/>
      <c r="CF174" s="449"/>
      <c r="CG174" s="449"/>
      <c r="CH174" s="449"/>
      <c r="CI174" s="449"/>
      <c r="CJ174" s="449"/>
      <c r="CK174" s="449"/>
      <c r="CL174" s="449"/>
      <c r="CM174" s="449"/>
      <c r="CN174" s="449"/>
      <c r="CO174" s="449"/>
      <c r="CP174" s="449"/>
      <c r="CQ174" s="449"/>
      <c r="CR174" s="449"/>
      <c r="CS174" s="449"/>
      <c r="CT174" s="449"/>
      <c r="CU174" s="449"/>
      <c r="CV174" s="449"/>
      <c r="CW174" s="449"/>
      <c r="CX174" s="449"/>
      <c r="CY174" s="449"/>
      <c r="CZ174" s="449"/>
      <c r="DA174" s="449"/>
      <c r="DB174" s="449"/>
      <c r="DC174" s="449"/>
      <c r="DD174" s="449"/>
      <c r="DE174" s="449"/>
      <c r="DF174" s="449"/>
      <c r="DG174" s="449"/>
      <c r="DH174" s="449"/>
      <c r="DI174" s="449"/>
      <c r="DJ174" s="449"/>
      <c r="DK174" s="449"/>
      <c r="DL174" s="449"/>
      <c r="DM174" s="449"/>
      <c r="DN174" s="449"/>
      <c r="DO174" s="449"/>
      <c r="DP174" s="449"/>
      <c r="DQ174" s="449"/>
      <c r="DR174" s="449"/>
      <c r="DS174" s="449"/>
      <c r="DT174" s="449"/>
      <c r="DU174" s="449"/>
      <c r="DV174" s="449"/>
      <c r="DW174" s="449"/>
      <c r="DX174" s="449"/>
      <c r="DY174" s="449"/>
      <c r="DZ174" s="449"/>
      <c r="EA174" s="449"/>
      <c r="EB174" s="449"/>
      <c r="EC174" s="449"/>
      <c r="ED174" s="449"/>
      <c r="EE174" s="449"/>
      <c r="EF174" s="449"/>
      <c r="EG174" s="449"/>
      <c r="EH174" s="449"/>
      <c r="EI174" s="449"/>
      <c r="EJ174" s="449"/>
      <c r="EK174" s="449"/>
      <c r="EL174" s="449"/>
      <c r="EM174" s="449"/>
      <c r="EN174" s="449"/>
      <c r="EO174" s="449"/>
      <c r="EP174" s="449"/>
      <c r="EQ174" s="449"/>
      <c r="ER174" s="449"/>
      <c r="ES174" s="449"/>
      <c r="ET174" s="449"/>
      <c r="EU174" s="449"/>
      <c r="EV174" s="449"/>
      <c r="EW174" s="449"/>
      <c r="EX174" s="449"/>
      <c r="EY174" s="449"/>
      <c r="EZ174" s="449"/>
      <c r="FA174" s="449"/>
      <c r="FB174" s="449"/>
      <c r="FC174" s="449"/>
      <c r="FD174" s="449"/>
      <c r="FE174" s="449"/>
      <c r="FF174" s="449"/>
      <c r="FG174" s="449"/>
      <c r="FH174" s="449"/>
      <c r="FI174" s="449"/>
      <c r="FJ174" s="449"/>
      <c r="FK174" s="449"/>
      <c r="FL174" s="449"/>
      <c r="FM174" s="449"/>
      <c r="FN174" s="449"/>
      <c r="FO174" s="449"/>
      <c r="FP174" s="449"/>
      <c r="FQ174" s="449"/>
      <c r="FR174" s="449"/>
      <c r="FS174" s="449"/>
      <c r="FT174" s="449"/>
      <c r="FU174" s="449"/>
      <c r="FV174" s="449"/>
      <c r="FW174" s="449"/>
      <c r="FX174" s="449"/>
      <c r="FY174" s="449"/>
      <c r="FZ174" s="449"/>
      <c r="GA174" s="449"/>
      <c r="GB174" s="449"/>
      <c r="GC174" s="449"/>
      <c r="GD174" s="449"/>
      <c r="GE174" s="449"/>
      <c r="GF174" s="449"/>
      <c r="GG174" s="449"/>
      <c r="GH174" s="449"/>
      <c r="GI174" s="449"/>
      <c r="GJ174" s="449"/>
      <c r="GK174" s="449"/>
      <c r="GL174" s="449"/>
      <c r="GM174" s="449"/>
      <c r="GN174" s="449"/>
      <c r="GO174" s="449"/>
      <c r="GP174" s="449"/>
      <c r="GQ174" s="449"/>
      <c r="GR174" s="449"/>
      <c r="GS174" s="449"/>
      <c r="GT174" s="449"/>
      <c r="GU174" s="449"/>
      <c r="GV174" s="449"/>
      <c r="GW174" s="449"/>
      <c r="GX174" s="449"/>
      <c r="GY174" s="449"/>
      <c r="GZ174" s="449"/>
      <c r="HA174" s="449"/>
      <c r="HB174" s="449"/>
      <c r="HC174" s="449"/>
      <c r="HD174" s="449"/>
      <c r="HE174" s="449"/>
      <c r="HF174" s="449"/>
      <c r="HG174" s="449"/>
      <c r="HH174" s="449"/>
      <c r="HI174" s="449"/>
      <c r="HJ174" s="449"/>
      <c r="HK174" s="449"/>
      <c r="HL174" s="449"/>
      <c r="HM174" s="449"/>
      <c r="HN174" s="449"/>
      <c r="HO174" s="449"/>
      <c r="HP174" s="449"/>
      <c r="HQ174" s="449"/>
      <c r="HR174" s="449"/>
      <c r="HS174" s="449"/>
      <c r="HT174" s="449"/>
      <c r="HU174" s="449"/>
      <c r="HV174" s="449"/>
      <c r="HW174" s="449"/>
      <c r="HX174" s="449"/>
      <c r="HY174" s="449"/>
      <c r="HZ174" s="449"/>
      <c r="IA174" s="449"/>
      <c r="IB174" s="449"/>
      <c r="IC174" s="449"/>
      <c r="ID174" s="449"/>
      <c r="IE174" s="449"/>
      <c r="IF174" s="449"/>
      <c r="IG174" s="449"/>
      <c r="IH174" s="449"/>
      <c r="II174" s="449"/>
      <c r="IJ174" s="449"/>
      <c r="IK174" s="449"/>
      <c r="IL174" s="449"/>
      <c r="IM174" s="449"/>
      <c r="IN174" s="449"/>
      <c r="IO174" s="449"/>
      <c r="IP174" s="449"/>
      <c r="IQ174" s="449"/>
      <c r="IR174" s="449"/>
      <c r="IS174" s="449"/>
      <c r="IT174" s="449"/>
      <c r="IU174" s="449"/>
      <c r="IV174" s="449"/>
      <c r="IW174" s="449"/>
      <c r="IX174" s="449"/>
    </row>
    <row r="175" spans="3:258" x14ac:dyDescent="0.2">
      <c r="C175" s="410" t="s">
        <v>1122</v>
      </c>
      <c r="D175" s="393" t="s">
        <v>877</v>
      </c>
      <c r="E175" s="410" t="s">
        <v>1123</v>
      </c>
      <c r="F175" s="410"/>
      <c r="G175" s="393">
        <v>1000</v>
      </c>
      <c r="H175" s="393">
        <v>260</v>
      </c>
      <c r="I175" s="393">
        <v>310</v>
      </c>
      <c r="J175" s="393">
        <v>58</v>
      </c>
      <c r="K175" s="397">
        <v>11475</v>
      </c>
      <c r="L175" s="398">
        <f t="shared" si="5"/>
        <v>8032.4999999999991</v>
      </c>
      <c r="M175" s="449"/>
      <c r="N175" s="449"/>
      <c r="O175" s="449"/>
      <c r="P175" s="449"/>
      <c r="Q175" s="449"/>
      <c r="R175" s="449"/>
      <c r="S175" s="449"/>
      <c r="T175" s="449"/>
      <c r="U175" s="449"/>
      <c r="V175" s="449"/>
      <c r="W175" s="449"/>
      <c r="X175" s="449"/>
      <c r="Y175" s="449"/>
      <c r="Z175" s="449"/>
      <c r="AA175" s="449"/>
      <c r="AB175" s="449"/>
      <c r="AC175" s="449"/>
      <c r="AD175" s="449"/>
      <c r="AE175" s="449"/>
      <c r="AF175" s="449"/>
      <c r="AG175" s="449"/>
      <c r="AH175" s="449"/>
      <c r="AI175" s="449"/>
      <c r="AJ175" s="449"/>
      <c r="AK175" s="449"/>
      <c r="AL175" s="449"/>
      <c r="AM175" s="449"/>
      <c r="AN175" s="449"/>
      <c r="AO175" s="449"/>
      <c r="AP175" s="449"/>
      <c r="AQ175" s="449"/>
      <c r="AR175" s="449"/>
      <c r="AS175" s="449"/>
      <c r="AT175" s="449"/>
      <c r="AU175" s="449"/>
      <c r="AV175" s="449"/>
      <c r="AW175" s="449"/>
      <c r="AX175" s="449"/>
      <c r="AY175" s="449"/>
      <c r="AZ175" s="449"/>
      <c r="BA175" s="449"/>
      <c r="BB175" s="449"/>
      <c r="BC175" s="449"/>
      <c r="BD175" s="449"/>
      <c r="BE175" s="449"/>
      <c r="BF175" s="449"/>
      <c r="BG175" s="449"/>
      <c r="BH175" s="449"/>
      <c r="BI175" s="449"/>
      <c r="BJ175" s="449"/>
      <c r="BK175" s="449"/>
      <c r="BL175" s="449"/>
      <c r="BM175" s="449"/>
      <c r="BN175" s="449"/>
      <c r="BO175" s="449"/>
      <c r="BP175" s="449"/>
      <c r="BQ175" s="449"/>
      <c r="BR175" s="449"/>
      <c r="BS175" s="449"/>
      <c r="BT175" s="449"/>
      <c r="BU175" s="449"/>
      <c r="BV175" s="449"/>
      <c r="BW175" s="449"/>
      <c r="BX175" s="449"/>
      <c r="BY175" s="449"/>
      <c r="BZ175" s="449"/>
      <c r="CA175" s="449"/>
      <c r="CB175" s="449"/>
      <c r="CC175" s="449"/>
      <c r="CD175" s="449"/>
      <c r="CE175" s="449"/>
      <c r="CF175" s="449"/>
      <c r="CG175" s="449"/>
      <c r="CH175" s="449"/>
      <c r="CI175" s="449"/>
      <c r="CJ175" s="449"/>
      <c r="CK175" s="449"/>
      <c r="CL175" s="449"/>
      <c r="CM175" s="449"/>
      <c r="CN175" s="449"/>
      <c r="CO175" s="449"/>
      <c r="CP175" s="449"/>
      <c r="CQ175" s="449"/>
      <c r="CR175" s="449"/>
      <c r="CS175" s="449"/>
      <c r="CT175" s="449"/>
      <c r="CU175" s="449"/>
      <c r="CV175" s="449"/>
      <c r="CW175" s="449"/>
      <c r="CX175" s="449"/>
      <c r="CY175" s="449"/>
      <c r="CZ175" s="449"/>
      <c r="DA175" s="449"/>
      <c r="DB175" s="449"/>
      <c r="DC175" s="449"/>
      <c r="DD175" s="449"/>
      <c r="DE175" s="449"/>
      <c r="DF175" s="449"/>
      <c r="DG175" s="449"/>
      <c r="DH175" s="449"/>
      <c r="DI175" s="449"/>
      <c r="DJ175" s="449"/>
      <c r="DK175" s="449"/>
      <c r="DL175" s="449"/>
      <c r="DM175" s="449"/>
      <c r="DN175" s="449"/>
      <c r="DO175" s="449"/>
      <c r="DP175" s="449"/>
      <c r="DQ175" s="449"/>
      <c r="DR175" s="449"/>
      <c r="DS175" s="449"/>
      <c r="DT175" s="449"/>
      <c r="DU175" s="449"/>
      <c r="DV175" s="449"/>
      <c r="DW175" s="449"/>
      <c r="DX175" s="449"/>
      <c r="DY175" s="449"/>
      <c r="DZ175" s="449"/>
      <c r="EA175" s="449"/>
      <c r="EB175" s="449"/>
      <c r="EC175" s="449"/>
      <c r="ED175" s="449"/>
      <c r="EE175" s="449"/>
      <c r="EF175" s="449"/>
      <c r="EG175" s="449"/>
      <c r="EH175" s="449"/>
      <c r="EI175" s="449"/>
      <c r="EJ175" s="449"/>
      <c r="EK175" s="449"/>
      <c r="EL175" s="449"/>
      <c r="EM175" s="449"/>
      <c r="EN175" s="449"/>
      <c r="EO175" s="449"/>
      <c r="EP175" s="449"/>
      <c r="EQ175" s="449"/>
      <c r="ER175" s="449"/>
      <c r="ES175" s="449"/>
      <c r="ET175" s="449"/>
      <c r="EU175" s="449"/>
      <c r="EV175" s="449"/>
      <c r="EW175" s="449"/>
      <c r="EX175" s="449"/>
      <c r="EY175" s="449"/>
      <c r="EZ175" s="449"/>
      <c r="FA175" s="449"/>
      <c r="FB175" s="449"/>
      <c r="FC175" s="449"/>
      <c r="FD175" s="449"/>
      <c r="FE175" s="449"/>
      <c r="FF175" s="449"/>
      <c r="FG175" s="449"/>
      <c r="FH175" s="449"/>
      <c r="FI175" s="449"/>
      <c r="FJ175" s="449"/>
      <c r="FK175" s="449"/>
      <c r="FL175" s="449"/>
      <c r="FM175" s="449"/>
      <c r="FN175" s="449"/>
      <c r="FO175" s="449"/>
      <c r="FP175" s="449"/>
      <c r="FQ175" s="449"/>
      <c r="FR175" s="449"/>
      <c r="FS175" s="449"/>
      <c r="FT175" s="449"/>
      <c r="FU175" s="449"/>
      <c r="FV175" s="449"/>
      <c r="FW175" s="449"/>
      <c r="FX175" s="449"/>
      <c r="FY175" s="449"/>
      <c r="FZ175" s="449"/>
      <c r="GA175" s="449"/>
      <c r="GB175" s="449"/>
      <c r="GC175" s="449"/>
      <c r="GD175" s="449"/>
      <c r="GE175" s="449"/>
      <c r="GF175" s="449"/>
      <c r="GG175" s="449"/>
      <c r="GH175" s="449"/>
      <c r="GI175" s="449"/>
      <c r="GJ175" s="449"/>
      <c r="GK175" s="449"/>
      <c r="GL175" s="449"/>
      <c r="GM175" s="449"/>
      <c r="GN175" s="449"/>
      <c r="GO175" s="449"/>
      <c r="GP175" s="449"/>
      <c r="GQ175" s="449"/>
      <c r="GR175" s="449"/>
      <c r="GS175" s="449"/>
      <c r="GT175" s="449"/>
      <c r="GU175" s="449"/>
      <c r="GV175" s="449"/>
      <c r="GW175" s="449"/>
      <c r="GX175" s="449"/>
      <c r="GY175" s="449"/>
      <c r="GZ175" s="449"/>
      <c r="HA175" s="449"/>
      <c r="HB175" s="449"/>
      <c r="HC175" s="449"/>
      <c r="HD175" s="449"/>
      <c r="HE175" s="449"/>
      <c r="HF175" s="449"/>
      <c r="HG175" s="449"/>
      <c r="HH175" s="449"/>
      <c r="HI175" s="449"/>
      <c r="HJ175" s="449"/>
      <c r="HK175" s="449"/>
      <c r="HL175" s="449"/>
      <c r="HM175" s="449"/>
      <c r="HN175" s="449"/>
      <c r="HO175" s="449"/>
      <c r="HP175" s="449"/>
      <c r="HQ175" s="449"/>
      <c r="HR175" s="449"/>
      <c r="HS175" s="449"/>
      <c r="HT175" s="449"/>
      <c r="HU175" s="449"/>
      <c r="HV175" s="449"/>
      <c r="HW175" s="449"/>
      <c r="HX175" s="449"/>
      <c r="HY175" s="449"/>
      <c r="HZ175" s="449"/>
      <c r="IA175" s="449"/>
      <c r="IB175" s="449"/>
      <c r="IC175" s="449"/>
      <c r="ID175" s="449"/>
      <c r="IE175" s="449"/>
      <c r="IF175" s="449"/>
      <c r="IG175" s="449"/>
      <c r="IH175" s="449"/>
      <c r="II175" s="449"/>
      <c r="IJ175" s="449"/>
      <c r="IK175" s="449"/>
      <c r="IL175" s="449"/>
      <c r="IM175" s="449"/>
      <c r="IN175" s="449"/>
      <c r="IO175" s="449"/>
      <c r="IP175" s="449"/>
      <c r="IQ175" s="449"/>
      <c r="IR175" s="449"/>
      <c r="IS175" s="449"/>
      <c r="IT175" s="449"/>
      <c r="IU175" s="449"/>
      <c r="IV175" s="449"/>
      <c r="IW175" s="449"/>
      <c r="IX175" s="449"/>
    </row>
    <row r="176" spans="3:258" x14ac:dyDescent="0.2">
      <c r="C176" s="410" t="s">
        <v>1124</v>
      </c>
      <c r="D176" s="393" t="s">
        <v>877</v>
      </c>
      <c r="E176" s="410" t="s">
        <v>1125</v>
      </c>
      <c r="F176" s="410"/>
      <c r="G176" s="393">
        <v>1000</v>
      </c>
      <c r="H176" s="393">
        <v>260</v>
      </c>
      <c r="I176" s="393">
        <v>360</v>
      </c>
      <c r="J176" s="393">
        <v>49.17</v>
      </c>
      <c r="K176" s="397">
        <v>12190</v>
      </c>
      <c r="L176" s="398">
        <f t="shared" si="5"/>
        <v>8533</v>
      </c>
      <c r="M176" s="449"/>
      <c r="N176" s="449"/>
      <c r="O176" s="449"/>
      <c r="P176" s="449"/>
      <c r="Q176" s="449"/>
      <c r="R176" s="449"/>
      <c r="S176" s="449"/>
      <c r="T176" s="449"/>
      <c r="U176" s="449"/>
      <c r="V176" s="449"/>
      <c r="W176" s="449"/>
      <c r="X176" s="449"/>
      <c r="Y176" s="449"/>
      <c r="Z176" s="449"/>
      <c r="AA176" s="449"/>
      <c r="AB176" s="449"/>
      <c r="AC176" s="449"/>
      <c r="AD176" s="449"/>
      <c r="AE176" s="449"/>
      <c r="AF176" s="449"/>
      <c r="AG176" s="449"/>
      <c r="AH176" s="449"/>
      <c r="AI176" s="449"/>
      <c r="AJ176" s="449"/>
      <c r="AK176" s="449"/>
      <c r="AL176" s="449"/>
      <c r="AM176" s="449"/>
      <c r="AN176" s="449"/>
      <c r="AO176" s="449"/>
      <c r="AP176" s="449"/>
      <c r="AQ176" s="449"/>
      <c r="AR176" s="449"/>
      <c r="AS176" s="449"/>
      <c r="AT176" s="449"/>
      <c r="AU176" s="449"/>
      <c r="AV176" s="449"/>
      <c r="AW176" s="449"/>
      <c r="AX176" s="449"/>
      <c r="AY176" s="449"/>
      <c r="AZ176" s="449"/>
      <c r="BA176" s="449"/>
      <c r="BB176" s="449"/>
      <c r="BC176" s="449"/>
      <c r="BD176" s="449"/>
      <c r="BE176" s="449"/>
      <c r="BF176" s="449"/>
      <c r="BG176" s="449"/>
      <c r="BH176" s="449"/>
      <c r="BI176" s="449"/>
      <c r="BJ176" s="449"/>
      <c r="BK176" s="449"/>
      <c r="BL176" s="449"/>
      <c r="BM176" s="449"/>
      <c r="BN176" s="449"/>
      <c r="BO176" s="449"/>
      <c r="BP176" s="449"/>
      <c r="BQ176" s="449"/>
      <c r="BR176" s="449"/>
      <c r="BS176" s="449"/>
      <c r="BT176" s="449"/>
      <c r="BU176" s="449"/>
      <c r="BV176" s="449"/>
      <c r="BW176" s="449"/>
      <c r="BX176" s="449"/>
      <c r="BY176" s="449"/>
      <c r="BZ176" s="449"/>
      <c r="CA176" s="449"/>
      <c r="CB176" s="449"/>
      <c r="CC176" s="449"/>
      <c r="CD176" s="449"/>
      <c r="CE176" s="449"/>
      <c r="CF176" s="449"/>
      <c r="CG176" s="449"/>
      <c r="CH176" s="449"/>
      <c r="CI176" s="449"/>
      <c r="CJ176" s="449"/>
      <c r="CK176" s="449"/>
      <c r="CL176" s="449"/>
      <c r="CM176" s="449"/>
      <c r="CN176" s="449"/>
      <c r="CO176" s="449"/>
      <c r="CP176" s="449"/>
      <c r="CQ176" s="449"/>
      <c r="CR176" s="449"/>
      <c r="CS176" s="449"/>
      <c r="CT176" s="449"/>
      <c r="CU176" s="449"/>
      <c r="CV176" s="449"/>
      <c r="CW176" s="449"/>
      <c r="CX176" s="449"/>
      <c r="CY176" s="449"/>
      <c r="CZ176" s="449"/>
      <c r="DA176" s="449"/>
      <c r="DB176" s="449"/>
      <c r="DC176" s="449"/>
      <c r="DD176" s="449"/>
      <c r="DE176" s="449"/>
      <c r="DF176" s="449"/>
      <c r="DG176" s="449"/>
      <c r="DH176" s="449"/>
      <c r="DI176" s="449"/>
      <c r="DJ176" s="449"/>
      <c r="DK176" s="449"/>
      <c r="DL176" s="449"/>
      <c r="DM176" s="449"/>
      <c r="DN176" s="449"/>
      <c r="DO176" s="449"/>
      <c r="DP176" s="449"/>
      <c r="DQ176" s="449"/>
      <c r="DR176" s="449"/>
      <c r="DS176" s="449"/>
      <c r="DT176" s="449"/>
      <c r="DU176" s="449"/>
      <c r="DV176" s="449"/>
      <c r="DW176" s="449"/>
      <c r="DX176" s="449"/>
      <c r="DY176" s="449"/>
      <c r="DZ176" s="449"/>
      <c r="EA176" s="449"/>
      <c r="EB176" s="449"/>
      <c r="EC176" s="449"/>
      <c r="ED176" s="449"/>
      <c r="EE176" s="449"/>
      <c r="EF176" s="449"/>
      <c r="EG176" s="449"/>
      <c r="EH176" s="449"/>
      <c r="EI176" s="449"/>
      <c r="EJ176" s="449"/>
      <c r="EK176" s="449"/>
      <c r="EL176" s="449"/>
      <c r="EM176" s="449"/>
      <c r="EN176" s="449"/>
      <c r="EO176" s="449"/>
      <c r="EP176" s="449"/>
      <c r="EQ176" s="449"/>
      <c r="ER176" s="449"/>
      <c r="ES176" s="449"/>
      <c r="ET176" s="449"/>
      <c r="EU176" s="449"/>
      <c r="EV176" s="449"/>
      <c r="EW176" s="449"/>
      <c r="EX176" s="449"/>
      <c r="EY176" s="449"/>
      <c r="EZ176" s="449"/>
      <c r="FA176" s="449"/>
      <c r="FB176" s="449"/>
      <c r="FC176" s="449"/>
      <c r="FD176" s="449"/>
      <c r="FE176" s="449"/>
      <c r="FF176" s="449"/>
      <c r="FG176" s="449"/>
      <c r="FH176" s="449"/>
      <c r="FI176" s="449"/>
      <c r="FJ176" s="449"/>
      <c r="FK176" s="449"/>
      <c r="FL176" s="449"/>
      <c r="FM176" s="449"/>
      <c r="FN176" s="449"/>
      <c r="FO176" s="449"/>
      <c r="FP176" s="449"/>
      <c r="FQ176" s="449"/>
      <c r="FR176" s="449"/>
      <c r="FS176" s="449"/>
      <c r="FT176" s="449"/>
      <c r="FU176" s="449"/>
      <c r="FV176" s="449"/>
      <c r="FW176" s="449"/>
      <c r="FX176" s="449"/>
      <c r="FY176" s="449"/>
      <c r="FZ176" s="449"/>
      <c r="GA176" s="449"/>
      <c r="GB176" s="449"/>
      <c r="GC176" s="449"/>
      <c r="GD176" s="449"/>
      <c r="GE176" s="449"/>
      <c r="GF176" s="449"/>
      <c r="GG176" s="449"/>
      <c r="GH176" s="449"/>
      <c r="GI176" s="449"/>
      <c r="GJ176" s="449"/>
      <c r="GK176" s="449"/>
      <c r="GL176" s="449"/>
      <c r="GM176" s="449"/>
      <c r="GN176" s="449"/>
      <c r="GO176" s="449"/>
      <c r="GP176" s="449"/>
      <c r="GQ176" s="449"/>
      <c r="GR176" s="449"/>
      <c r="GS176" s="449"/>
      <c r="GT176" s="449"/>
      <c r="GU176" s="449"/>
      <c r="GV176" s="449"/>
      <c r="GW176" s="449"/>
      <c r="GX176" s="449"/>
      <c r="GY176" s="449"/>
      <c r="GZ176" s="449"/>
      <c r="HA176" s="449"/>
      <c r="HB176" s="449"/>
      <c r="HC176" s="449"/>
      <c r="HD176" s="449"/>
      <c r="HE176" s="449"/>
      <c r="HF176" s="449"/>
      <c r="HG176" s="449"/>
      <c r="HH176" s="449"/>
      <c r="HI176" s="449"/>
      <c r="HJ176" s="449"/>
      <c r="HK176" s="449"/>
      <c r="HL176" s="449"/>
      <c r="HM176" s="449"/>
      <c r="HN176" s="449"/>
      <c r="HO176" s="449"/>
      <c r="HP176" s="449"/>
      <c r="HQ176" s="449"/>
      <c r="HR176" s="449"/>
      <c r="HS176" s="449"/>
      <c r="HT176" s="449"/>
      <c r="HU176" s="449"/>
      <c r="HV176" s="449"/>
      <c r="HW176" s="449"/>
      <c r="HX176" s="449"/>
      <c r="HY176" s="449"/>
      <c r="HZ176" s="449"/>
      <c r="IA176" s="449"/>
      <c r="IB176" s="449"/>
      <c r="IC176" s="449"/>
      <c r="ID176" s="449"/>
      <c r="IE176" s="449"/>
      <c r="IF176" s="449"/>
      <c r="IG176" s="449"/>
      <c r="IH176" s="449"/>
      <c r="II176" s="449"/>
      <c r="IJ176" s="449"/>
      <c r="IK176" s="449"/>
      <c r="IL176" s="449"/>
      <c r="IM176" s="449"/>
      <c r="IN176" s="449"/>
      <c r="IO176" s="449"/>
      <c r="IP176" s="449"/>
      <c r="IQ176" s="449"/>
      <c r="IR176" s="449"/>
      <c r="IS176" s="449"/>
      <c r="IT176" s="449"/>
      <c r="IU176" s="449"/>
      <c r="IV176" s="449"/>
      <c r="IW176" s="449"/>
      <c r="IX176" s="449"/>
    </row>
    <row r="177" spans="3:258" x14ac:dyDescent="0.2">
      <c r="C177" s="410" t="s">
        <v>1126</v>
      </c>
      <c r="D177" s="393" t="s">
        <v>877</v>
      </c>
      <c r="E177" s="410" t="s">
        <v>1127</v>
      </c>
      <c r="F177" s="410"/>
      <c r="G177" s="393">
        <v>500</v>
      </c>
      <c r="H177" s="393">
        <v>260</v>
      </c>
      <c r="I177" s="393">
        <v>600</v>
      </c>
      <c r="J177" s="393">
        <v>47</v>
      </c>
      <c r="K177" s="397">
        <v>9989</v>
      </c>
      <c r="L177" s="398">
        <f t="shared" si="5"/>
        <v>6992.2999999999993</v>
      </c>
      <c r="M177" s="449"/>
      <c r="N177" s="449"/>
      <c r="O177" s="449"/>
      <c r="P177" s="449"/>
      <c r="Q177" s="449"/>
      <c r="R177" s="449"/>
      <c r="S177" s="449"/>
      <c r="T177" s="449"/>
      <c r="U177" s="449"/>
      <c r="V177" s="449"/>
      <c r="W177" s="449"/>
      <c r="X177" s="449"/>
      <c r="Y177" s="449"/>
      <c r="Z177" s="449"/>
      <c r="AA177" s="449"/>
      <c r="AB177" s="449"/>
      <c r="AC177" s="449"/>
      <c r="AD177" s="449"/>
      <c r="AE177" s="449"/>
      <c r="AF177" s="449"/>
      <c r="AG177" s="449"/>
      <c r="AH177" s="449"/>
      <c r="AI177" s="449"/>
      <c r="AJ177" s="449"/>
      <c r="AK177" s="449"/>
      <c r="AL177" s="449"/>
      <c r="AM177" s="449"/>
      <c r="AN177" s="449"/>
      <c r="AO177" s="449"/>
      <c r="AP177" s="449"/>
      <c r="AQ177" s="449"/>
      <c r="AR177" s="449"/>
      <c r="AS177" s="449"/>
      <c r="AT177" s="449"/>
      <c r="AU177" s="449"/>
      <c r="AV177" s="449"/>
      <c r="AW177" s="449"/>
      <c r="AX177" s="449"/>
      <c r="AY177" s="449"/>
      <c r="AZ177" s="449"/>
      <c r="BA177" s="449"/>
      <c r="BB177" s="449"/>
      <c r="BC177" s="449"/>
      <c r="BD177" s="449"/>
      <c r="BE177" s="449"/>
      <c r="BF177" s="449"/>
      <c r="BG177" s="449"/>
      <c r="BH177" s="449"/>
      <c r="BI177" s="449"/>
      <c r="BJ177" s="449"/>
      <c r="BK177" s="449"/>
      <c r="BL177" s="449"/>
      <c r="BM177" s="449"/>
      <c r="BN177" s="449"/>
      <c r="BO177" s="449"/>
      <c r="BP177" s="449"/>
      <c r="BQ177" s="449"/>
      <c r="BR177" s="449"/>
      <c r="BS177" s="449"/>
      <c r="BT177" s="449"/>
      <c r="BU177" s="449"/>
      <c r="BV177" s="449"/>
      <c r="BW177" s="449"/>
      <c r="BX177" s="449"/>
      <c r="BY177" s="449"/>
      <c r="BZ177" s="449"/>
      <c r="CA177" s="449"/>
      <c r="CB177" s="449"/>
      <c r="CC177" s="449"/>
      <c r="CD177" s="449"/>
      <c r="CE177" s="449"/>
      <c r="CF177" s="449"/>
      <c r="CG177" s="449"/>
      <c r="CH177" s="449"/>
      <c r="CI177" s="449"/>
      <c r="CJ177" s="449"/>
      <c r="CK177" s="449"/>
      <c r="CL177" s="449"/>
      <c r="CM177" s="449"/>
      <c r="CN177" s="449"/>
      <c r="CO177" s="449"/>
      <c r="CP177" s="449"/>
      <c r="CQ177" s="449"/>
      <c r="CR177" s="449"/>
      <c r="CS177" s="449"/>
      <c r="CT177" s="449"/>
      <c r="CU177" s="449"/>
      <c r="CV177" s="449"/>
      <c r="CW177" s="449"/>
      <c r="CX177" s="449"/>
      <c r="CY177" s="449"/>
      <c r="CZ177" s="449"/>
      <c r="DA177" s="449"/>
      <c r="DB177" s="449"/>
      <c r="DC177" s="449"/>
      <c r="DD177" s="449"/>
      <c r="DE177" s="449"/>
      <c r="DF177" s="449"/>
      <c r="DG177" s="449"/>
      <c r="DH177" s="449"/>
      <c r="DI177" s="449"/>
      <c r="DJ177" s="449"/>
      <c r="DK177" s="449"/>
      <c r="DL177" s="449"/>
      <c r="DM177" s="449"/>
      <c r="DN177" s="449"/>
      <c r="DO177" s="449"/>
      <c r="DP177" s="449"/>
      <c r="DQ177" s="449"/>
      <c r="DR177" s="449"/>
      <c r="DS177" s="449"/>
      <c r="DT177" s="449"/>
      <c r="DU177" s="449"/>
      <c r="DV177" s="449"/>
      <c r="DW177" s="449"/>
      <c r="DX177" s="449"/>
      <c r="DY177" s="449"/>
      <c r="DZ177" s="449"/>
      <c r="EA177" s="449"/>
      <c r="EB177" s="449"/>
      <c r="EC177" s="449"/>
      <c r="ED177" s="449"/>
      <c r="EE177" s="449"/>
      <c r="EF177" s="449"/>
      <c r="EG177" s="449"/>
      <c r="EH177" s="449"/>
      <c r="EI177" s="449"/>
      <c r="EJ177" s="449"/>
      <c r="EK177" s="449"/>
      <c r="EL177" s="449"/>
      <c r="EM177" s="449"/>
      <c r="EN177" s="449"/>
      <c r="EO177" s="449"/>
      <c r="EP177" s="449"/>
      <c r="EQ177" s="449"/>
      <c r="ER177" s="449"/>
      <c r="ES177" s="449"/>
      <c r="ET177" s="449"/>
      <c r="EU177" s="449"/>
      <c r="EV177" s="449"/>
      <c r="EW177" s="449"/>
      <c r="EX177" s="449"/>
      <c r="EY177" s="449"/>
      <c r="EZ177" s="449"/>
      <c r="FA177" s="449"/>
      <c r="FB177" s="449"/>
      <c r="FC177" s="449"/>
      <c r="FD177" s="449"/>
      <c r="FE177" s="449"/>
      <c r="FF177" s="449"/>
      <c r="FG177" s="449"/>
      <c r="FH177" s="449"/>
      <c r="FI177" s="449"/>
      <c r="FJ177" s="449"/>
      <c r="FK177" s="449"/>
      <c r="FL177" s="449"/>
      <c r="FM177" s="449"/>
      <c r="FN177" s="449"/>
      <c r="FO177" s="449"/>
      <c r="FP177" s="449"/>
      <c r="FQ177" s="449"/>
      <c r="FR177" s="449"/>
      <c r="FS177" s="449"/>
      <c r="FT177" s="449"/>
      <c r="FU177" s="449"/>
      <c r="FV177" s="449"/>
      <c r="FW177" s="449"/>
      <c r="FX177" s="449"/>
      <c r="FY177" s="449"/>
      <c r="FZ177" s="449"/>
      <c r="GA177" s="449"/>
      <c r="GB177" s="449"/>
      <c r="GC177" s="449"/>
      <c r="GD177" s="449"/>
      <c r="GE177" s="449"/>
      <c r="GF177" s="449"/>
      <c r="GG177" s="449"/>
      <c r="GH177" s="449"/>
      <c r="GI177" s="449"/>
      <c r="GJ177" s="449"/>
      <c r="GK177" s="449"/>
      <c r="GL177" s="449"/>
      <c r="GM177" s="449"/>
      <c r="GN177" s="449"/>
      <c r="GO177" s="449"/>
      <c r="GP177" s="449"/>
      <c r="GQ177" s="449"/>
      <c r="GR177" s="449"/>
      <c r="GS177" s="449"/>
      <c r="GT177" s="449"/>
      <c r="GU177" s="449"/>
      <c r="GV177" s="449"/>
      <c r="GW177" s="449"/>
      <c r="GX177" s="449"/>
      <c r="GY177" s="449"/>
      <c r="GZ177" s="449"/>
      <c r="HA177" s="449"/>
      <c r="HB177" s="449"/>
      <c r="HC177" s="449"/>
      <c r="HD177" s="449"/>
      <c r="HE177" s="449"/>
      <c r="HF177" s="449"/>
      <c r="HG177" s="449"/>
      <c r="HH177" s="449"/>
      <c r="HI177" s="449"/>
      <c r="HJ177" s="449"/>
      <c r="HK177" s="449"/>
      <c r="HL177" s="449"/>
      <c r="HM177" s="449"/>
      <c r="HN177" s="449"/>
      <c r="HO177" s="449"/>
      <c r="HP177" s="449"/>
      <c r="HQ177" s="449"/>
      <c r="HR177" s="449"/>
      <c r="HS177" s="449"/>
      <c r="HT177" s="449"/>
      <c r="HU177" s="449"/>
      <c r="HV177" s="449"/>
      <c r="HW177" s="449"/>
      <c r="HX177" s="449"/>
      <c r="HY177" s="449"/>
      <c r="HZ177" s="449"/>
      <c r="IA177" s="449"/>
      <c r="IB177" s="449"/>
      <c r="IC177" s="449"/>
      <c r="ID177" s="449"/>
      <c r="IE177" s="449"/>
      <c r="IF177" s="449"/>
      <c r="IG177" s="449"/>
      <c r="IH177" s="449"/>
      <c r="II177" s="449"/>
      <c r="IJ177" s="449"/>
      <c r="IK177" s="449"/>
      <c r="IL177" s="449"/>
      <c r="IM177" s="449"/>
      <c r="IN177" s="449"/>
      <c r="IO177" s="449"/>
      <c r="IP177" s="449"/>
      <c r="IQ177" s="449"/>
      <c r="IR177" s="449"/>
      <c r="IS177" s="449"/>
      <c r="IT177" s="449"/>
      <c r="IU177" s="449"/>
      <c r="IV177" s="449"/>
      <c r="IW177" s="449"/>
      <c r="IX177" s="449"/>
    </row>
    <row r="178" spans="3:258" ht="18.75" x14ac:dyDescent="0.25">
      <c r="C178" s="566" t="s">
        <v>1128</v>
      </c>
      <c r="D178" s="565"/>
      <c r="E178" s="565"/>
      <c r="F178" s="565"/>
      <c r="G178" s="565"/>
      <c r="H178" s="565"/>
      <c r="I178" s="565"/>
      <c r="J178" s="565"/>
      <c r="K178" s="565"/>
      <c r="L178" s="558"/>
      <c r="M178" s="457"/>
    </row>
    <row r="179" spans="3:258" x14ac:dyDescent="0.2">
      <c r="C179" s="458" t="s">
        <v>1129</v>
      </c>
      <c r="D179" s="460" t="s">
        <v>605</v>
      </c>
      <c r="E179" s="459"/>
      <c r="F179" s="459"/>
      <c r="G179" s="460" t="s">
        <v>605</v>
      </c>
      <c r="H179" s="460" t="s">
        <v>605</v>
      </c>
      <c r="I179" s="460" t="s">
        <v>605</v>
      </c>
      <c r="J179" s="461" t="s">
        <v>605</v>
      </c>
      <c r="K179" s="462" t="s">
        <v>605</v>
      </c>
      <c r="L179" s="463" t="str">
        <f>IFERROR(K179/#REF!-1,"")</f>
        <v/>
      </c>
      <c r="M179" s="457"/>
    </row>
    <row r="180" spans="3:258" x14ac:dyDescent="0.2">
      <c r="C180" s="464">
        <v>80534</v>
      </c>
      <c r="D180" s="466" t="s">
        <v>1014</v>
      </c>
      <c r="E180" s="465" t="s">
        <v>1130</v>
      </c>
      <c r="F180" s="465"/>
      <c r="G180" s="466">
        <v>1000</v>
      </c>
      <c r="H180" s="466">
        <v>156</v>
      </c>
      <c r="I180" s="466">
        <v>71</v>
      </c>
      <c r="J180" s="467">
        <v>11.73</v>
      </c>
      <c r="K180" s="468">
        <v>3379</v>
      </c>
      <c r="L180" s="469">
        <f>K180*0.65</f>
        <v>2196.35</v>
      </c>
      <c r="M180" s="457"/>
    </row>
    <row r="181" spans="3:258" x14ac:dyDescent="0.2">
      <c r="C181" s="464">
        <v>805055</v>
      </c>
      <c r="D181" s="466" t="s">
        <v>1028</v>
      </c>
      <c r="E181" s="465" t="s">
        <v>1131</v>
      </c>
      <c r="F181" s="465"/>
      <c r="G181" s="466">
        <v>1000</v>
      </c>
      <c r="H181" s="466">
        <v>156</v>
      </c>
      <c r="I181" s="466">
        <v>71</v>
      </c>
      <c r="J181" s="467">
        <v>13.62</v>
      </c>
      <c r="K181" s="468">
        <v>4143</v>
      </c>
      <c r="L181" s="469">
        <f t="shared" ref="L181:L191" si="6">K181*0.65</f>
        <v>2692.9500000000003</v>
      </c>
      <c r="M181" s="457"/>
    </row>
    <row r="182" spans="3:258" x14ac:dyDescent="0.2">
      <c r="C182" s="464" t="s">
        <v>1132</v>
      </c>
      <c r="D182" s="466" t="s">
        <v>1014</v>
      </c>
      <c r="E182" s="465" t="s">
        <v>1130</v>
      </c>
      <c r="F182" s="465"/>
      <c r="G182" s="466">
        <v>1000</v>
      </c>
      <c r="H182" s="466">
        <v>156</v>
      </c>
      <c r="I182" s="466">
        <v>96</v>
      </c>
      <c r="J182" s="467">
        <v>11.93</v>
      </c>
      <c r="K182" s="468">
        <v>3454</v>
      </c>
      <c r="L182" s="469">
        <f t="shared" si="6"/>
        <v>2245.1</v>
      </c>
      <c r="M182" s="457"/>
    </row>
    <row r="183" spans="3:258" x14ac:dyDescent="0.2">
      <c r="C183" s="464" t="s">
        <v>1133</v>
      </c>
      <c r="D183" s="466" t="s">
        <v>1028</v>
      </c>
      <c r="E183" s="465" t="s">
        <v>1131</v>
      </c>
      <c r="F183" s="465"/>
      <c r="G183" s="466">
        <v>1000</v>
      </c>
      <c r="H183" s="466">
        <v>159</v>
      </c>
      <c r="I183" s="466">
        <v>96</v>
      </c>
      <c r="J183" s="467">
        <v>13.95</v>
      </c>
      <c r="K183" s="468">
        <v>4178</v>
      </c>
      <c r="L183" s="469">
        <f t="shared" si="6"/>
        <v>2715.7000000000003</v>
      </c>
      <c r="M183" s="457"/>
    </row>
    <row r="184" spans="3:258" x14ac:dyDescent="0.2">
      <c r="C184" s="464" t="s">
        <v>1134</v>
      </c>
      <c r="D184" s="466" t="s">
        <v>1014</v>
      </c>
      <c r="E184" s="465" t="s">
        <v>1130</v>
      </c>
      <c r="F184" s="465"/>
      <c r="G184" s="466">
        <v>1000</v>
      </c>
      <c r="H184" s="466">
        <v>160</v>
      </c>
      <c r="I184" s="466">
        <v>136</v>
      </c>
      <c r="J184" s="467">
        <v>12.45</v>
      </c>
      <c r="K184" s="468">
        <v>3504</v>
      </c>
      <c r="L184" s="469">
        <f t="shared" si="6"/>
        <v>2277.6</v>
      </c>
      <c r="M184" s="457"/>
    </row>
    <row r="185" spans="3:258" x14ac:dyDescent="0.2">
      <c r="C185" s="464" t="s">
        <v>1135</v>
      </c>
      <c r="D185" s="466" t="s">
        <v>1028</v>
      </c>
      <c r="E185" s="465" t="s">
        <v>1131</v>
      </c>
      <c r="F185" s="465"/>
      <c r="G185" s="466">
        <v>1000</v>
      </c>
      <c r="H185" s="466">
        <v>160</v>
      </c>
      <c r="I185" s="466">
        <v>136</v>
      </c>
      <c r="J185" s="467">
        <v>14.48</v>
      </c>
      <c r="K185" s="468">
        <v>4228</v>
      </c>
      <c r="L185" s="469">
        <f t="shared" si="6"/>
        <v>2748.2000000000003</v>
      </c>
      <c r="M185" s="457"/>
    </row>
    <row r="186" spans="3:258" x14ac:dyDescent="0.2">
      <c r="C186" s="464">
        <v>80034</v>
      </c>
      <c r="D186" s="466" t="s">
        <v>1014</v>
      </c>
      <c r="E186" s="465" t="s">
        <v>1130</v>
      </c>
      <c r="F186" s="465"/>
      <c r="G186" s="466">
        <v>1000</v>
      </c>
      <c r="H186" s="466">
        <v>160</v>
      </c>
      <c r="I186" s="466">
        <v>171</v>
      </c>
      <c r="J186" s="467">
        <v>12.92</v>
      </c>
      <c r="K186" s="468">
        <v>3594</v>
      </c>
      <c r="L186" s="469">
        <f t="shared" si="6"/>
        <v>2336.1</v>
      </c>
      <c r="M186" s="457"/>
    </row>
    <row r="187" spans="3:258" x14ac:dyDescent="0.2">
      <c r="C187" s="464">
        <v>80055</v>
      </c>
      <c r="D187" s="466" t="s">
        <v>1028</v>
      </c>
      <c r="E187" s="465" t="s">
        <v>1131</v>
      </c>
      <c r="F187" s="465"/>
      <c r="G187" s="466">
        <v>1000</v>
      </c>
      <c r="H187" s="466">
        <v>160</v>
      </c>
      <c r="I187" s="466">
        <v>171</v>
      </c>
      <c r="J187" s="467">
        <v>15.06</v>
      </c>
      <c r="K187" s="468">
        <v>4318</v>
      </c>
      <c r="L187" s="469">
        <f t="shared" si="6"/>
        <v>2806.7000000000003</v>
      </c>
      <c r="M187" s="457"/>
    </row>
    <row r="188" spans="3:258" x14ac:dyDescent="0.2">
      <c r="C188" s="464">
        <v>80434</v>
      </c>
      <c r="D188" s="466" t="s">
        <v>1014</v>
      </c>
      <c r="E188" s="465" t="s">
        <v>1130</v>
      </c>
      <c r="F188" s="465"/>
      <c r="G188" s="466">
        <v>1000</v>
      </c>
      <c r="H188" s="466">
        <v>160</v>
      </c>
      <c r="I188" s="466">
        <v>216</v>
      </c>
      <c r="J188" s="467">
        <v>13.51</v>
      </c>
      <c r="K188" s="468">
        <v>3664</v>
      </c>
      <c r="L188" s="469">
        <f t="shared" si="6"/>
        <v>2381.6</v>
      </c>
      <c r="M188" s="457"/>
    </row>
    <row r="189" spans="3:258" x14ac:dyDescent="0.2">
      <c r="C189" s="464">
        <v>804055</v>
      </c>
      <c r="D189" s="466" t="s">
        <v>1028</v>
      </c>
      <c r="E189" s="465" t="s">
        <v>1131</v>
      </c>
      <c r="F189" s="465"/>
      <c r="G189" s="466">
        <v>1000</v>
      </c>
      <c r="H189" s="466">
        <v>160</v>
      </c>
      <c r="I189" s="466">
        <v>216</v>
      </c>
      <c r="J189" s="467">
        <v>15.73</v>
      </c>
      <c r="K189" s="468">
        <v>4388</v>
      </c>
      <c r="L189" s="469">
        <f t="shared" si="6"/>
        <v>2852.2000000000003</v>
      </c>
      <c r="M189" s="457"/>
    </row>
    <row r="190" spans="3:258" x14ac:dyDescent="0.2">
      <c r="C190" s="464">
        <v>80800734</v>
      </c>
      <c r="D190" s="466" t="s">
        <v>1014</v>
      </c>
      <c r="E190" s="465" t="s">
        <v>1136</v>
      </c>
      <c r="F190" s="465"/>
      <c r="G190" s="466">
        <v>520</v>
      </c>
      <c r="H190" s="466">
        <v>160</v>
      </c>
      <c r="I190" s="466">
        <v>614</v>
      </c>
      <c r="J190" s="467">
        <v>9.0399999999999991</v>
      </c>
      <c r="K190" s="468">
        <v>3757</v>
      </c>
      <c r="L190" s="469">
        <f t="shared" si="6"/>
        <v>2442.0500000000002</v>
      </c>
      <c r="M190" s="457"/>
    </row>
    <row r="191" spans="3:258" ht="25.5" x14ac:dyDescent="0.2">
      <c r="C191" s="464">
        <v>80800755</v>
      </c>
      <c r="D191" s="466" t="s">
        <v>1028</v>
      </c>
      <c r="E191" s="465" t="s">
        <v>1137</v>
      </c>
      <c r="F191" s="465"/>
      <c r="G191" s="466">
        <v>520</v>
      </c>
      <c r="H191" s="466">
        <v>160</v>
      </c>
      <c r="I191" s="466">
        <v>614</v>
      </c>
      <c r="J191" s="467">
        <v>10.050000000000001</v>
      </c>
      <c r="K191" s="468">
        <v>4087</v>
      </c>
      <c r="L191" s="469">
        <f t="shared" si="6"/>
        <v>2656.55</v>
      </c>
      <c r="M191" s="457"/>
    </row>
    <row r="192" spans="3:258" x14ac:dyDescent="0.2">
      <c r="C192" s="458" t="s">
        <v>1138</v>
      </c>
      <c r="D192" s="460" t="s">
        <v>605</v>
      </c>
      <c r="E192" s="459"/>
      <c r="F192" s="459"/>
      <c r="G192" s="460" t="s">
        <v>605</v>
      </c>
      <c r="H192" s="460" t="s">
        <v>605</v>
      </c>
      <c r="I192" s="460" t="s">
        <v>605</v>
      </c>
      <c r="J192" s="461" t="s">
        <v>605</v>
      </c>
      <c r="K192" s="462" t="s">
        <v>605</v>
      </c>
      <c r="L192" s="470" t="str">
        <f>IFERROR(K192/#REF!-1,"")</f>
        <v/>
      </c>
      <c r="M192" s="457"/>
    </row>
    <row r="193" spans="3:13" x14ac:dyDescent="0.2">
      <c r="C193" s="464">
        <v>824004</v>
      </c>
      <c r="D193" s="466" t="s">
        <v>1014</v>
      </c>
      <c r="E193" s="465" t="s">
        <v>1130</v>
      </c>
      <c r="F193" s="465"/>
      <c r="G193" s="466">
        <v>1000</v>
      </c>
      <c r="H193" s="466">
        <v>210</v>
      </c>
      <c r="I193" s="466">
        <v>216</v>
      </c>
      <c r="J193" s="467">
        <v>18</v>
      </c>
      <c r="K193" s="468">
        <v>5998</v>
      </c>
      <c r="L193" s="469">
        <f>K193*0.65</f>
        <v>3898.7000000000003</v>
      </c>
      <c r="M193" s="457"/>
    </row>
    <row r="194" spans="3:13" x14ac:dyDescent="0.2">
      <c r="C194" s="464">
        <v>824055</v>
      </c>
      <c r="D194" s="466" t="s">
        <v>1028</v>
      </c>
      <c r="E194" s="465" t="s">
        <v>1131</v>
      </c>
      <c r="F194" s="465"/>
      <c r="G194" s="466">
        <v>1000</v>
      </c>
      <c r="H194" s="466">
        <v>210</v>
      </c>
      <c r="I194" s="466">
        <v>216</v>
      </c>
      <c r="J194" s="467">
        <v>18</v>
      </c>
      <c r="K194" s="468">
        <v>6528</v>
      </c>
      <c r="L194" s="469">
        <f>K194*0.65</f>
        <v>4243.2</v>
      </c>
      <c r="M194" s="457"/>
    </row>
    <row r="195" spans="3:13" x14ac:dyDescent="0.2">
      <c r="C195" s="458" t="s">
        <v>1139</v>
      </c>
      <c r="D195" s="460" t="s">
        <v>605</v>
      </c>
      <c r="E195" s="459"/>
      <c r="F195" s="459"/>
      <c r="G195" s="460" t="s">
        <v>605</v>
      </c>
      <c r="H195" s="460" t="s">
        <v>605</v>
      </c>
      <c r="I195" s="460" t="s">
        <v>605</v>
      </c>
      <c r="J195" s="461" t="s">
        <v>605</v>
      </c>
      <c r="K195" s="462" t="s">
        <v>605</v>
      </c>
      <c r="L195" s="470" t="str">
        <f>IFERROR(K195/#REF!-1,"")</f>
        <v/>
      </c>
      <c r="M195" s="457"/>
    </row>
    <row r="196" spans="3:13" x14ac:dyDescent="0.2">
      <c r="C196" s="464">
        <v>85134</v>
      </c>
      <c r="D196" s="466" t="s">
        <v>1014</v>
      </c>
      <c r="E196" s="465" t="s">
        <v>1130</v>
      </c>
      <c r="F196" s="465"/>
      <c r="G196" s="466">
        <v>1000</v>
      </c>
      <c r="H196" s="466">
        <v>260</v>
      </c>
      <c r="I196" s="466">
        <v>80</v>
      </c>
      <c r="J196" s="467">
        <v>20.93</v>
      </c>
      <c r="K196" s="468">
        <v>7053</v>
      </c>
      <c r="L196" s="469">
        <f t="shared" ref="L196:L201" si="7">K196*0.65</f>
        <v>4584.45</v>
      </c>
      <c r="M196" s="457"/>
    </row>
    <row r="197" spans="3:13" x14ac:dyDescent="0.2">
      <c r="C197" s="464">
        <v>851055</v>
      </c>
      <c r="D197" s="466" t="s">
        <v>1028</v>
      </c>
      <c r="E197" s="465" t="s">
        <v>1131</v>
      </c>
      <c r="F197" s="465"/>
      <c r="G197" s="466">
        <v>1000</v>
      </c>
      <c r="H197" s="466">
        <v>260</v>
      </c>
      <c r="I197" s="466">
        <v>80</v>
      </c>
      <c r="J197" s="467">
        <v>0</v>
      </c>
      <c r="K197" s="468">
        <v>7613</v>
      </c>
      <c r="L197" s="469">
        <f t="shared" si="7"/>
        <v>4948.45</v>
      </c>
      <c r="M197" s="457"/>
    </row>
    <row r="198" spans="3:13" x14ac:dyDescent="0.2">
      <c r="C198" s="464" t="s">
        <v>1140</v>
      </c>
      <c r="D198" s="466" t="s">
        <v>1014</v>
      </c>
      <c r="E198" s="465" t="s">
        <v>1130</v>
      </c>
      <c r="F198" s="465"/>
      <c r="G198" s="466">
        <v>1000</v>
      </c>
      <c r="H198" s="466">
        <v>260</v>
      </c>
      <c r="I198" s="466">
        <v>216</v>
      </c>
      <c r="J198" s="467">
        <v>18.05</v>
      </c>
      <c r="K198" s="468">
        <v>7808</v>
      </c>
      <c r="L198" s="469">
        <f t="shared" si="7"/>
        <v>5075.2</v>
      </c>
      <c r="M198" s="457"/>
    </row>
    <row r="199" spans="3:13" x14ac:dyDescent="0.2">
      <c r="C199" s="464" t="s">
        <v>1141</v>
      </c>
      <c r="D199" s="466" t="s">
        <v>1028</v>
      </c>
      <c r="E199" s="465" t="s">
        <v>1131</v>
      </c>
      <c r="F199" s="465"/>
      <c r="G199" s="466">
        <v>1000</v>
      </c>
      <c r="H199" s="466">
        <v>260</v>
      </c>
      <c r="I199" s="466">
        <v>216</v>
      </c>
      <c r="J199" s="467">
        <v>25.22</v>
      </c>
      <c r="K199" s="468">
        <v>8368</v>
      </c>
      <c r="L199" s="469">
        <f t="shared" si="7"/>
        <v>5439.2</v>
      </c>
      <c r="M199" s="457"/>
    </row>
    <row r="200" spans="3:13" x14ac:dyDescent="0.2">
      <c r="C200" s="464">
        <v>856034</v>
      </c>
      <c r="D200" s="466" t="s">
        <v>1014</v>
      </c>
      <c r="E200" s="465" t="s">
        <v>1130</v>
      </c>
      <c r="F200" s="465"/>
      <c r="G200" s="466">
        <v>1000</v>
      </c>
      <c r="H200" s="466">
        <v>260</v>
      </c>
      <c r="I200" s="466">
        <v>316</v>
      </c>
      <c r="J200" s="467">
        <v>24</v>
      </c>
      <c r="K200" s="468">
        <v>8278</v>
      </c>
      <c r="L200" s="469">
        <f t="shared" si="7"/>
        <v>5380.7</v>
      </c>
      <c r="M200" s="457"/>
    </row>
    <row r="201" spans="3:13" x14ac:dyDescent="0.2">
      <c r="C201" s="464">
        <v>8560355</v>
      </c>
      <c r="D201" s="466" t="s">
        <v>1028</v>
      </c>
      <c r="E201" s="465" t="s">
        <v>1131</v>
      </c>
      <c r="F201" s="465"/>
      <c r="G201" s="466">
        <v>1000</v>
      </c>
      <c r="H201" s="466">
        <v>260</v>
      </c>
      <c r="I201" s="466">
        <v>316</v>
      </c>
      <c r="J201" s="467">
        <v>26</v>
      </c>
      <c r="K201" s="468">
        <v>8838</v>
      </c>
      <c r="L201" s="469">
        <f t="shared" si="7"/>
        <v>5744.7</v>
      </c>
      <c r="M201" s="457"/>
    </row>
  </sheetData>
  <pageMargins left="0.25" right="0.25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P196"/>
  <sheetViews>
    <sheetView zoomScale="85" zoomScaleNormal="85" zoomScaleSheetLayoutView="80" workbookViewId="0">
      <pane ySplit="1" topLeftCell="A164" activePane="bottomLeft" state="frozen"/>
      <selection activeCell="E186" sqref="E186"/>
      <selection pane="bottomLeft" activeCell="A80" sqref="A80:XFD181"/>
    </sheetView>
  </sheetViews>
  <sheetFormatPr defaultRowHeight="12.75" x14ac:dyDescent="0.2"/>
  <cols>
    <col min="1" max="2" width="9.140625" style="216"/>
    <col min="3" max="3" width="15.7109375" style="366" customWidth="1"/>
    <col min="4" max="4" width="10.140625" style="216" customWidth="1"/>
    <col min="5" max="5" width="96.85546875" style="216" customWidth="1"/>
    <col min="6" max="6" width="11.42578125" style="216" customWidth="1"/>
    <col min="7" max="7" width="10.42578125" style="216" customWidth="1"/>
    <col min="8" max="8" width="12.85546875" style="216" customWidth="1"/>
    <col min="9" max="9" width="12.28515625" style="216" customWidth="1"/>
    <col min="10" max="10" width="12" style="216" customWidth="1"/>
    <col min="11" max="12" width="15.7109375" style="371" customWidth="1"/>
    <col min="13" max="13" width="15.42578125" style="216" customWidth="1"/>
    <col min="14" max="260" width="9.140625" style="216"/>
    <col min="261" max="261" width="15.7109375" style="216" customWidth="1"/>
    <col min="262" max="262" width="10.140625" style="216" customWidth="1"/>
    <col min="263" max="263" width="96.85546875" style="216" customWidth="1"/>
    <col min="264" max="264" width="10.42578125" style="216" customWidth="1"/>
    <col min="265" max="265" width="12.85546875" style="216" customWidth="1"/>
    <col min="266" max="266" width="12.28515625" style="216" customWidth="1"/>
    <col min="267" max="267" width="12" style="216" customWidth="1"/>
    <col min="268" max="268" width="15.7109375" style="216" customWidth="1"/>
    <col min="269" max="269" width="15.42578125" style="216" customWidth="1"/>
    <col min="270" max="516" width="9.140625" style="216"/>
    <col min="517" max="517" width="15.7109375" style="216" customWidth="1"/>
    <col min="518" max="518" width="10.140625" style="216" customWidth="1"/>
    <col min="519" max="519" width="96.85546875" style="216" customWidth="1"/>
    <col min="520" max="520" width="10.42578125" style="216" customWidth="1"/>
    <col min="521" max="521" width="12.85546875" style="216" customWidth="1"/>
    <col min="522" max="522" width="12.28515625" style="216" customWidth="1"/>
    <col min="523" max="523" width="12" style="216" customWidth="1"/>
    <col min="524" max="524" width="15.7109375" style="216" customWidth="1"/>
    <col min="525" max="525" width="15.42578125" style="216" customWidth="1"/>
    <col min="526" max="772" width="9.140625" style="216"/>
    <col min="773" max="773" width="15.7109375" style="216" customWidth="1"/>
    <col min="774" max="774" width="10.140625" style="216" customWidth="1"/>
    <col min="775" max="775" width="96.85546875" style="216" customWidth="1"/>
    <col min="776" max="776" width="10.42578125" style="216" customWidth="1"/>
    <col min="777" max="777" width="12.85546875" style="216" customWidth="1"/>
    <col min="778" max="778" width="12.28515625" style="216" customWidth="1"/>
    <col min="779" max="779" width="12" style="216" customWidth="1"/>
    <col min="780" max="780" width="15.7109375" style="216" customWidth="1"/>
    <col min="781" max="781" width="15.42578125" style="216" customWidth="1"/>
    <col min="782" max="1028" width="9.140625" style="216"/>
    <col min="1029" max="1029" width="15.7109375" style="216" customWidth="1"/>
    <col min="1030" max="1030" width="10.140625" style="216" customWidth="1"/>
    <col min="1031" max="1031" width="96.85546875" style="216" customWidth="1"/>
    <col min="1032" max="1032" width="10.42578125" style="216" customWidth="1"/>
    <col min="1033" max="1033" width="12.85546875" style="216" customWidth="1"/>
    <col min="1034" max="1034" width="12.28515625" style="216" customWidth="1"/>
    <col min="1035" max="1035" width="12" style="216" customWidth="1"/>
    <col min="1036" max="1036" width="15.7109375" style="216" customWidth="1"/>
    <col min="1037" max="1037" width="15.42578125" style="216" customWidth="1"/>
    <col min="1038" max="1284" width="9.140625" style="216"/>
    <col min="1285" max="1285" width="15.7109375" style="216" customWidth="1"/>
    <col min="1286" max="1286" width="10.140625" style="216" customWidth="1"/>
    <col min="1287" max="1287" width="96.85546875" style="216" customWidth="1"/>
    <col min="1288" max="1288" width="10.42578125" style="216" customWidth="1"/>
    <col min="1289" max="1289" width="12.85546875" style="216" customWidth="1"/>
    <col min="1290" max="1290" width="12.28515625" style="216" customWidth="1"/>
    <col min="1291" max="1291" width="12" style="216" customWidth="1"/>
    <col min="1292" max="1292" width="15.7109375" style="216" customWidth="1"/>
    <col min="1293" max="1293" width="15.42578125" style="216" customWidth="1"/>
    <col min="1294" max="1540" width="9.140625" style="216"/>
    <col min="1541" max="1541" width="15.7109375" style="216" customWidth="1"/>
    <col min="1542" max="1542" width="10.140625" style="216" customWidth="1"/>
    <col min="1543" max="1543" width="96.85546875" style="216" customWidth="1"/>
    <col min="1544" max="1544" width="10.42578125" style="216" customWidth="1"/>
    <col min="1545" max="1545" width="12.85546875" style="216" customWidth="1"/>
    <col min="1546" max="1546" width="12.28515625" style="216" customWidth="1"/>
    <col min="1547" max="1547" width="12" style="216" customWidth="1"/>
    <col min="1548" max="1548" width="15.7109375" style="216" customWidth="1"/>
    <col min="1549" max="1549" width="15.42578125" style="216" customWidth="1"/>
    <col min="1550" max="1796" width="9.140625" style="216"/>
    <col min="1797" max="1797" width="15.7109375" style="216" customWidth="1"/>
    <col min="1798" max="1798" width="10.140625" style="216" customWidth="1"/>
    <col min="1799" max="1799" width="96.85546875" style="216" customWidth="1"/>
    <col min="1800" max="1800" width="10.42578125" style="216" customWidth="1"/>
    <col min="1801" max="1801" width="12.85546875" style="216" customWidth="1"/>
    <col min="1802" max="1802" width="12.28515625" style="216" customWidth="1"/>
    <col min="1803" max="1803" width="12" style="216" customWidth="1"/>
    <col min="1804" max="1804" width="15.7109375" style="216" customWidth="1"/>
    <col min="1805" max="1805" width="15.42578125" style="216" customWidth="1"/>
    <col min="1806" max="2052" width="9.140625" style="216"/>
    <col min="2053" max="2053" width="15.7109375" style="216" customWidth="1"/>
    <col min="2054" max="2054" width="10.140625" style="216" customWidth="1"/>
    <col min="2055" max="2055" width="96.85546875" style="216" customWidth="1"/>
    <col min="2056" max="2056" width="10.42578125" style="216" customWidth="1"/>
    <col min="2057" max="2057" width="12.85546875" style="216" customWidth="1"/>
    <col min="2058" max="2058" width="12.28515625" style="216" customWidth="1"/>
    <col min="2059" max="2059" width="12" style="216" customWidth="1"/>
    <col min="2060" max="2060" width="15.7109375" style="216" customWidth="1"/>
    <col min="2061" max="2061" width="15.42578125" style="216" customWidth="1"/>
    <col min="2062" max="2308" width="9.140625" style="216"/>
    <col min="2309" max="2309" width="15.7109375" style="216" customWidth="1"/>
    <col min="2310" max="2310" width="10.140625" style="216" customWidth="1"/>
    <col min="2311" max="2311" width="96.85546875" style="216" customWidth="1"/>
    <col min="2312" max="2312" width="10.42578125" style="216" customWidth="1"/>
    <col min="2313" max="2313" width="12.85546875" style="216" customWidth="1"/>
    <col min="2314" max="2314" width="12.28515625" style="216" customWidth="1"/>
    <col min="2315" max="2315" width="12" style="216" customWidth="1"/>
    <col min="2316" max="2316" width="15.7109375" style="216" customWidth="1"/>
    <col min="2317" max="2317" width="15.42578125" style="216" customWidth="1"/>
    <col min="2318" max="2564" width="9.140625" style="216"/>
    <col min="2565" max="2565" width="15.7109375" style="216" customWidth="1"/>
    <col min="2566" max="2566" width="10.140625" style="216" customWidth="1"/>
    <col min="2567" max="2567" width="96.85546875" style="216" customWidth="1"/>
    <col min="2568" max="2568" width="10.42578125" style="216" customWidth="1"/>
    <col min="2569" max="2569" width="12.85546875" style="216" customWidth="1"/>
    <col min="2570" max="2570" width="12.28515625" style="216" customWidth="1"/>
    <col min="2571" max="2571" width="12" style="216" customWidth="1"/>
    <col min="2572" max="2572" width="15.7109375" style="216" customWidth="1"/>
    <col min="2573" max="2573" width="15.42578125" style="216" customWidth="1"/>
    <col min="2574" max="2820" width="9.140625" style="216"/>
    <col min="2821" max="2821" width="15.7109375" style="216" customWidth="1"/>
    <col min="2822" max="2822" width="10.140625" style="216" customWidth="1"/>
    <col min="2823" max="2823" width="96.85546875" style="216" customWidth="1"/>
    <col min="2824" max="2824" width="10.42578125" style="216" customWidth="1"/>
    <col min="2825" max="2825" width="12.85546875" style="216" customWidth="1"/>
    <col min="2826" max="2826" width="12.28515625" style="216" customWidth="1"/>
    <col min="2827" max="2827" width="12" style="216" customWidth="1"/>
    <col min="2828" max="2828" width="15.7109375" style="216" customWidth="1"/>
    <col min="2829" max="2829" width="15.42578125" style="216" customWidth="1"/>
    <col min="2830" max="3076" width="9.140625" style="216"/>
    <col min="3077" max="3077" width="15.7109375" style="216" customWidth="1"/>
    <col min="3078" max="3078" width="10.140625" style="216" customWidth="1"/>
    <col min="3079" max="3079" width="96.85546875" style="216" customWidth="1"/>
    <col min="3080" max="3080" width="10.42578125" style="216" customWidth="1"/>
    <col min="3081" max="3081" width="12.85546875" style="216" customWidth="1"/>
    <col min="3082" max="3082" width="12.28515625" style="216" customWidth="1"/>
    <col min="3083" max="3083" width="12" style="216" customWidth="1"/>
    <col min="3084" max="3084" width="15.7109375" style="216" customWidth="1"/>
    <col min="3085" max="3085" width="15.42578125" style="216" customWidth="1"/>
    <col min="3086" max="3332" width="9.140625" style="216"/>
    <col min="3333" max="3333" width="15.7109375" style="216" customWidth="1"/>
    <col min="3334" max="3334" width="10.140625" style="216" customWidth="1"/>
    <col min="3335" max="3335" width="96.85546875" style="216" customWidth="1"/>
    <col min="3336" max="3336" width="10.42578125" style="216" customWidth="1"/>
    <col min="3337" max="3337" width="12.85546875" style="216" customWidth="1"/>
    <col min="3338" max="3338" width="12.28515625" style="216" customWidth="1"/>
    <col min="3339" max="3339" width="12" style="216" customWidth="1"/>
    <col min="3340" max="3340" width="15.7109375" style="216" customWidth="1"/>
    <col min="3341" max="3341" width="15.42578125" style="216" customWidth="1"/>
    <col min="3342" max="3588" width="9.140625" style="216"/>
    <col min="3589" max="3589" width="15.7109375" style="216" customWidth="1"/>
    <col min="3590" max="3590" width="10.140625" style="216" customWidth="1"/>
    <col min="3591" max="3591" width="96.85546875" style="216" customWidth="1"/>
    <col min="3592" max="3592" width="10.42578125" style="216" customWidth="1"/>
    <col min="3593" max="3593" width="12.85546875" style="216" customWidth="1"/>
    <col min="3594" max="3594" width="12.28515625" style="216" customWidth="1"/>
    <col min="3595" max="3595" width="12" style="216" customWidth="1"/>
    <col min="3596" max="3596" width="15.7109375" style="216" customWidth="1"/>
    <col min="3597" max="3597" width="15.42578125" style="216" customWidth="1"/>
    <col min="3598" max="3844" width="9.140625" style="216"/>
    <col min="3845" max="3845" width="15.7109375" style="216" customWidth="1"/>
    <col min="3846" max="3846" width="10.140625" style="216" customWidth="1"/>
    <col min="3847" max="3847" width="96.85546875" style="216" customWidth="1"/>
    <col min="3848" max="3848" width="10.42578125" style="216" customWidth="1"/>
    <col min="3849" max="3849" width="12.85546875" style="216" customWidth="1"/>
    <col min="3850" max="3850" width="12.28515625" style="216" customWidth="1"/>
    <col min="3851" max="3851" width="12" style="216" customWidth="1"/>
    <col min="3852" max="3852" width="15.7109375" style="216" customWidth="1"/>
    <col min="3853" max="3853" width="15.42578125" style="216" customWidth="1"/>
    <col min="3854" max="4100" width="9.140625" style="216"/>
    <col min="4101" max="4101" width="15.7109375" style="216" customWidth="1"/>
    <col min="4102" max="4102" width="10.140625" style="216" customWidth="1"/>
    <col min="4103" max="4103" width="96.85546875" style="216" customWidth="1"/>
    <col min="4104" max="4104" width="10.42578125" style="216" customWidth="1"/>
    <col min="4105" max="4105" width="12.85546875" style="216" customWidth="1"/>
    <col min="4106" max="4106" width="12.28515625" style="216" customWidth="1"/>
    <col min="4107" max="4107" width="12" style="216" customWidth="1"/>
    <col min="4108" max="4108" width="15.7109375" style="216" customWidth="1"/>
    <col min="4109" max="4109" width="15.42578125" style="216" customWidth="1"/>
    <col min="4110" max="4356" width="9.140625" style="216"/>
    <col min="4357" max="4357" width="15.7109375" style="216" customWidth="1"/>
    <col min="4358" max="4358" width="10.140625" style="216" customWidth="1"/>
    <col min="4359" max="4359" width="96.85546875" style="216" customWidth="1"/>
    <col min="4360" max="4360" width="10.42578125" style="216" customWidth="1"/>
    <col min="4361" max="4361" width="12.85546875" style="216" customWidth="1"/>
    <col min="4362" max="4362" width="12.28515625" style="216" customWidth="1"/>
    <col min="4363" max="4363" width="12" style="216" customWidth="1"/>
    <col min="4364" max="4364" width="15.7109375" style="216" customWidth="1"/>
    <col min="4365" max="4365" width="15.42578125" style="216" customWidth="1"/>
    <col min="4366" max="4612" width="9.140625" style="216"/>
    <col min="4613" max="4613" width="15.7109375" style="216" customWidth="1"/>
    <col min="4614" max="4614" width="10.140625" style="216" customWidth="1"/>
    <col min="4615" max="4615" width="96.85546875" style="216" customWidth="1"/>
    <col min="4616" max="4616" width="10.42578125" style="216" customWidth="1"/>
    <col min="4617" max="4617" width="12.85546875" style="216" customWidth="1"/>
    <col min="4618" max="4618" width="12.28515625" style="216" customWidth="1"/>
    <col min="4619" max="4619" width="12" style="216" customWidth="1"/>
    <col min="4620" max="4620" width="15.7109375" style="216" customWidth="1"/>
    <col min="4621" max="4621" width="15.42578125" style="216" customWidth="1"/>
    <col min="4622" max="4868" width="9.140625" style="216"/>
    <col min="4869" max="4869" width="15.7109375" style="216" customWidth="1"/>
    <col min="4870" max="4870" width="10.140625" style="216" customWidth="1"/>
    <col min="4871" max="4871" width="96.85546875" style="216" customWidth="1"/>
    <col min="4872" max="4872" width="10.42578125" style="216" customWidth="1"/>
    <col min="4873" max="4873" width="12.85546875" style="216" customWidth="1"/>
    <col min="4874" max="4874" width="12.28515625" style="216" customWidth="1"/>
    <col min="4875" max="4875" width="12" style="216" customWidth="1"/>
    <col min="4876" max="4876" width="15.7109375" style="216" customWidth="1"/>
    <col min="4877" max="4877" width="15.42578125" style="216" customWidth="1"/>
    <col min="4878" max="5124" width="9.140625" style="216"/>
    <col min="5125" max="5125" width="15.7109375" style="216" customWidth="1"/>
    <col min="5126" max="5126" width="10.140625" style="216" customWidth="1"/>
    <col min="5127" max="5127" width="96.85546875" style="216" customWidth="1"/>
    <col min="5128" max="5128" width="10.42578125" style="216" customWidth="1"/>
    <col min="5129" max="5129" width="12.85546875" style="216" customWidth="1"/>
    <col min="5130" max="5130" width="12.28515625" style="216" customWidth="1"/>
    <col min="5131" max="5131" width="12" style="216" customWidth="1"/>
    <col min="5132" max="5132" width="15.7109375" style="216" customWidth="1"/>
    <col min="5133" max="5133" width="15.42578125" style="216" customWidth="1"/>
    <col min="5134" max="5380" width="9.140625" style="216"/>
    <col min="5381" max="5381" width="15.7109375" style="216" customWidth="1"/>
    <col min="5382" max="5382" width="10.140625" style="216" customWidth="1"/>
    <col min="5383" max="5383" width="96.85546875" style="216" customWidth="1"/>
    <col min="5384" max="5384" width="10.42578125" style="216" customWidth="1"/>
    <col min="5385" max="5385" width="12.85546875" style="216" customWidth="1"/>
    <col min="5386" max="5386" width="12.28515625" style="216" customWidth="1"/>
    <col min="5387" max="5387" width="12" style="216" customWidth="1"/>
    <col min="5388" max="5388" width="15.7109375" style="216" customWidth="1"/>
    <col min="5389" max="5389" width="15.42578125" style="216" customWidth="1"/>
    <col min="5390" max="5636" width="9.140625" style="216"/>
    <col min="5637" max="5637" width="15.7109375" style="216" customWidth="1"/>
    <col min="5638" max="5638" width="10.140625" style="216" customWidth="1"/>
    <col min="5639" max="5639" width="96.85546875" style="216" customWidth="1"/>
    <col min="5640" max="5640" width="10.42578125" style="216" customWidth="1"/>
    <col min="5641" max="5641" width="12.85546875" style="216" customWidth="1"/>
    <col min="5642" max="5642" width="12.28515625" style="216" customWidth="1"/>
    <col min="5643" max="5643" width="12" style="216" customWidth="1"/>
    <col min="5644" max="5644" width="15.7109375" style="216" customWidth="1"/>
    <col min="5645" max="5645" width="15.42578125" style="216" customWidth="1"/>
    <col min="5646" max="5892" width="9.140625" style="216"/>
    <col min="5893" max="5893" width="15.7109375" style="216" customWidth="1"/>
    <col min="5894" max="5894" width="10.140625" style="216" customWidth="1"/>
    <col min="5895" max="5895" width="96.85546875" style="216" customWidth="1"/>
    <col min="5896" max="5896" width="10.42578125" style="216" customWidth="1"/>
    <col min="5897" max="5897" width="12.85546875" style="216" customWidth="1"/>
    <col min="5898" max="5898" width="12.28515625" style="216" customWidth="1"/>
    <col min="5899" max="5899" width="12" style="216" customWidth="1"/>
    <col min="5900" max="5900" width="15.7109375" style="216" customWidth="1"/>
    <col min="5901" max="5901" width="15.42578125" style="216" customWidth="1"/>
    <col min="5902" max="6148" width="9.140625" style="216"/>
    <col min="6149" max="6149" width="15.7109375" style="216" customWidth="1"/>
    <col min="6150" max="6150" width="10.140625" style="216" customWidth="1"/>
    <col min="6151" max="6151" width="96.85546875" style="216" customWidth="1"/>
    <col min="6152" max="6152" width="10.42578125" style="216" customWidth="1"/>
    <col min="6153" max="6153" width="12.85546875" style="216" customWidth="1"/>
    <col min="6154" max="6154" width="12.28515625" style="216" customWidth="1"/>
    <col min="6155" max="6155" width="12" style="216" customWidth="1"/>
    <col min="6156" max="6156" width="15.7109375" style="216" customWidth="1"/>
    <col min="6157" max="6157" width="15.42578125" style="216" customWidth="1"/>
    <col min="6158" max="6404" width="9.140625" style="216"/>
    <col min="6405" max="6405" width="15.7109375" style="216" customWidth="1"/>
    <col min="6406" max="6406" width="10.140625" style="216" customWidth="1"/>
    <col min="6407" max="6407" width="96.85546875" style="216" customWidth="1"/>
    <col min="6408" max="6408" width="10.42578125" style="216" customWidth="1"/>
    <col min="6409" max="6409" width="12.85546875" style="216" customWidth="1"/>
    <col min="6410" max="6410" width="12.28515625" style="216" customWidth="1"/>
    <col min="6411" max="6411" width="12" style="216" customWidth="1"/>
    <col min="6412" max="6412" width="15.7109375" style="216" customWidth="1"/>
    <col min="6413" max="6413" width="15.42578125" style="216" customWidth="1"/>
    <col min="6414" max="6660" width="9.140625" style="216"/>
    <col min="6661" max="6661" width="15.7109375" style="216" customWidth="1"/>
    <col min="6662" max="6662" width="10.140625" style="216" customWidth="1"/>
    <col min="6663" max="6663" width="96.85546875" style="216" customWidth="1"/>
    <col min="6664" max="6664" width="10.42578125" style="216" customWidth="1"/>
    <col min="6665" max="6665" width="12.85546875" style="216" customWidth="1"/>
    <col min="6666" max="6666" width="12.28515625" style="216" customWidth="1"/>
    <col min="6667" max="6667" width="12" style="216" customWidth="1"/>
    <col min="6668" max="6668" width="15.7109375" style="216" customWidth="1"/>
    <col min="6669" max="6669" width="15.42578125" style="216" customWidth="1"/>
    <col min="6670" max="6916" width="9.140625" style="216"/>
    <col min="6917" max="6917" width="15.7109375" style="216" customWidth="1"/>
    <col min="6918" max="6918" width="10.140625" style="216" customWidth="1"/>
    <col min="6919" max="6919" width="96.85546875" style="216" customWidth="1"/>
    <col min="6920" max="6920" width="10.42578125" style="216" customWidth="1"/>
    <col min="6921" max="6921" width="12.85546875" style="216" customWidth="1"/>
    <col min="6922" max="6922" width="12.28515625" style="216" customWidth="1"/>
    <col min="6923" max="6923" width="12" style="216" customWidth="1"/>
    <col min="6924" max="6924" width="15.7109375" style="216" customWidth="1"/>
    <col min="6925" max="6925" width="15.42578125" style="216" customWidth="1"/>
    <col min="6926" max="7172" width="9.140625" style="216"/>
    <col min="7173" max="7173" width="15.7109375" style="216" customWidth="1"/>
    <col min="7174" max="7174" width="10.140625" style="216" customWidth="1"/>
    <col min="7175" max="7175" width="96.85546875" style="216" customWidth="1"/>
    <col min="7176" max="7176" width="10.42578125" style="216" customWidth="1"/>
    <col min="7177" max="7177" width="12.85546875" style="216" customWidth="1"/>
    <col min="7178" max="7178" width="12.28515625" style="216" customWidth="1"/>
    <col min="7179" max="7179" width="12" style="216" customWidth="1"/>
    <col min="7180" max="7180" width="15.7109375" style="216" customWidth="1"/>
    <col min="7181" max="7181" width="15.42578125" style="216" customWidth="1"/>
    <col min="7182" max="7428" width="9.140625" style="216"/>
    <col min="7429" max="7429" width="15.7109375" style="216" customWidth="1"/>
    <col min="7430" max="7430" width="10.140625" style="216" customWidth="1"/>
    <col min="7431" max="7431" width="96.85546875" style="216" customWidth="1"/>
    <col min="7432" max="7432" width="10.42578125" style="216" customWidth="1"/>
    <col min="7433" max="7433" width="12.85546875" style="216" customWidth="1"/>
    <col min="7434" max="7434" width="12.28515625" style="216" customWidth="1"/>
    <col min="7435" max="7435" width="12" style="216" customWidth="1"/>
    <col min="7436" max="7436" width="15.7109375" style="216" customWidth="1"/>
    <col min="7437" max="7437" width="15.42578125" style="216" customWidth="1"/>
    <col min="7438" max="7684" width="9.140625" style="216"/>
    <col min="7685" max="7685" width="15.7109375" style="216" customWidth="1"/>
    <col min="7686" max="7686" width="10.140625" style="216" customWidth="1"/>
    <col min="7687" max="7687" width="96.85546875" style="216" customWidth="1"/>
    <col min="7688" max="7688" width="10.42578125" style="216" customWidth="1"/>
    <col min="7689" max="7689" width="12.85546875" style="216" customWidth="1"/>
    <col min="7690" max="7690" width="12.28515625" style="216" customWidth="1"/>
    <col min="7691" max="7691" width="12" style="216" customWidth="1"/>
    <col min="7692" max="7692" width="15.7109375" style="216" customWidth="1"/>
    <col min="7693" max="7693" width="15.42578125" style="216" customWidth="1"/>
    <col min="7694" max="7940" width="9.140625" style="216"/>
    <col min="7941" max="7941" width="15.7109375" style="216" customWidth="1"/>
    <col min="7942" max="7942" width="10.140625" style="216" customWidth="1"/>
    <col min="7943" max="7943" width="96.85546875" style="216" customWidth="1"/>
    <col min="7944" max="7944" width="10.42578125" style="216" customWidth="1"/>
    <col min="7945" max="7945" width="12.85546875" style="216" customWidth="1"/>
    <col min="7946" max="7946" width="12.28515625" style="216" customWidth="1"/>
    <col min="7947" max="7947" width="12" style="216" customWidth="1"/>
    <col min="7948" max="7948" width="15.7109375" style="216" customWidth="1"/>
    <col min="7949" max="7949" width="15.42578125" style="216" customWidth="1"/>
    <col min="7950" max="8196" width="9.140625" style="216"/>
    <col min="8197" max="8197" width="15.7109375" style="216" customWidth="1"/>
    <col min="8198" max="8198" width="10.140625" style="216" customWidth="1"/>
    <col min="8199" max="8199" width="96.85546875" style="216" customWidth="1"/>
    <col min="8200" max="8200" width="10.42578125" style="216" customWidth="1"/>
    <col min="8201" max="8201" width="12.85546875" style="216" customWidth="1"/>
    <col min="8202" max="8202" width="12.28515625" style="216" customWidth="1"/>
    <col min="8203" max="8203" width="12" style="216" customWidth="1"/>
    <col min="8204" max="8204" width="15.7109375" style="216" customWidth="1"/>
    <col min="8205" max="8205" width="15.42578125" style="216" customWidth="1"/>
    <col min="8206" max="8452" width="9.140625" style="216"/>
    <col min="8453" max="8453" width="15.7109375" style="216" customWidth="1"/>
    <col min="8454" max="8454" width="10.140625" style="216" customWidth="1"/>
    <col min="8455" max="8455" width="96.85546875" style="216" customWidth="1"/>
    <col min="8456" max="8456" width="10.42578125" style="216" customWidth="1"/>
    <col min="8457" max="8457" width="12.85546875" style="216" customWidth="1"/>
    <col min="8458" max="8458" width="12.28515625" style="216" customWidth="1"/>
    <col min="8459" max="8459" width="12" style="216" customWidth="1"/>
    <col min="8460" max="8460" width="15.7109375" style="216" customWidth="1"/>
    <col min="8461" max="8461" width="15.42578125" style="216" customWidth="1"/>
    <col min="8462" max="8708" width="9.140625" style="216"/>
    <col min="8709" max="8709" width="15.7109375" style="216" customWidth="1"/>
    <col min="8710" max="8710" width="10.140625" style="216" customWidth="1"/>
    <col min="8711" max="8711" width="96.85546875" style="216" customWidth="1"/>
    <col min="8712" max="8712" width="10.42578125" style="216" customWidth="1"/>
    <col min="8713" max="8713" width="12.85546875" style="216" customWidth="1"/>
    <col min="8714" max="8714" width="12.28515625" style="216" customWidth="1"/>
    <col min="8715" max="8715" width="12" style="216" customWidth="1"/>
    <col min="8716" max="8716" width="15.7109375" style="216" customWidth="1"/>
    <col min="8717" max="8717" width="15.42578125" style="216" customWidth="1"/>
    <col min="8718" max="8964" width="9.140625" style="216"/>
    <col min="8965" max="8965" width="15.7109375" style="216" customWidth="1"/>
    <col min="8966" max="8966" width="10.140625" style="216" customWidth="1"/>
    <col min="8967" max="8967" width="96.85546875" style="216" customWidth="1"/>
    <col min="8968" max="8968" width="10.42578125" style="216" customWidth="1"/>
    <col min="8969" max="8969" width="12.85546875" style="216" customWidth="1"/>
    <col min="8970" max="8970" width="12.28515625" style="216" customWidth="1"/>
    <col min="8971" max="8971" width="12" style="216" customWidth="1"/>
    <col min="8972" max="8972" width="15.7109375" style="216" customWidth="1"/>
    <col min="8973" max="8973" width="15.42578125" style="216" customWidth="1"/>
    <col min="8974" max="9220" width="9.140625" style="216"/>
    <col min="9221" max="9221" width="15.7109375" style="216" customWidth="1"/>
    <col min="9222" max="9222" width="10.140625" style="216" customWidth="1"/>
    <col min="9223" max="9223" width="96.85546875" style="216" customWidth="1"/>
    <col min="9224" max="9224" width="10.42578125" style="216" customWidth="1"/>
    <col min="9225" max="9225" width="12.85546875" style="216" customWidth="1"/>
    <col min="9226" max="9226" width="12.28515625" style="216" customWidth="1"/>
    <col min="9227" max="9227" width="12" style="216" customWidth="1"/>
    <col min="9228" max="9228" width="15.7109375" style="216" customWidth="1"/>
    <col min="9229" max="9229" width="15.42578125" style="216" customWidth="1"/>
    <col min="9230" max="9476" width="9.140625" style="216"/>
    <col min="9477" max="9477" width="15.7109375" style="216" customWidth="1"/>
    <col min="9478" max="9478" width="10.140625" style="216" customWidth="1"/>
    <col min="9479" max="9479" width="96.85546875" style="216" customWidth="1"/>
    <col min="9480" max="9480" width="10.42578125" style="216" customWidth="1"/>
    <col min="9481" max="9481" width="12.85546875" style="216" customWidth="1"/>
    <col min="9482" max="9482" width="12.28515625" style="216" customWidth="1"/>
    <col min="9483" max="9483" width="12" style="216" customWidth="1"/>
    <col min="9484" max="9484" width="15.7109375" style="216" customWidth="1"/>
    <col min="9485" max="9485" width="15.42578125" style="216" customWidth="1"/>
    <col min="9486" max="9732" width="9.140625" style="216"/>
    <col min="9733" max="9733" width="15.7109375" style="216" customWidth="1"/>
    <col min="9734" max="9734" width="10.140625" style="216" customWidth="1"/>
    <col min="9735" max="9735" width="96.85546875" style="216" customWidth="1"/>
    <col min="9736" max="9736" width="10.42578125" style="216" customWidth="1"/>
    <col min="9737" max="9737" width="12.85546875" style="216" customWidth="1"/>
    <col min="9738" max="9738" width="12.28515625" style="216" customWidth="1"/>
    <col min="9739" max="9739" width="12" style="216" customWidth="1"/>
    <col min="9740" max="9740" width="15.7109375" style="216" customWidth="1"/>
    <col min="9741" max="9741" width="15.42578125" style="216" customWidth="1"/>
    <col min="9742" max="9988" width="9.140625" style="216"/>
    <col min="9989" max="9989" width="15.7109375" style="216" customWidth="1"/>
    <col min="9990" max="9990" width="10.140625" style="216" customWidth="1"/>
    <col min="9991" max="9991" width="96.85546875" style="216" customWidth="1"/>
    <col min="9992" max="9992" width="10.42578125" style="216" customWidth="1"/>
    <col min="9993" max="9993" width="12.85546875" style="216" customWidth="1"/>
    <col min="9994" max="9994" width="12.28515625" style="216" customWidth="1"/>
    <col min="9995" max="9995" width="12" style="216" customWidth="1"/>
    <col min="9996" max="9996" width="15.7109375" style="216" customWidth="1"/>
    <col min="9997" max="9997" width="15.42578125" style="216" customWidth="1"/>
    <col min="9998" max="10244" width="9.140625" style="216"/>
    <col min="10245" max="10245" width="15.7109375" style="216" customWidth="1"/>
    <col min="10246" max="10246" width="10.140625" style="216" customWidth="1"/>
    <col min="10247" max="10247" width="96.85546875" style="216" customWidth="1"/>
    <col min="10248" max="10248" width="10.42578125" style="216" customWidth="1"/>
    <col min="10249" max="10249" width="12.85546875" style="216" customWidth="1"/>
    <col min="10250" max="10250" width="12.28515625" style="216" customWidth="1"/>
    <col min="10251" max="10251" width="12" style="216" customWidth="1"/>
    <col min="10252" max="10252" width="15.7109375" style="216" customWidth="1"/>
    <col min="10253" max="10253" width="15.42578125" style="216" customWidth="1"/>
    <col min="10254" max="10500" width="9.140625" style="216"/>
    <col min="10501" max="10501" width="15.7109375" style="216" customWidth="1"/>
    <col min="10502" max="10502" width="10.140625" style="216" customWidth="1"/>
    <col min="10503" max="10503" width="96.85546875" style="216" customWidth="1"/>
    <col min="10504" max="10504" width="10.42578125" style="216" customWidth="1"/>
    <col min="10505" max="10505" width="12.85546875" style="216" customWidth="1"/>
    <col min="10506" max="10506" width="12.28515625" style="216" customWidth="1"/>
    <col min="10507" max="10507" width="12" style="216" customWidth="1"/>
    <col min="10508" max="10508" width="15.7109375" style="216" customWidth="1"/>
    <col min="10509" max="10509" width="15.42578125" style="216" customWidth="1"/>
    <col min="10510" max="10756" width="9.140625" style="216"/>
    <col min="10757" max="10757" width="15.7109375" style="216" customWidth="1"/>
    <col min="10758" max="10758" width="10.140625" style="216" customWidth="1"/>
    <col min="10759" max="10759" width="96.85546875" style="216" customWidth="1"/>
    <col min="10760" max="10760" width="10.42578125" style="216" customWidth="1"/>
    <col min="10761" max="10761" width="12.85546875" style="216" customWidth="1"/>
    <col min="10762" max="10762" width="12.28515625" style="216" customWidth="1"/>
    <col min="10763" max="10763" width="12" style="216" customWidth="1"/>
    <col min="10764" max="10764" width="15.7109375" style="216" customWidth="1"/>
    <col min="10765" max="10765" width="15.42578125" style="216" customWidth="1"/>
    <col min="10766" max="11012" width="9.140625" style="216"/>
    <col min="11013" max="11013" width="15.7109375" style="216" customWidth="1"/>
    <col min="11014" max="11014" width="10.140625" style="216" customWidth="1"/>
    <col min="11015" max="11015" width="96.85546875" style="216" customWidth="1"/>
    <col min="11016" max="11016" width="10.42578125" style="216" customWidth="1"/>
    <col min="11017" max="11017" width="12.85546875" style="216" customWidth="1"/>
    <col min="11018" max="11018" width="12.28515625" style="216" customWidth="1"/>
    <col min="11019" max="11019" width="12" style="216" customWidth="1"/>
    <col min="11020" max="11020" width="15.7109375" style="216" customWidth="1"/>
    <col min="11021" max="11021" width="15.42578125" style="216" customWidth="1"/>
    <col min="11022" max="11268" width="9.140625" style="216"/>
    <col min="11269" max="11269" width="15.7109375" style="216" customWidth="1"/>
    <col min="11270" max="11270" width="10.140625" style="216" customWidth="1"/>
    <col min="11271" max="11271" width="96.85546875" style="216" customWidth="1"/>
    <col min="11272" max="11272" width="10.42578125" style="216" customWidth="1"/>
    <col min="11273" max="11273" width="12.85546875" style="216" customWidth="1"/>
    <col min="11274" max="11274" width="12.28515625" style="216" customWidth="1"/>
    <col min="11275" max="11275" width="12" style="216" customWidth="1"/>
    <col min="11276" max="11276" width="15.7109375" style="216" customWidth="1"/>
    <col min="11277" max="11277" width="15.42578125" style="216" customWidth="1"/>
    <col min="11278" max="11524" width="9.140625" style="216"/>
    <col min="11525" max="11525" width="15.7109375" style="216" customWidth="1"/>
    <col min="11526" max="11526" width="10.140625" style="216" customWidth="1"/>
    <col min="11527" max="11527" width="96.85546875" style="216" customWidth="1"/>
    <col min="11528" max="11528" width="10.42578125" style="216" customWidth="1"/>
    <col min="11529" max="11529" width="12.85546875" style="216" customWidth="1"/>
    <col min="11530" max="11530" width="12.28515625" style="216" customWidth="1"/>
    <col min="11531" max="11531" width="12" style="216" customWidth="1"/>
    <col min="11532" max="11532" width="15.7109375" style="216" customWidth="1"/>
    <col min="11533" max="11533" width="15.42578125" style="216" customWidth="1"/>
    <col min="11534" max="11780" width="9.140625" style="216"/>
    <col min="11781" max="11781" width="15.7109375" style="216" customWidth="1"/>
    <col min="11782" max="11782" width="10.140625" style="216" customWidth="1"/>
    <col min="11783" max="11783" width="96.85546875" style="216" customWidth="1"/>
    <col min="11784" max="11784" width="10.42578125" style="216" customWidth="1"/>
    <col min="11785" max="11785" width="12.85546875" style="216" customWidth="1"/>
    <col min="11786" max="11786" width="12.28515625" style="216" customWidth="1"/>
    <col min="11787" max="11787" width="12" style="216" customWidth="1"/>
    <col min="11788" max="11788" width="15.7109375" style="216" customWidth="1"/>
    <col min="11789" max="11789" width="15.42578125" style="216" customWidth="1"/>
    <col min="11790" max="12036" width="9.140625" style="216"/>
    <col min="12037" max="12037" width="15.7109375" style="216" customWidth="1"/>
    <col min="12038" max="12038" width="10.140625" style="216" customWidth="1"/>
    <col min="12039" max="12039" width="96.85546875" style="216" customWidth="1"/>
    <col min="12040" max="12040" width="10.42578125" style="216" customWidth="1"/>
    <col min="12041" max="12041" width="12.85546875" style="216" customWidth="1"/>
    <col min="12042" max="12042" width="12.28515625" style="216" customWidth="1"/>
    <col min="12043" max="12043" width="12" style="216" customWidth="1"/>
    <col min="12044" max="12044" width="15.7109375" style="216" customWidth="1"/>
    <col min="12045" max="12045" width="15.42578125" style="216" customWidth="1"/>
    <col min="12046" max="12292" width="9.140625" style="216"/>
    <col min="12293" max="12293" width="15.7109375" style="216" customWidth="1"/>
    <col min="12294" max="12294" width="10.140625" style="216" customWidth="1"/>
    <col min="12295" max="12295" width="96.85546875" style="216" customWidth="1"/>
    <col min="12296" max="12296" width="10.42578125" style="216" customWidth="1"/>
    <col min="12297" max="12297" width="12.85546875" style="216" customWidth="1"/>
    <col min="12298" max="12298" width="12.28515625" style="216" customWidth="1"/>
    <col min="12299" max="12299" width="12" style="216" customWidth="1"/>
    <col min="12300" max="12300" width="15.7109375" style="216" customWidth="1"/>
    <col min="12301" max="12301" width="15.42578125" style="216" customWidth="1"/>
    <col min="12302" max="12548" width="9.140625" style="216"/>
    <col min="12549" max="12549" width="15.7109375" style="216" customWidth="1"/>
    <col min="12550" max="12550" width="10.140625" style="216" customWidth="1"/>
    <col min="12551" max="12551" width="96.85546875" style="216" customWidth="1"/>
    <col min="12552" max="12552" width="10.42578125" style="216" customWidth="1"/>
    <col min="12553" max="12553" width="12.85546875" style="216" customWidth="1"/>
    <col min="12554" max="12554" width="12.28515625" style="216" customWidth="1"/>
    <col min="12555" max="12555" width="12" style="216" customWidth="1"/>
    <col min="12556" max="12556" width="15.7109375" style="216" customWidth="1"/>
    <col min="12557" max="12557" width="15.42578125" style="216" customWidth="1"/>
    <col min="12558" max="12804" width="9.140625" style="216"/>
    <col min="12805" max="12805" width="15.7109375" style="216" customWidth="1"/>
    <col min="12806" max="12806" width="10.140625" style="216" customWidth="1"/>
    <col min="12807" max="12807" width="96.85546875" style="216" customWidth="1"/>
    <col min="12808" max="12808" width="10.42578125" style="216" customWidth="1"/>
    <col min="12809" max="12809" width="12.85546875" style="216" customWidth="1"/>
    <col min="12810" max="12810" width="12.28515625" style="216" customWidth="1"/>
    <col min="12811" max="12811" width="12" style="216" customWidth="1"/>
    <col min="12812" max="12812" width="15.7109375" style="216" customWidth="1"/>
    <col min="12813" max="12813" width="15.42578125" style="216" customWidth="1"/>
    <col min="12814" max="13060" width="9.140625" style="216"/>
    <col min="13061" max="13061" width="15.7109375" style="216" customWidth="1"/>
    <col min="13062" max="13062" width="10.140625" style="216" customWidth="1"/>
    <col min="13063" max="13063" width="96.85546875" style="216" customWidth="1"/>
    <col min="13064" max="13064" width="10.42578125" style="216" customWidth="1"/>
    <col min="13065" max="13065" width="12.85546875" style="216" customWidth="1"/>
    <col min="13066" max="13066" width="12.28515625" style="216" customWidth="1"/>
    <col min="13067" max="13067" width="12" style="216" customWidth="1"/>
    <col min="13068" max="13068" width="15.7109375" style="216" customWidth="1"/>
    <col min="13069" max="13069" width="15.42578125" style="216" customWidth="1"/>
    <col min="13070" max="13316" width="9.140625" style="216"/>
    <col min="13317" max="13317" width="15.7109375" style="216" customWidth="1"/>
    <col min="13318" max="13318" width="10.140625" style="216" customWidth="1"/>
    <col min="13319" max="13319" width="96.85546875" style="216" customWidth="1"/>
    <col min="13320" max="13320" width="10.42578125" style="216" customWidth="1"/>
    <col min="13321" max="13321" width="12.85546875" style="216" customWidth="1"/>
    <col min="13322" max="13322" width="12.28515625" style="216" customWidth="1"/>
    <col min="13323" max="13323" width="12" style="216" customWidth="1"/>
    <col min="13324" max="13324" width="15.7109375" style="216" customWidth="1"/>
    <col min="13325" max="13325" width="15.42578125" style="216" customWidth="1"/>
    <col min="13326" max="13572" width="9.140625" style="216"/>
    <col min="13573" max="13573" width="15.7109375" style="216" customWidth="1"/>
    <col min="13574" max="13574" width="10.140625" style="216" customWidth="1"/>
    <col min="13575" max="13575" width="96.85546875" style="216" customWidth="1"/>
    <col min="13576" max="13576" width="10.42578125" style="216" customWidth="1"/>
    <col min="13577" max="13577" width="12.85546875" style="216" customWidth="1"/>
    <col min="13578" max="13578" width="12.28515625" style="216" customWidth="1"/>
    <col min="13579" max="13579" width="12" style="216" customWidth="1"/>
    <col min="13580" max="13580" width="15.7109375" style="216" customWidth="1"/>
    <col min="13581" max="13581" width="15.42578125" style="216" customWidth="1"/>
    <col min="13582" max="13828" width="9.140625" style="216"/>
    <col min="13829" max="13829" width="15.7109375" style="216" customWidth="1"/>
    <col min="13830" max="13830" width="10.140625" style="216" customWidth="1"/>
    <col min="13831" max="13831" width="96.85546875" style="216" customWidth="1"/>
    <col min="13832" max="13832" width="10.42578125" style="216" customWidth="1"/>
    <col min="13833" max="13833" width="12.85546875" style="216" customWidth="1"/>
    <col min="13834" max="13834" width="12.28515625" style="216" customWidth="1"/>
    <col min="13835" max="13835" width="12" style="216" customWidth="1"/>
    <col min="13836" max="13836" width="15.7109375" style="216" customWidth="1"/>
    <col min="13837" max="13837" width="15.42578125" style="216" customWidth="1"/>
    <col min="13838" max="14084" width="9.140625" style="216"/>
    <col min="14085" max="14085" width="15.7109375" style="216" customWidth="1"/>
    <col min="14086" max="14086" width="10.140625" style="216" customWidth="1"/>
    <col min="14087" max="14087" width="96.85546875" style="216" customWidth="1"/>
    <col min="14088" max="14088" width="10.42578125" style="216" customWidth="1"/>
    <col min="14089" max="14089" width="12.85546875" style="216" customWidth="1"/>
    <col min="14090" max="14090" width="12.28515625" style="216" customWidth="1"/>
    <col min="14091" max="14091" width="12" style="216" customWidth="1"/>
    <col min="14092" max="14092" width="15.7109375" style="216" customWidth="1"/>
    <col min="14093" max="14093" width="15.42578125" style="216" customWidth="1"/>
    <col min="14094" max="14340" width="9.140625" style="216"/>
    <col min="14341" max="14341" width="15.7109375" style="216" customWidth="1"/>
    <col min="14342" max="14342" width="10.140625" style="216" customWidth="1"/>
    <col min="14343" max="14343" width="96.85546875" style="216" customWidth="1"/>
    <col min="14344" max="14344" width="10.42578125" style="216" customWidth="1"/>
    <col min="14345" max="14345" width="12.85546875" style="216" customWidth="1"/>
    <col min="14346" max="14346" width="12.28515625" style="216" customWidth="1"/>
    <col min="14347" max="14347" width="12" style="216" customWidth="1"/>
    <col min="14348" max="14348" width="15.7109375" style="216" customWidth="1"/>
    <col min="14349" max="14349" width="15.42578125" style="216" customWidth="1"/>
    <col min="14350" max="14596" width="9.140625" style="216"/>
    <col min="14597" max="14597" width="15.7109375" style="216" customWidth="1"/>
    <col min="14598" max="14598" width="10.140625" style="216" customWidth="1"/>
    <col min="14599" max="14599" width="96.85546875" style="216" customWidth="1"/>
    <col min="14600" max="14600" width="10.42578125" style="216" customWidth="1"/>
    <col min="14601" max="14601" width="12.85546875" style="216" customWidth="1"/>
    <col min="14602" max="14602" width="12.28515625" style="216" customWidth="1"/>
    <col min="14603" max="14603" width="12" style="216" customWidth="1"/>
    <col min="14604" max="14604" width="15.7109375" style="216" customWidth="1"/>
    <col min="14605" max="14605" width="15.42578125" style="216" customWidth="1"/>
    <col min="14606" max="14852" width="9.140625" style="216"/>
    <col min="14853" max="14853" width="15.7109375" style="216" customWidth="1"/>
    <col min="14854" max="14854" width="10.140625" style="216" customWidth="1"/>
    <col min="14855" max="14855" width="96.85546875" style="216" customWidth="1"/>
    <col min="14856" max="14856" width="10.42578125" style="216" customWidth="1"/>
    <col min="14857" max="14857" width="12.85546875" style="216" customWidth="1"/>
    <col min="14858" max="14858" width="12.28515625" style="216" customWidth="1"/>
    <col min="14859" max="14859" width="12" style="216" customWidth="1"/>
    <col min="14860" max="14860" width="15.7109375" style="216" customWidth="1"/>
    <col min="14861" max="14861" width="15.42578125" style="216" customWidth="1"/>
    <col min="14862" max="15108" width="9.140625" style="216"/>
    <col min="15109" max="15109" width="15.7109375" style="216" customWidth="1"/>
    <col min="15110" max="15110" width="10.140625" style="216" customWidth="1"/>
    <col min="15111" max="15111" width="96.85546875" style="216" customWidth="1"/>
    <col min="15112" max="15112" width="10.42578125" style="216" customWidth="1"/>
    <col min="15113" max="15113" width="12.85546875" style="216" customWidth="1"/>
    <col min="15114" max="15114" width="12.28515625" style="216" customWidth="1"/>
    <col min="15115" max="15115" width="12" style="216" customWidth="1"/>
    <col min="15116" max="15116" width="15.7109375" style="216" customWidth="1"/>
    <col min="15117" max="15117" width="15.42578125" style="216" customWidth="1"/>
    <col min="15118" max="15364" width="9.140625" style="216"/>
    <col min="15365" max="15365" width="15.7109375" style="216" customWidth="1"/>
    <col min="15366" max="15366" width="10.140625" style="216" customWidth="1"/>
    <col min="15367" max="15367" width="96.85546875" style="216" customWidth="1"/>
    <col min="15368" max="15368" width="10.42578125" style="216" customWidth="1"/>
    <col min="15369" max="15369" width="12.85546875" style="216" customWidth="1"/>
    <col min="15370" max="15370" width="12.28515625" style="216" customWidth="1"/>
    <col min="15371" max="15371" width="12" style="216" customWidth="1"/>
    <col min="15372" max="15372" width="15.7109375" style="216" customWidth="1"/>
    <col min="15373" max="15373" width="15.42578125" style="216" customWidth="1"/>
    <col min="15374" max="15620" width="9.140625" style="216"/>
    <col min="15621" max="15621" width="15.7109375" style="216" customWidth="1"/>
    <col min="15622" max="15622" width="10.140625" style="216" customWidth="1"/>
    <col min="15623" max="15623" width="96.85546875" style="216" customWidth="1"/>
    <col min="15624" max="15624" width="10.42578125" style="216" customWidth="1"/>
    <col min="15625" max="15625" width="12.85546875" style="216" customWidth="1"/>
    <col min="15626" max="15626" width="12.28515625" style="216" customWidth="1"/>
    <col min="15627" max="15627" width="12" style="216" customWidth="1"/>
    <col min="15628" max="15628" width="15.7109375" style="216" customWidth="1"/>
    <col min="15629" max="15629" width="15.42578125" style="216" customWidth="1"/>
    <col min="15630" max="15876" width="9.140625" style="216"/>
    <col min="15877" max="15877" width="15.7109375" style="216" customWidth="1"/>
    <col min="15878" max="15878" width="10.140625" style="216" customWidth="1"/>
    <col min="15879" max="15879" width="96.85546875" style="216" customWidth="1"/>
    <col min="15880" max="15880" width="10.42578125" style="216" customWidth="1"/>
    <col min="15881" max="15881" width="12.85546875" style="216" customWidth="1"/>
    <col min="15882" max="15882" width="12.28515625" style="216" customWidth="1"/>
    <col min="15883" max="15883" width="12" style="216" customWidth="1"/>
    <col min="15884" max="15884" width="15.7109375" style="216" customWidth="1"/>
    <col min="15885" max="15885" width="15.42578125" style="216" customWidth="1"/>
    <col min="15886" max="16132" width="9.140625" style="216"/>
    <col min="16133" max="16133" width="15.7109375" style="216" customWidth="1"/>
    <col min="16134" max="16134" width="10.140625" style="216" customWidth="1"/>
    <col min="16135" max="16135" width="96.85546875" style="216" customWidth="1"/>
    <col min="16136" max="16136" width="10.42578125" style="216" customWidth="1"/>
    <col min="16137" max="16137" width="12.85546875" style="216" customWidth="1"/>
    <col min="16138" max="16138" width="12.28515625" style="216" customWidth="1"/>
    <col min="16139" max="16139" width="12" style="216" customWidth="1"/>
    <col min="16140" max="16140" width="15.7109375" style="216" customWidth="1"/>
    <col min="16141" max="16141" width="15.42578125" style="216" customWidth="1"/>
    <col min="16142" max="16384" width="9.140625" style="216"/>
  </cols>
  <sheetData>
    <row r="1" spans="2:14" ht="47.25" x14ac:dyDescent="0.2">
      <c r="B1" s="211"/>
      <c r="C1" s="212" t="s">
        <v>542</v>
      </c>
      <c r="D1" s="212" t="s">
        <v>1</v>
      </c>
      <c r="E1" s="213" t="s">
        <v>2</v>
      </c>
      <c r="F1" s="213"/>
      <c r="G1" s="212" t="s">
        <v>3</v>
      </c>
      <c r="H1" s="212" t="s">
        <v>4</v>
      </c>
      <c r="I1" s="212" t="s">
        <v>5</v>
      </c>
      <c r="J1" s="212" t="s">
        <v>543</v>
      </c>
      <c r="K1" s="214" t="s">
        <v>544</v>
      </c>
      <c r="L1" s="214"/>
      <c r="M1" s="215" t="s">
        <v>545</v>
      </c>
    </row>
    <row r="2" spans="2:14" ht="26.25" x14ac:dyDescent="0.2">
      <c r="B2" s="211"/>
      <c r="C2" s="573" t="s">
        <v>546</v>
      </c>
      <c r="D2" s="598"/>
      <c r="E2" s="598"/>
      <c r="F2" s="598"/>
      <c r="G2" s="598"/>
      <c r="H2" s="598"/>
      <c r="I2" s="598"/>
      <c r="J2" s="598"/>
      <c r="K2" s="598"/>
      <c r="L2" s="598"/>
      <c r="M2" s="569"/>
    </row>
    <row r="3" spans="2:14" ht="24.75" customHeight="1" x14ac:dyDescent="0.2">
      <c r="B3" s="211"/>
      <c r="C3" s="567" t="s">
        <v>547</v>
      </c>
      <c r="D3" s="568"/>
      <c r="E3" s="568"/>
      <c r="F3" s="568"/>
      <c r="G3" s="568"/>
      <c r="H3" s="568"/>
      <c r="I3" s="568"/>
      <c r="J3" s="568"/>
      <c r="K3" s="568"/>
      <c r="L3" s="568"/>
      <c r="M3" s="569"/>
    </row>
    <row r="4" spans="2:14" ht="20.25" x14ac:dyDescent="0.2">
      <c r="B4" s="217"/>
      <c r="C4" s="588" t="s">
        <v>548</v>
      </c>
      <c r="D4" s="599"/>
      <c r="E4" s="599"/>
      <c r="F4" s="599"/>
      <c r="G4" s="599"/>
      <c r="H4" s="599"/>
      <c r="I4" s="599"/>
      <c r="J4" s="599"/>
      <c r="K4" s="599"/>
      <c r="L4" s="599"/>
      <c r="M4" s="572"/>
    </row>
    <row r="5" spans="2:14" ht="18" x14ac:dyDescent="0.2">
      <c r="B5" s="218"/>
      <c r="C5" s="219" t="s">
        <v>549</v>
      </c>
      <c r="D5" s="220" t="s">
        <v>550</v>
      </c>
      <c r="E5" s="221" t="s">
        <v>551</v>
      </c>
      <c r="F5" s="221"/>
      <c r="G5" s="220">
        <v>1000</v>
      </c>
      <c r="H5" s="220">
        <v>90</v>
      </c>
      <c r="I5" s="220">
        <v>90</v>
      </c>
      <c r="J5" s="220">
        <v>0.76</v>
      </c>
      <c r="K5" s="222">
        <v>515</v>
      </c>
      <c r="L5" s="224"/>
      <c r="M5" s="223">
        <f>K5*0.67</f>
        <v>345.05</v>
      </c>
    </row>
    <row r="6" spans="2:14" ht="18" x14ac:dyDescent="0.2">
      <c r="B6" s="218"/>
      <c r="C6" s="219" t="s">
        <v>552</v>
      </c>
      <c r="D6" s="220" t="s">
        <v>550</v>
      </c>
      <c r="E6" s="221" t="s">
        <v>553</v>
      </c>
      <c r="F6" s="221"/>
      <c r="G6" s="220">
        <v>1000</v>
      </c>
      <c r="H6" s="220">
        <v>90</v>
      </c>
      <c r="I6" s="220">
        <v>90</v>
      </c>
      <c r="J6" s="220">
        <v>0.76</v>
      </c>
      <c r="K6" s="222">
        <v>480</v>
      </c>
      <c r="L6" s="224"/>
      <c r="M6" s="223">
        <f>K6*0.67</f>
        <v>321.60000000000002</v>
      </c>
    </row>
    <row r="7" spans="2:14" s="211" customFormat="1" ht="24" customHeight="1" x14ac:dyDescent="0.2">
      <c r="B7" s="217"/>
      <c r="C7" s="567" t="s">
        <v>554</v>
      </c>
      <c r="D7" s="568"/>
      <c r="E7" s="568"/>
      <c r="F7" s="568"/>
      <c r="G7" s="568"/>
      <c r="H7" s="568"/>
      <c r="I7" s="568"/>
      <c r="J7" s="568"/>
      <c r="K7" s="568"/>
      <c r="L7" s="568"/>
      <c r="M7" s="572"/>
    </row>
    <row r="8" spans="2:14" s="211" customFormat="1" ht="18" x14ac:dyDescent="0.2">
      <c r="B8" s="217"/>
      <c r="C8" s="219" t="s">
        <v>555</v>
      </c>
      <c r="D8" s="220" t="s">
        <v>550</v>
      </c>
      <c r="E8" s="221" t="s">
        <v>553</v>
      </c>
      <c r="F8" s="221"/>
      <c r="G8" s="220" t="s">
        <v>556</v>
      </c>
      <c r="H8" s="220" t="s">
        <v>557</v>
      </c>
      <c r="I8" s="220" t="s">
        <v>558</v>
      </c>
      <c r="J8" s="220" t="s">
        <v>559</v>
      </c>
      <c r="K8" s="222">
        <v>560</v>
      </c>
      <c r="L8" s="224"/>
      <c r="M8" s="223">
        <f>K8*0.67</f>
        <v>375.20000000000005</v>
      </c>
    </row>
    <row r="9" spans="2:14" s="211" customFormat="1" ht="18" x14ac:dyDescent="0.2">
      <c r="B9" s="217"/>
      <c r="C9" s="220" t="s">
        <v>560</v>
      </c>
      <c r="D9" s="220"/>
      <c r="E9" s="221" t="s">
        <v>561</v>
      </c>
      <c r="F9" s="221"/>
      <c r="G9" s="220" t="s">
        <v>556</v>
      </c>
      <c r="H9" s="220" t="s">
        <v>557</v>
      </c>
      <c r="I9" s="220" t="s">
        <v>562</v>
      </c>
      <c r="J9" s="220" t="s">
        <v>559</v>
      </c>
      <c r="K9" s="224">
        <v>560</v>
      </c>
      <c r="L9" s="224"/>
      <c r="M9" s="223">
        <f>K9*0.67</f>
        <v>375.20000000000005</v>
      </c>
    </row>
    <row r="10" spans="2:14" s="217" customFormat="1" ht="18" x14ac:dyDescent="0.25">
      <c r="C10" s="220" t="s">
        <v>563</v>
      </c>
      <c r="D10" s="220" t="s">
        <v>550</v>
      </c>
      <c r="E10" s="221" t="s">
        <v>564</v>
      </c>
      <c r="F10" s="221"/>
      <c r="G10" s="220" t="s">
        <v>556</v>
      </c>
      <c r="H10" s="220" t="s">
        <v>557</v>
      </c>
      <c r="I10" s="220" t="s">
        <v>562</v>
      </c>
      <c r="J10" s="220" t="s">
        <v>565</v>
      </c>
      <c r="K10" s="225">
        <v>885</v>
      </c>
      <c r="L10" s="225"/>
      <c r="M10" s="223">
        <f>K10*0.67</f>
        <v>592.95000000000005</v>
      </c>
    </row>
    <row r="11" spans="2:14" s="218" customFormat="1" ht="18" x14ac:dyDescent="0.25">
      <c r="B11" s="217"/>
      <c r="C11" s="220" t="s">
        <v>566</v>
      </c>
      <c r="D11" s="220" t="s">
        <v>550</v>
      </c>
      <c r="E11" s="221" t="s">
        <v>551</v>
      </c>
      <c r="F11" s="221"/>
      <c r="G11" s="220" t="s">
        <v>556</v>
      </c>
      <c r="H11" s="220" t="s">
        <v>557</v>
      </c>
      <c r="I11" s="220" t="s">
        <v>567</v>
      </c>
      <c r="J11" s="220" t="s">
        <v>568</v>
      </c>
      <c r="K11" s="225">
        <v>685</v>
      </c>
      <c r="L11" s="225"/>
      <c r="M11" s="223">
        <f>K11*0.67</f>
        <v>458.95000000000005</v>
      </c>
    </row>
    <row r="12" spans="2:14" s="211" customFormat="1" ht="24" customHeight="1" x14ac:dyDescent="0.2">
      <c r="B12" s="217"/>
      <c r="C12" s="567" t="s">
        <v>569</v>
      </c>
      <c r="D12" s="568"/>
      <c r="E12" s="568"/>
      <c r="F12" s="568"/>
      <c r="G12" s="568"/>
      <c r="H12" s="568"/>
      <c r="I12" s="568"/>
      <c r="J12" s="568"/>
      <c r="K12" s="568"/>
      <c r="L12" s="568"/>
      <c r="M12" s="572"/>
    </row>
    <row r="13" spans="2:14" s="211" customFormat="1" ht="18" x14ac:dyDescent="0.2">
      <c r="B13" s="217"/>
      <c r="C13" s="226" t="s">
        <v>570</v>
      </c>
      <c r="D13" s="227" t="s">
        <v>571</v>
      </c>
      <c r="E13" s="228" t="s">
        <v>572</v>
      </c>
      <c r="F13" s="228"/>
      <c r="G13" s="227">
        <v>1000</v>
      </c>
      <c r="H13" s="227" t="s">
        <v>557</v>
      </c>
      <c r="I13" s="227">
        <v>100</v>
      </c>
      <c r="J13" s="227" t="s">
        <v>573</v>
      </c>
      <c r="K13" s="229">
        <v>845</v>
      </c>
      <c r="L13" s="229"/>
      <c r="M13" s="229">
        <f>K13*0.67</f>
        <v>566.15</v>
      </c>
      <c r="N13" s="230" t="s">
        <v>574</v>
      </c>
    </row>
    <row r="14" spans="2:14" s="211" customFormat="1" ht="18" x14ac:dyDescent="0.2">
      <c r="B14" s="217"/>
      <c r="C14" s="231" t="s">
        <v>575</v>
      </c>
      <c r="D14" s="227" t="s">
        <v>571</v>
      </c>
      <c r="E14" s="228" t="s">
        <v>576</v>
      </c>
      <c r="F14" s="228"/>
      <c r="G14" s="227">
        <v>1000</v>
      </c>
      <c r="H14" s="227" t="s">
        <v>557</v>
      </c>
      <c r="I14" s="227">
        <v>100</v>
      </c>
      <c r="J14" s="227" t="s">
        <v>577</v>
      </c>
      <c r="K14" s="229">
        <v>610</v>
      </c>
      <c r="L14" s="229"/>
      <c r="M14" s="229">
        <f>K14*0.67</f>
        <v>408.70000000000005</v>
      </c>
      <c r="N14" s="230" t="s">
        <v>574</v>
      </c>
    </row>
    <row r="15" spans="2:14" s="217" customFormat="1" ht="18" x14ac:dyDescent="0.2">
      <c r="C15" s="227" t="s">
        <v>578</v>
      </c>
      <c r="D15" s="227" t="s">
        <v>571</v>
      </c>
      <c r="E15" s="228" t="s">
        <v>579</v>
      </c>
      <c r="F15" s="228"/>
      <c r="G15" s="227">
        <v>1000</v>
      </c>
      <c r="H15" s="227" t="s">
        <v>557</v>
      </c>
      <c r="I15" s="227">
        <v>100</v>
      </c>
      <c r="J15" s="227" t="s">
        <v>580</v>
      </c>
      <c r="K15" s="229">
        <v>1110</v>
      </c>
      <c r="L15" s="229"/>
      <c r="M15" s="229">
        <f>K15*0.67</f>
        <v>743.7</v>
      </c>
      <c r="N15" s="230" t="s">
        <v>574</v>
      </c>
    </row>
    <row r="16" spans="2:14" s="218" customFormat="1" ht="18" x14ac:dyDescent="0.2">
      <c r="B16" s="217"/>
      <c r="C16" s="227" t="s">
        <v>581</v>
      </c>
      <c r="D16" s="227" t="s">
        <v>582</v>
      </c>
      <c r="E16" s="228" t="s">
        <v>583</v>
      </c>
      <c r="F16" s="228"/>
      <c r="G16" s="227">
        <v>1000</v>
      </c>
      <c r="H16" s="227" t="s">
        <v>557</v>
      </c>
      <c r="I16" s="227">
        <v>100</v>
      </c>
      <c r="J16" s="227" t="s">
        <v>584</v>
      </c>
      <c r="K16" s="229">
        <v>1665</v>
      </c>
      <c r="L16" s="229"/>
      <c r="M16" s="229">
        <f>K16*0.67</f>
        <v>1115.55</v>
      </c>
      <c r="N16" s="230" t="s">
        <v>574</v>
      </c>
    </row>
    <row r="17" spans="2:13" s="218" customFormat="1" ht="18" x14ac:dyDescent="0.25">
      <c r="B17" s="217"/>
      <c r="C17" s="232"/>
      <c r="D17" s="233"/>
      <c r="E17" s="234" t="s">
        <v>585</v>
      </c>
      <c r="F17" s="234"/>
      <c r="G17" s="233"/>
      <c r="H17" s="233"/>
      <c r="I17" s="233"/>
      <c r="J17" s="233"/>
      <c r="K17" s="235"/>
      <c r="L17" s="235"/>
      <c r="M17" s="236"/>
    </row>
    <row r="18" spans="2:13" s="217" customFormat="1" ht="18" x14ac:dyDescent="0.25">
      <c r="C18" s="237" t="s">
        <v>586</v>
      </c>
      <c r="D18" s="238" t="s">
        <v>48</v>
      </c>
      <c r="E18" s="239" t="s">
        <v>587</v>
      </c>
      <c r="F18" s="239"/>
      <c r="G18" s="238" t="s">
        <v>48</v>
      </c>
      <c r="H18" s="238" t="s">
        <v>588</v>
      </c>
      <c r="I18" s="238" t="s">
        <v>589</v>
      </c>
      <c r="J18" s="238" t="s">
        <v>590</v>
      </c>
      <c r="K18" s="240">
        <v>112</v>
      </c>
      <c r="L18" s="534"/>
      <c r="M18" s="223">
        <f t="shared" ref="M18:M26" si="0">K18*0.67</f>
        <v>75.040000000000006</v>
      </c>
    </row>
    <row r="19" spans="2:13" s="217" customFormat="1" ht="18" x14ac:dyDescent="0.25">
      <c r="C19" s="237" t="s">
        <v>591</v>
      </c>
      <c r="D19" s="238" t="s">
        <v>48</v>
      </c>
      <c r="E19" s="239" t="s">
        <v>592</v>
      </c>
      <c r="F19" s="239"/>
      <c r="G19" s="238" t="s">
        <v>48</v>
      </c>
      <c r="H19" s="238">
        <v>90</v>
      </c>
      <c r="I19" s="238">
        <v>90</v>
      </c>
      <c r="J19" s="220" t="s">
        <v>590</v>
      </c>
      <c r="K19" s="240">
        <v>69</v>
      </c>
      <c r="L19" s="534"/>
      <c r="M19" s="223">
        <f t="shared" si="0"/>
        <v>46.230000000000004</v>
      </c>
    </row>
    <row r="20" spans="2:13" s="217" customFormat="1" ht="36" x14ac:dyDescent="0.25">
      <c r="C20" s="237" t="s">
        <v>593</v>
      </c>
      <c r="D20" s="238" t="s">
        <v>48</v>
      </c>
      <c r="E20" s="239" t="s">
        <v>594</v>
      </c>
      <c r="F20" s="239"/>
      <c r="G20" s="238" t="s">
        <v>595</v>
      </c>
      <c r="H20" s="238" t="s">
        <v>595</v>
      </c>
      <c r="I20" s="238" t="s">
        <v>596</v>
      </c>
      <c r="J20" s="220" t="s">
        <v>597</v>
      </c>
      <c r="K20" s="240">
        <v>112</v>
      </c>
      <c r="L20" s="534"/>
      <c r="M20" s="223">
        <f t="shared" si="0"/>
        <v>75.040000000000006</v>
      </c>
    </row>
    <row r="21" spans="2:13" s="217" customFormat="1" ht="18" x14ac:dyDescent="0.25">
      <c r="C21" s="219" t="s">
        <v>598</v>
      </c>
      <c r="D21" s="220" t="s">
        <v>48</v>
      </c>
      <c r="E21" s="241" t="s">
        <v>599</v>
      </c>
      <c r="F21" s="241"/>
      <c r="G21" s="220" t="s">
        <v>48</v>
      </c>
      <c r="H21" s="220" t="s">
        <v>48</v>
      </c>
      <c r="I21" s="220" t="s">
        <v>600</v>
      </c>
      <c r="J21" s="220" t="s">
        <v>601</v>
      </c>
      <c r="K21" s="242">
        <v>112</v>
      </c>
      <c r="L21" s="535"/>
      <c r="M21" s="223">
        <f t="shared" si="0"/>
        <v>75.040000000000006</v>
      </c>
    </row>
    <row r="22" spans="2:13" s="217" customFormat="1" ht="18" x14ac:dyDescent="0.25">
      <c r="C22" s="219" t="s">
        <v>602</v>
      </c>
      <c r="D22" s="220"/>
      <c r="E22" s="241" t="s">
        <v>603</v>
      </c>
      <c r="F22" s="241"/>
      <c r="G22" s="220"/>
      <c r="H22" s="220" t="s">
        <v>588</v>
      </c>
      <c r="I22" s="220" t="s">
        <v>562</v>
      </c>
      <c r="J22" s="220" t="s">
        <v>590</v>
      </c>
      <c r="K22" s="242">
        <v>112</v>
      </c>
      <c r="L22" s="535"/>
      <c r="M22" s="223">
        <f t="shared" si="0"/>
        <v>75.040000000000006</v>
      </c>
    </row>
    <row r="23" spans="2:13" s="217" customFormat="1" ht="18" x14ac:dyDescent="0.25">
      <c r="C23" s="237" t="s">
        <v>604</v>
      </c>
      <c r="D23" s="238" t="s">
        <v>48</v>
      </c>
      <c r="E23" s="239" t="s">
        <v>603</v>
      </c>
      <c r="F23" s="239"/>
      <c r="G23" s="238" t="s">
        <v>48</v>
      </c>
      <c r="H23" s="238" t="s">
        <v>588</v>
      </c>
      <c r="I23" s="238" t="s">
        <v>562</v>
      </c>
      <c r="J23" s="220" t="s">
        <v>590</v>
      </c>
      <c r="K23" s="240">
        <v>112</v>
      </c>
      <c r="L23" s="534"/>
      <c r="M23" s="223">
        <f t="shared" si="0"/>
        <v>75.040000000000006</v>
      </c>
    </row>
    <row r="24" spans="2:13" s="243" customFormat="1" ht="18" x14ac:dyDescent="0.25">
      <c r="C24" s="244">
        <v>6824</v>
      </c>
      <c r="D24" s="244" t="s">
        <v>605</v>
      </c>
      <c r="E24" s="245" t="s">
        <v>606</v>
      </c>
      <c r="F24" s="245"/>
      <c r="G24" s="244"/>
      <c r="H24" s="244">
        <v>125</v>
      </c>
      <c r="I24" s="244">
        <v>100</v>
      </c>
      <c r="J24" s="220" t="s">
        <v>590</v>
      </c>
      <c r="K24" s="240">
        <v>112</v>
      </c>
      <c r="L24" s="534"/>
      <c r="M24" s="223">
        <f t="shared" si="0"/>
        <v>75.040000000000006</v>
      </c>
    </row>
    <row r="25" spans="2:13" s="243" customFormat="1" ht="18" x14ac:dyDescent="0.25">
      <c r="C25" s="244">
        <v>6829</v>
      </c>
      <c r="D25" s="244" t="s">
        <v>605</v>
      </c>
      <c r="E25" s="245" t="s">
        <v>607</v>
      </c>
      <c r="F25" s="245"/>
      <c r="G25" s="244"/>
      <c r="H25" s="244">
        <v>125</v>
      </c>
      <c r="I25" s="244">
        <v>100</v>
      </c>
      <c r="J25" s="220" t="s">
        <v>590</v>
      </c>
      <c r="K25" s="240">
        <v>112</v>
      </c>
      <c r="L25" s="534"/>
      <c r="M25" s="223">
        <f t="shared" si="0"/>
        <v>75.040000000000006</v>
      </c>
    </row>
    <row r="26" spans="2:13" s="243" customFormat="1" ht="18" x14ac:dyDescent="0.25">
      <c r="C26" s="244">
        <v>6827</v>
      </c>
      <c r="D26" s="244" t="s">
        <v>605</v>
      </c>
      <c r="E26" s="245" t="s">
        <v>608</v>
      </c>
      <c r="F26" s="245"/>
      <c r="G26" s="244"/>
      <c r="H26" s="244">
        <v>125</v>
      </c>
      <c r="I26" s="244">
        <v>100</v>
      </c>
      <c r="J26" s="220" t="s">
        <v>601</v>
      </c>
      <c r="K26" s="240">
        <v>112</v>
      </c>
      <c r="L26" s="534"/>
      <c r="M26" s="223">
        <f t="shared" si="0"/>
        <v>75.040000000000006</v>
      </c>
    </row>
    <row r="27" spans="2:13" s="217" customFormat="1" ht="26.25" x14ac:dyDescent="0.25">
      <c r="B27" s="218"/>
      <c r="C27" s="567" t="s">
        <v>609</v>
      </c>
      <c r="D27" s="568"/>
      <c r="E27" s="568"/>
      <c r="F27" s="568"/>
      <c r="G27" s="568"/>
      <c r="H27" s="568"/>
      <c r="I27" s="568"/>
      <c r="J27" s="568"/>
      <c r="K27" s="568"/>
      <c r="L27" s="568"/>
      <c r="M27" s="600"/>
    </row>
    <row r="28" spans="2:13" s="217" customFormat="1" ht="20.25" x14ac:dyDescent="0.25">
      <c r="B28" s="218"/>
      <c r="C28" s="588" t="s">
        <v>548</v>
      </c>
      <c r="D28" s="589"/>
      <c r="E28" s="589"/>
      <c r="F28" s="589"/>
      <c r="G28" s="589"/>
      <c r="H28" s="589"/>
      <c r="I28" s="589"/>
      <c r="J28" s="589"/>
      <c r="K28" s="589"/>
      <c r="L28" s="589"/>
      <c r="M28" s="595"/>
    </row>
    <row r="29" spans="2:13" s="217" customFormat="1" ht="18" x14ac:dyDescent="0.25">
      <c r="B29" s="218"/>
      <c r="C29" s="246" t="s">
        <v>610</v>
      </c>
      <c r="D29" s="247" t="s">
        <v>611</v>
      </c>
      <c r="E29" s="248" t="s">
        <v>612</v>
      </c>
      <c r="F29" s="248"/>
      <c r="G29" s="247">
        <v>1000</v>
      </c>
      <c r="H29" s="247">
        <v>145</v>
      </c>
      <c r="I29" s="247">
        <v>55</v>
      </c>
      <c r="J29" s="247" t="s">
        <v>613</v>
      </c>
      <c r="K29" s="249">
        <v>385</v>
      </c>
      <c r="L29" s="536"/>
      <c r="M29" s="250">
        <f>K29*0.6</f>
        <v>231</v>
      </c>
    </row>
    <row r="30" spans="2:13" s="217" customFormat="1" ht="18" x14ac:dyDescent="0.25">
      <c r="B30" s="251"/>
      <c r="C30" s="252">
        <v>8057</v>
      </c>
      <c r="D30" s="238" t="s">
        <v>611</v>
      </c>
      <c r="E30" s="253" t="s">
        <v>614</v>
      </c>
      <c r="F30" s="253"/>
      <c r="G30" s="238">
        <v>1000</v>
      </c>
      <c r="H30" s="238">
        <v>145</v>
      </c>
      <c r="I30" s="238">
        <v>55</v>
      </c>
      <c r="J30" s="238" t="s">
        <v>615</v>
      </c>
      <c r="K30" s="254">
        <v>825</v>
      </c>
      <c r="L30" s="537"/>
      <c r="M30" s="223">
        <f>K30*0.67</f>
        <v>552.75</v>
      </c>
    </row>
    <row r="31" spans="2:13" s="217" customFormat="1" ht="36" x14ac:dyDescent="0.25">
      <c r="B31" s="251"/>
      <c r="C31" s="252">
        <v>805009</v>
      </c>
      <c r="D31" s="238" t="s">
        <v>611</v>
      </c>
      <c r="E31" s="221" t="s">
        <v>616</v>
      </c>
      <c r="F31" s="221"/>
      <c r="G31" s="238">
        <v>1000</v>
      </c>
      <c r="H31" s="238">
        <v>145</v>
      </c>
      <c r="I31" s="238">
        <v>55</v>
      </c>
      <c r="J31" s="238" t="s">
        <v>613</v>
      </c>
      <c r="K31" s="254">
        <v>385</v>
      </c>
      <c r="L31" s="537"/>
      <c r="M31" s="223">
        <f>K31*0.67</f>
        <v>257.95</v>
      </c>
    </row>
    <row r="32" spans="2:13" s="217" customFormat="1" ht="18" x14ac:dyDescent="0.25">
      <c r="B32" s="251"/>
      <c r="C32" s="255" t="s">
        <v>617</v>
      </c>
      <c r="D32" s="256" t="s">
        <v>611</v>
      </c>
      <c r="E32" s="257" t="s">
        <v>612</v>
      </c>
      <c r="F32" s="257"/>
      <c r="G32" s="258">
        <v>1000</v>
      </c>
      <c r="H32" s="258">
        <v>145</v>
      </c>
      <c r="I32" s="258">
        <v>80</v>
      </c>
      <c r="J32" s="258">
        <v>1.1000000000000001</v>
      </c>
      <c r="K32" s="259">
        <v>460</v>
      </c>
      <c r="L32" s="538"/>
      <c r="M32" s="250">
        <f>K32*0.6</f>
        <v>276</v>
      </c>
    </row>
    <row r="33" spans="2:13" s="218" customFormat="1" ht="18" x14ac:dyDescent="0.25">
      <c r="B33" s="251"/>
      <c r="C33" s="237" t="s">
        <v>618</v>
      </c>
      <c r="D33" s="238" t="s">
        <v>611</v>
      </c>
      <c r="E33" s="253" t="s">
        <v>614</v>
      </c>
      <c r="F33" s="253"/>
      <c r="G33" s="260">
        <v>1000</v>
      </c>
      <c r="H33" s="260">
        <v>145</v>
      </c>
      <c r="I33" s="260">
        <v>80</v>
      </c>
      <c r="J33" s="260">
        <v>2.1</v>
      </c>
      <c r="K33" s="261">
        <v>900</v>
      </c>
      <c r="L33" s="539"/>
      <c r="M33" s="223">
        <f>K33*0.67</f>
        <v>603</v>
      </c>
    </row>
    <row r="34" spans="2:13" s="218" customFormat="1" ht="18" x14ac:dyDescent="0.25">
      <c r="B34" s="251"/>
      <c r="C34" s="262" t="s">
        <v>619</v>
      </c>
      <c r="D34" s="263" t="s">
        <v>611</v>
      </c>
      <c r="E34" s="264" t="s">
        <v>612</v>
      </c>
      <c r="F34" s="264"/>
      <c r="G34" s="265">
        <v>1000</v>
      </c>
      <c r="H34" s="265">
        <v>160</v>
      </c>
      <c r="I34" s="265">
        <v>120</v>
      </c>
      <c r="J34" s="265">
        <v>1.65</v>
      </c>
      <c r="K34" s="266">
        <v>510</v>
      </c>
      <c r="L34" s="540"/>
      <c r="M34" s="250">
        <f>K34*0.6</f>
        <v>306</v>
      </c>
    </row>
    <row r="35" spans="2:13" s="218" customFormat="1" ht="18" x14ac:dyDescent="0.25">
      <c r="B35" s="251"/>
      <c r="C35" s="237" t="s">
        <v>620</v>
      </c>
      <c r="D35" s="238" t="s">
        <v>611</v>
      </c>
      <c r="E35" s="253" t="s">
        <v>614</v>
      </c>
      <c r="F35" s="253"/>
      <c r="G35" s="260">
        <v>1000</v>
      </c>
      <c r="H35" s="260">
        <v>160</v>
      </c>
      <c r="I35" s="260">
        <v>120</v>
      </c>
      <c r="J35" s="260">
        <v>2.65</v>
      </c>
      <c r="K35" s="261">
        <v>950</v>
      </c>
      <c r="L35" s="539"/>
      <c r="M35" s="223">
        <f>K35*0.67</f>
        <v>636.5</v>
      </c>
    </row>
    <row r="36" spans="2:13" s="251" customFormat="1" ht="18" x14ac:dyDescent="0.25">
      <c r="C36" s="237" t="s">
        <v>621</v>
      </c>
      <c r="D36" s="238" t="s">
        <v>611</v>
      </c>
      <c r="E36" s="241" t="s">
        <v>622</v>
      </c>
      <c r="F36" s="241"/>
      <c r="G36" s="260">
        <v>1000</v>
      </c>
      <c r="H36" s="260">
        <v>160</v>
      </c>
      <c r="I36" s="260">
        <v>155</v>
      </c>
      <c r="J36" s="260">
        <v>2.25</v>
      </c>
      <c r="K36" s="261">
        <v>600</v>
      </c>
      <c r="L36" s="539"/>
      <c r="M36" s="223">
        <f>K36*0.67</f>
        <v>402</v>
      </c>
    </row>
    <row r="37" spans="2:13" s="251" customFormat="1" ht="18" x14ac:dyDescent="0.25">
      <c r="C37" s="237" t="s">
        <v>623</v>
      </c>
      <c r="D37" s="238" t="s">
        <v>611</v>
      </c>
      <c r="E37" s="253" t="s">
        <v>614</v>
      </c>
      <c r="F37" s="253"/>
      <c r="G37" s="260">
        <v>1000</v>
      </c>
      <c r="H37" s="260">
        <v>160</v>
      </c>
      <c r="I37" s="260">
        <v>155</v>
      </c>
      <c r="J37" s="260">
        <v>3.15</v>
      </c>
      <c r="K37" s="261">
        <v>1040</v>
      </c>
      <c r="L37" s="539"/>
      <c r="M37" s="223">
        <f>K37*0.67</f>
        <v>696.80000000000007</v>
      </c>
    </row>
    <row r="38" spans="2:13" s="251" customFormat="1" ht="18" x14ac:dyDescent="0.25">
      <c r="C38" s="237" t="s">
        <v>624</v>
      </c>
      <c r="D38" s="238" t="s">
        <v>611</v>
      </c>
      <c r="E38" s="241" t="s">
        <v>612</v>
      </c>
      <c r="F38" s="241"/>
      <c r="G38" s="260">
        <v>1000</v>
      </c>
      <c r="H38" s="260">
        <v>160</v>
      </c>
      <c r="I38" s="260">
        <v>200</v>
      </c>
      <c r="J38" s="260">
        <v>2.9</v>
      </c>
      <c r="K38" s="261">
        <v>670</v>
      </c>
      <c r="L38" s="539"/>
      <c r="M38" s="223">
        <f>K38*0.67</f>
        <v>448.90000000000003</v>
      </c>
    </row>
    <row r="39" spans="2:13" s="251" customFormat="1" ht="18" x14ac:dyDescent="0.25">
      <c r="C39" s="237" t="s">
        <v>625</v>
      </c>
      <c r="D39" s="238" t="s">
        <v>611</v>
      </c>
      <c r="E39" s="253" t="s">
        <v>614</v>
      </c>
      <c r="F39" s="253"/>
      <c r="G39" s="260">
        <v>1000</v>
      </c>
      <c r="H39" s="260">
        <v>160</v>
      </c>
      <c r="I39" s="260">
        <v>200</v>
      </c>
      <c r="J39" s="260">
        <v>3.3</v>
      </c>
      <c r="K39" s="261">
        <v>1110</v>
      </c>
      <c r="L39" s="539"/>
      <c r="M39" s="223">
        <f>K39*0.67</f>
        <v>743.7</v>
      </c>
    </row>
    <row r="40" spans="2:13" s="251" customFormat="1" ht="18" x14ac:dyDescent="0.25">
      <c r="B40" s="218"/>
      <c r="C40" s="596" t="s">
        <v>626</v>
      </c>
      <c r="D40" s="597"/>
      <c r="E40" s="597"/>
      <c r="F40" s="597"/>
      <c r="G40" s="597"/>
      <c r="H40" s="597"/>
      <c r="I40" s="597"/>
      <c r="J40" s="597"/>
      <c r="K40" s="597"/>
      <c r="L40" s="597"/>
      <c r="M40" s="572"/>
    </row>
    <row r="41" spans="2:13" s="251" customFormat="1" ht="18" x14ac:dyDescent="0.25">
      <c r="B41" s="218"/>
      <c r="C41" s="238" t="s">
        <v>627</v>
      </c>
      <c r="D41" s="238" t="s">
        <v>628</v>
      </c>
      <c r="E41" s="239" t="s">
        <v>629</v>
      </c>
      <c r="F41" s="239"/>
      <c r="G41" s="260">
        <v>500</v>
      </c>
      <c r="H41" s="260">
        <v>156</v>
      </c>
      <c r="I41" s="260">
        <v>600</v>
      </c>
      <c r="J41" s="260">
        <v>3.5</v>
      </c>
      <c r="K41" s="267">
        <v>1870</v>
      </c>
      <c r="L41" s="267"/>
      <c r="M41" s="223">
        <f>K41*0.67</f>
        <v>1252.9000000000001</v>
      </c>
    </row>
    <row r="42" spans="2:13" s="251" customFormat="1" ht="36" x14ac:dyDescent="0.25">
      <c r="B42" s="218"/>
      <c r="C42" s="238" t="s">
        <v>630</v>
      </c>
      <c r="D42" s="238" t="s">
        <v>628</v>
      </c>
      <c r="E42" s="239" t="s">
        <v>631</v>
      </c>
      <c r="F42" s="239"/>
      <c r="G42" s="260">
        <v>500</v>
      </c>
      <c r="H42" s="260">
        <v>156</v>
      </c>
      <c r="I42" s="260">
        <v>600</v>
      </c>
      <c r="J42" s="260">
        <v>3.5</v>
      </c>
      <c r="K42" s="267">
        <v>2090</v>
      </c>
      <c r="L42" s="267"/>
      <c r="M42" s="223">
        <f>K42*0.67</f>
        <v>1400.3000000000002</v>
      </c>
    </row>
    <row r="43" spans="2:13" s="251" customFormat="1" ht="20.25" x14ac:dyDescent="0.25">
      <c r="C43" s="588" t="s">
        <v>632</v>
      </c>
      <c r="D43" s="589"/>
      <c r="E43" s="589"/>
      <c r="F43" s="589"/>
      <c r="G43" s="589"/>
      <c r="H43" s="589"/>
      <c r="I43" s="589"/>
      <c r="J43" s="589"/>
      <c r="K43" s="589"/>
      <c r="L43" s="589"/>
      <c r="M43" s="569"/>
    </row>
    <row r="44" spans="2:13" s="251" customFormat="1" ht="18" x14ac:dyDescent="0.25">
      <c r="C44" s="268">
        <v>4010</v>
      </c>
      <c r="D44" s="238" t="s">
        <v>611</v>
      </c>
      <c r="E44" s="239" t="s">
        <v>633</v>
      </c>
      <c r="F44" s="239"/>
      <c r="G44" s="268">
        <v>500</v>
      </c>
      <c r="H44" s="268">
        <v>140</v>
      </c>
      <c r="I44" s="268">
        <v>60</v>
      </c>
      <c r="J44" s="268">
        <v>5.2</v>
      </c>
      <c r="K44" s="269">
        <v>303</v>
      </c>
      <c r="L44" s="269"/>
      <c r="M44" s="223">
        <f>K44*0.67</f>
        <v>203.01000000000002</v>
      </c>
    </row>
    <row r="45" spans="2:13" s="251" customFormat="1" ht="36" x14ac:dyDescent="0.25">
      <c r="B45" s="218"/>
      <c r="C45" s="268">
        <v>401009</v>
      </c>
      <c r="D45" s="238" t="s">
        <v>611</v>
      </c>
      <c r="E45" s="239" t="s">
        <v>634</v>
      </c>
      <c r="F45" s="239"/>
      <c r="G45" s="268">
        <v>500</v>
      </c>
      <c r="H45" s="268">
        <v>140</v>
      </c>
      <c r="I45" s="268">
        <v>60</v>
      </c>
      <c r="J45" s="268">
        <v>5.4</v>
      </c>
      <c r="K45" s="269">
        <v>758</v>
      </c>
      <c r="L45" s="269"/>
      <c r="M45" s="223">
        <f>K45*0.67</f>
        <v>507.86</v>
      </c>
    </row>
    <row r="46" spans="2:13" s="251" customFormat="1" ht="18" x14ac:dyDescent="0.25">
      <c r="B46" s="218"/>
      <c r="C46" s="237" t="s">
        <v>635</v>
      </c>
      <c r="D46" s="238" t="s">
        <v>611</v>
      </c>
      <c r="E46" s="241" t="s">
        <v>636</v>
      </c>
      <c r="F46" s="241"/>
      <c r="G46" s="260">
        <v>1000</v>
      </c>
      <c r="H46" s="260">
        <v>140</v>
      </c>
      <c r="I46" s="260">
        <v>125</v>
      </c>
      <c r="J46" s="260">
        <v>22</v>
      </c>
      <c r="K46" s="269">
        <v>417</v>
      </c>
      <c r="L46" s="269"/>
      <c r="M46" s="223">
        <f>K46*0.67</f>
        <v>279.39000000000004</v>
      </c>
    </row>
    <row r="47" spans="2:13" s="218" customFormat="1" ht="36" x14ac:dyDescent="0.25">
      <c r="C47" s="237" t="s">
        <v>637</v>
      </c>
      <c r="D47" s="238" t="s">
        <v>611</v>
      </c>
      <c r="E47" s="239" t="s">
        <v>638</v>
      </c>
      <c r="F47" s="239"/>
      <c r="G47" s="260">
        <v>1000</v>
      </c>
      <c r="H47" s="260">
        <v>140</v>
      </c>
      <c r="I47" s="260">
        <v>125</v>
      </c>
      <c r="J47" s="260">
        <v>20.8</v>
      </c>
      <c r="K47" s="269">
        <v>975</v>
      </c>
      <c r="L47" s="269"/>
      <c r="M47" s="223">
        <f>K47*0.67</f>
        <v>653.25</v>
      </c>
    </row>
    <row r="48" spans="2:13" s="218" customFormat="1" ht="18" x14ac:dyDescent="0.25">
      <c r="B48" s="251"/>
      <c r="C48" s="596" t="s">
        <v>626</v>
      </c>
      <c r="D48" s="597"/>
      <c r="E48" s="597"/>
      <c r="F48" s="597"/>
      <c r="G48" s="597"/>
      <c r="H48" s="597"/>
      <c r="I48" s="597"/>
      <c r="J48" s="597"/>
      <c r="K48" s="597"/>
      <c r="L48" s="597"/>
      <c r="M48" s="569"/>
    </row>
    <row r="49" spans="2:13" s="251" customFormat="1" ht="18" x14ac:dyDescent="0.25">
      <c r="C49" s="237" t="s">
        <v>639</v>
      </c>
      <c r="D49" s="238" t="s">
        <v>611</v>
      </c>
      <c r="E49" s="239" t="s">
        <v>640</v>
      </c>
      <c r="F49" s="239"/>
      <c r="G49" s="260">
        <v>500</v>
      </c>
      <c r="H49" s="260">
        <v>140</v>
      </c>
      <c r="I49" s="260">
        <v>385</v>
      </c>
      <c r="J49" s="260">
        <v>22</v>
      </c>
      <c r="K49" s="261">
        <v>2867</v>
      </c>
      <c r="L49" s="539"/>
      <c r="M49" s="223">
        <f>K49*0.67</f>
        <v>1920.89</v>
      </c>
    </row>
    <row r="50" spans="2:13" s="251" customFormat="1" ht="20.25" x14ac:dyDescent="0.25">
      <c r="C50" s="588" t="s">
        <v>641</v>
      </c>
      <c r="D50" s="589"/>
      <c r="E50" s="589"/>
      <c r="F50" s="589"/>
      <c r="G50" s="589"/>
      <c r="H50" s="589"/>
      <c r="I50" s="589"/>
      <c r="J50" s="589"/>
      <c r="K50" s="589"/>
      <c r="L50" s="589"/>
      <c r="M50" s="569"/>
    </row>
    <row r="51" spans="2:13" s="218" customFormat="1" ht="18" x14ac:dyDescent="0.25">
      <c r="B51" s="251"/>
      <c r="C51" s="219" t="s">
        <v>642</v>
      </c>
      <c r="D51" s="220" t="s">
        <v>611</v>
      </c>
      <c r="E51" s="241" t="s">
        <v>643</v>
      </c>
      <c r="F51" s="241"/>
      <c r="G51" s="270">
        <v>1000</v>
      </c>
      <c r="H51" s="270">
        <v>140</v>
      </c>
      <c r="I51" s="270">
        <v>60</v>
      </c>
      <c r="J51" s="270">
        <v>6.2</v>
      </c>
      <c r="K51" s="261">
        <v>935</v>
      </c>
      <c r="L51" s="539"/>
      <c r="M51" s="223">
        <f t="shared" ref="M51:M56" si="1">K51*0.77</f>
        <v>719.95</v>
      </c>
    </row>
    <row r="52" spans="2:13" s="218" customFormat="1" ht="36" x14ac:dyDescent="0.25">
      <c r="B52" s="251"/>
      <c r="C52" s="219" t="s">
        <v>644</v>
      </c>
      <c r="D52" s="220" t="s">
        <v>611</v>
      </c>
      <c r="E52" s="241" t="s">
        <v>645</v>
      </c>
      <c r="F52" s="241"/>
      <c r="G52" s="270">
        <v>1000</v>
      </c>
      <c r="H52" s="270">
        <v>140</v>
      </c>
      <c r="I52" s="270">
        <v>60</v>
      </c>
      <c r="J52" s="270">
        <v>5.43</v>
      </c>
      <c r="K52" s="261">
        <v>1628</v>
      </c>
      <c r="L52" s="539"/>
      <c r="M52" s="223">
        <f t="shared" si="1"/>
        <v>1253.56</v>
      </c>
    </row>
    <row r="53" spans="2:13" s="218" customFormat="1" ht="18" x14ac:dyDescent="0.25">
      <c r="C53" s="219" t="s">
        <v>646</v>
      </c>
      <c r="D53" s="220" t="s">
        <v>611</v>
      </c>
      <c r="E53" s="241" t="s">
        <v>643</v>
      </c>
      <c r="F53" s="241"/>
      <c r="G53" s="270">
        <v>1000</v>
      </c>
      <c r="H53" s="270">
        <v>140</v>
      </c>
      <c r="I53" s="270">
        <v>100</v>
      </c>
      <c r="J53" s="270">
        <v>7.8</v>
      </c>
      <c r="K53" s="261">
        <v>1194</v>
      </c>
      <c r="L53" s="539"/>
      <c r="M53" s="223">
        <f t="shared" si="1"/>
        <v>919.38</v>
      </c>
    </row>
    <row r="54" spans="2:13" s="251" customFormat="1" ht="36" x14ac:dyDescent="0.25">
      <c r="B54" s="218"/>
      <c r="C54" s="219" t="s">
        <v>647</v>
      </c>
      <c r="D54" s="220" t="s">
        <v>611</v>
      </c>
      <c r="E54" s="241" t="s">
        <v>645</v>
      </c>
      <c r="F54" s="241"/>
      <c r="G54" s="270">
        <v>1000</v>
      </c>
      <c r="H54" s="270">
        <v>140</v>
      </c>
      <c r="I54" s="270">
        <v>100</v>
      </c>
      <c r="J54" s="270">
        <v>7.1</v>
      </c>
      <c r="K54" s="261">
        <v>2195</v>
      </c>
      <c r="L54" s="539"/>
      <c r="M54" s="223">
        <f t="shared" si="1"/>
        <v>1690.15</v>
      </c>
    </row>
    <row r="55" spans="2:13" s="251" customFormat="1" ht="18" x14ac:dyDescent="0.25">
      <c r="C55" s="219" t="s">
        <v>648</v>
      </c>
      <c r="D55" s="220" t="s">
        <v>611</v>
      </c>
      <c r="E55" s="241" t="s">
        <v>643</v>
      </c>
      <c r="F55" s="241"/>
      <c r="G55" s="270">
        <v>1000</v>
      </c>
      <c r="H55" s="270">
        <v>140</v>
      </c>
      <c r="I55" s="270">
        <v>125</v>
      </c>
      <c r="J55" s="270">
        <v>10.7</v>
      </c>
      <c r="K55" s="261">
        <v>1598</v>
      </c>
      <c r="L55" s="539"/>
      <c r="M55" s="223">
        <f t="shared" si="1"/>
        <v>1230.46</v>
      </c>
    </row>
    <row r="56" spans="2:13" s="251" customFormat="1" ht="36" x14ac:dyDescent="0.25">
      <c r="C56" s="219" t="s">
        <v>649</v>
      </c>
      <c r="D56" s="220" t="s">
        <v>611</v>
      </c>
      <c r="E56" s="241" t="s">
        <v>645</v>
      </c>
      <c r="F56" s="241"/>
      <c r="G56" s="270">
        <v>1000</v>
      </c>
      <c r="H56" s="270">
        <v>140</v>
      </c>
      <c r="I56" s="270">
        <v>125</v>
      </c>
      <c r="J56" s="270">
        <v>11</v>
      </c>
      <c r="K56" s="261">
        <v>2251</v>
      </c>
      <c r="L56" s="539"/>
      <c r="M56" s="223">
        <f t="shared" si="1"/>
        <v>1733.27</v>
      </c>
    </row>
    <row r="57" spans="2:13" s="251" customFormat="1" ht="18" x14ac:dyDescent="0.25">
      <c r="C57" s="596" t="s">
        <v>626</v>
      </c>
      <c r="D57" s="597"/>
      <c r="E57" s="597"/>
      <c r="F57" s="597"/>
      <c r="G57" s="597"/>
      <c r="H57" s="597"/>
      <c r="I57" s="597"/>
      <c r="J57" s="597"/>
      <c r="K57" s="597"/>
      <c r="L57" s="597"/>
      <c r="M57" s="569"/>
    </row>
    <row r="58" spans="2:13" s="251" customFormat="1" ht="18" x14ac:dyDescent="0.25">
      <c r="B58" s="218"/>
      <c r="C58" s="237" t="s">
        <v>650</v>
      </c>
      <c r="D58" s="238" t="s">
        <v>611</v>
      </c>
      <c r="E58" s="239" t="s">
        <v>651</v>
      </c>
      <c r="F58" s="239"/>
      <c r="G58" s="260">
        <v>500</v>
      </c>
      <c r="H58" s="260">
        <v>140</v>
      </c>
      <c r="I58" s="260">
        <v>390</v>
      </c>
      <c r="J58" s="260">
        <v>20</v>
      </c>
      <c r="K58" s="261">
        <v>4485</v>
      </c>
      <c r="L58" s="539"/>
      <c r="M58" s="223">
        <f>K58*0.77</f>
        <v>3453.4500000000003</v>
      </c>
    </row>
    <row r="59" spans="2:13" s="218" customFormat="1" ht="18" x14ac:dyDescent="0.25">
      <c r="C59" s="590" t="s">
        <v>652</v>
      </c>
      <c r="D59" s="591"/>
      <c r="E59" s="591"/>
      <c r="F59" s="591"/>
      <c r="G59" s="591"/>
      <c r="H59" s="591"/>
      <c r="I59" s="591"/>
      <c r="J59" s="591"/>
      <c r="K59" s="591"/>
      <c r="L59" s="591"/>
      <c r="M59" s="572"/>
    </row>
    <row r="60" spans="2:13" s="218" customFormat="1" ht="18" x14ac:dyDescent="0.25">
      <c r="B60" s="251"/>
      <c r="C60" s="271" t="s">
        <v>653</v>
      </c>
      <c r="D60" s="272" t="s">
        <v>550</v>
      </c>
      <c r="E60" s="264" t="s">
        <v>654</v>
      </c>
      <c r="F60" s="264"/>
      <c r="G60" s="265">
        <v>1000</v>
      </c>
      <c r="H60" s="265">
        <v>136</v>
      </c>
      <c r="I60" s="265">
        <v>3</v>
      </c>
      <c r="J60" s="265">
        <v>1.65</v>
      </c>
      <c r="K60" s="266">
        <v>560</v>
      </c>
      <c r="L60" s="540"/>
      <c r="M60" s="250">
        <f>K60*0.6</f>
        <v>336</v>
      </c>
    </row>
    <row r="61" spans="2:13" s="251" customFormat="1" ht="36" x14ac:dyDescent="0.25">
      <c r="C61" s="271" t="s">
        <v>655</v>
      </c>
      <c r="D61" s="272" t="s">
        <v>550</v>
      </c>
      <c r="E61" s="264" t="s">
        <v>656</v>
      </c>
      <c r="F61" s="264"/>
      <c r="G61" s="265">
        <v>1000</v>
      </c>
      <c r="H61" s="265">
        <v>136</v>
      </c>
      <c r="I61" s="265">
        <v>3</v>
      </c>
      <c r="J61" s="265">
        <v>1.7</v>
      </c>
      <c r="K61" s="266">
        <v>560</v>
      </c>
      <c r="L61" s="540"/>
      <c r="M61" s="250">
        <f>K61*0.6</f>
        <v>336</v>
      </c>
    </row>
    <row r="62" spans="2:13" s="251" customFormat="1" ht="18" x14ac:dyDescent="0.25">
      <c r="C62" s="237" t="s">
        <v>657</v>
      </c>
      <c r="D62" s="238" t="s">
        <v>658</v>
      </c>
      <c r="E62" s="241" t="s">
        <v>659</v>
      </c>
      <c r="F62" s="241"/>
      <c r="G62" s="260">
        <v>1000</v>
      </c>
      <c r="H62" s="260">
        <v>136</v>
      </c>
      <c r="I62" s="260">
        <v>3</v>
      </c>
      <c r="J62" s="260">
        <v>3.2</v>
      </c>
      <c r="K62" s="261">
        <v>1400</v>
      </c>
      <c r="L62" s="539"/>
      <c r="M62" s="223">
        <f t="shared" ref="M62:M67" si="2">K62*0.67</f>
        <v>938</v>
      </c>
    </row>
    <row r="63" spans="2:13" s="251" customFormat="1" ht="18" x14ac:dyDescent="0.25">
      <c r="C63" s="219" t="s">
        <v>660</v>
      </c>
      <c r="D63" s="220" t="s">
        <v>661</v>
      </c>
      <c r="E63" s="241" t="s">
        <v>662</v>
      </c>
      <c r="F63" s="241"/>
      <c r="G63" s="270">
        <v>500</v>
      </c>
      <c r="H63" s="270">
        <v>136</v>
      </c>
      <c r="I63" s="270">
        <v>22</v>
      </c>
      <c r="J63" s="270">
        <v>0.4</v>
      </c>
      <c r="K63" s="261">
        <v>225</v>
      </c>
      <c r="L63" s="539"/>
      <c r="M63" s="223">
        <f t="shared" si="2"/>
        <v>150.75</v>
      </c>
    </row>
    <row r="64" spans="2:13" s="251" customFormat="1" ht="18" x14ac:dyDescent="0.25">
      <c r="C64" s="219" t="s">
        <v>663</v>
      </c>
      <c r="D64" s="220" t="s">
        <v>661</v>
      </c>
      <c r="E64" s="241" t="s">
        <v>664</v>
      </c>
      <c r="F64" s="241"/>
      <c r="G64" s="270">
        <v>500</v>
      </c>
      <c r="H64" s="270">
        <v>136</v>
      </c>
      <c r="I64" s="270">
        <v>13</v>
      </c>
      <c r="J64" s="270">
        <v>0.4</v>
      </c>
      <c r="K64" s="261">
        <v>195</v>
      </c>
      <c r="L64" s="539"/>
      <c r="M64" s="223">
        <f t="shared" si="2"/>
        <v>130.65</v>
      </c>
    </row>
    <row r="65" spans="2:16" s="218" customFormat="1" ht="18" x14ac:dyDescent="0.25">
      <c r="B65" s="251"/>
      <c r="C65" s="219" t="s">
        <v>665</v>
      </c>
      <c r="D65" s="220" t="s">
        <v>550</v>
      </c>
      <c r="E65" s="241" t="s">
        <v>666</v>
      </c>
      <c r="F65" s="241"/>
      <c r="G65" s="270">
        <v>1000</v>
      </c>
      <c r="H65" s="270">
        <v>136</v>
      </c>
      <c r="I65" s="270">
        <v>3</v>
      </c>
      <c r="J65" s="270">
        <v>1.9</v>
      </c>
      <c r="K65" s="261">
        <v>1835</v>
      </c>
      <c r="L65" s="539"/>
      <c r="M65" s="223">
        <f t="shared" si="2"/>
        <v>1229.45</v>
      </c>
    </row>
    <row r="66" spans="2:16" s="218" customFormat="1" ht="36" x14ac:dyDescent="0.25">
      <c r="B66" s="251"/>
      <c r="C66" s="237" t="s">
        <v>667</v>
      </c>
      <c r="D66" s="238" t="s">
        <v>550</v>
      </c>
      <c r="E66" s="241" t="s">
        <v>668</v>
      </c>
      <c r="F66" s="241"/>
      <c r="G66" s="260">
        <v>1000</v>
      </c>
      <c r="H66" s="260">
        <v>136</v>
      </c>
      <c r="I66" s="260">
        <v>3</v>
      </c>
      <c r="J66" s="260">
        <v>1.9</v>
      </c>
      <c r="K66" s="261">
        <v>1835</v>
      </c>
      <c r="L66" s="539"/>
      <c r="M66" s="223">
        <f t="shared" si="2"/>
        <v>1229.45</v>
      </c>
    </row>
    <row r="67" spans="2:16" s="251" customFormat="1" ht="36" x14ac:dyDescent="0.25">
      <c r="C67" s="273">
        <v>203032</v>
      </c>
      <c r="D67" s="238" t="s">
        <v>611</v>
      </c>
      <c r="E67" s="241" t="s">
        <v>669</v>
      </c>
      <c r="F67" s="241"/>
      <c r="G67" s="260">
        <v>500</v>
      </c>
      <c r="H67" s="260">
        <v>136</v>
      </c>
      <c r="I67" s="260">
        <v>15</v>
      </c>
      <c r="J67" s="260">
        <v>2.6</v>
      </c>
      <c r="K67" s="261">
        <v>755</v>
      </c>
      <c r="L67" s="539"/>
      <c r="M67" s="223">
        <f t="shared" si="2"/>
        <v>505.85</v>
      </c>
    </row>
    <row r="68" spans="2:16" s="251" customFormat="1" ht="36" x14ac:dyDescent="0.25">
      <c r="C68" s="262" t="s">
        <v>670</v>
      </c>
      <c r="D68" s="263" t="s">
        <v>611</v>
      </c>
      <c r="E68" s="264" t="s">
        <v>671</v>
      </c>
      <c r="F68" s="264"/>
      <c r="G68" s="274">
        <v>500</v>
      </c>
      <c r="H68" s="274">
        <v>136</v>
      </c>
      <c r="I68" s="274">
        <v>15</v>
      </c>
      <c r="J68" s="274">
        <v>2.5</v>
      </c>
      <c r="K68" s="266">
        <v>755</v>
      </c>
      <c r="L68" s="540"/>
      <c r="M68" s="250">
        <f>K68*0.6</f>
        <v>453</v>
      </c>
    </row>
    <row r="69" spans="2:16" s="251" customFormat="1" ht="36" x14ac:dyDescent="0.25">
      <c r="B69" s="218"/>
      <c r="C69" s="237" t="s">
        <v>672</v>
      </c>
      <c r="D69" s="238" t="s">
        <v>611</v>
      </c>
      <c r="E69" s="241" t="s">
        <v>673</v>
      </c>
      <c r="F69" s="241"/>
      <c r="G69" s="260">
        <v>500</v>
      </c>
      <c r="H69" s="260">
        <v>136</v>
      </c>
      <c r="I69" s="260">
        <v>15</v>
      </c>
      <c r="J69" s="270">
        <v>2.8</v>
      </c>
      <c r="K69" s="261">
        <v>1065</v>
      </c>
      <c r="L69" s="539"/>
      <c r="M69" s="223">
        <f>K69*0.67</f>
        <v>713.55000000000007</v>
      </c>
    </row>
    <row r="70" spans="2:16" s="251" customFormat="1" ht="18" x14ac:dyDescent="0.25">
      <c r="B70" s="218"/>
      <c r="C70" s="237" t="s">
        <v>674</v>
      </c>
      <c r="D70" s="238" t="s">
        <v>611</v>
      </c>
      <c r="E70" s="241" t="s">
        <v>675</v>
      </c>
      <c r="F70" s="241"/>
      <c r="G70" s="260">
        <v>500</v>
      </c>
      <c r="H70" s="260">
        <v>136</v>
      </c>
      <c r="I70" s="260">
        <v>15</v>
      </c>
      <c r="J70" s="270">
        <v>2.5</v>
      </c>
      <c r="K70" s="261">
        <v>755</v>
      </c>
      <c r="L70" s="539"/>
      <c r="M70" s="223">
        <f>K70*0.67</f>
        <v>505.85</v>
      </c>
    </row>
    <row r="71" spans="2:16" s="251" customFormat="1" ht="36.75" thickBot="1" x14ac:dyDescent="0.3">
      <c r="B71" s="216"/>
      <c r="C71" s="275" t="s">
        <v>676</v>
      </c>
      <c r="D71" s="276" t="s">
        <v>611</v>
      </c>
      <c r="E71" s="277" t="s">
        <v>677</v>
      </c>
      <c r="F71" s="277"/>
      <c r="G71" s="278">
        <v>500</v>
      </c>
      <c r="H71" s="278">
        <v>136</v>
      </c>
      <c r="I71" s="278">
        <v>16</v>
      </c>
      <c r="J71" s="279">
        <v>2.8</v>
      </c>
      <c r="K71" s="280">
        <v>1065</v>
      </c>
      <c r="L71" s="541"/>
      <c r="M71" s="223">
        <f>K71*0.67</f>
        <v>713.55000000000007</v>
      </c>
    </row>
    <row r="72" spans="2:16" ht="18" x14ac:dyDescent="0.25">
      <c r="C72" s="567" t="s">
        <v>678</v>
      </c>
      <c r="D72" s="568"/>
      <c r="E72" s="568"/>
      <c r="F72" s="568"/>
      <c r="G72" s="568"/>
      <c r="H72" s="568"/>
      <c r="I72" s="568"/>
      <c r="J72" s="568"/>
      <c r="K72" s="568"/>
      <c r="L72" s="568"/>
      <c r="M72" s="569"/>
      <c r="N72" s="251"/>
      <c r="O72" s="251"/>
      <c r="P72" s="251"/>
    </row>
    <row r="73" spans="2:16" ht="18" x14ac:dyDescent="0.25">
      <c r="C73" s="237" t="s">
        <v>679</v>
      </c>
      <c r="D73" s="238" t="s">
        <v>48</v>
      </c>
      <c r="E73" s="239" t="s">
        <v>680</v>
      </c>
      <c r="F73" s="239"/>
      <c r="G73" s="260">
        <v>100</v>
      </c>
      <c r="H73" s="260">
        <v>40</v>
      </c>
      <c r="I73" s="260">
        <v>35</v>
      </c>
      <c r="J73" s="260">
        <v>0.12</v>
      </c>
      <c r="K73" s="261">
        <v>130</v>
      </c>
      <c r="L73" s="539"/>
      <c r="M73" s="223">
        <f t="shared" ref="M73:M83" si="3">K73*0.67</f>
        <v>87.100000000000009</v>
      </c>
      <c r="N73" s="251"/>
      <c r="O73" s="251"/>
      <c r="P73" s="251"/>
    </row>
    <row r="74" spans="2:16" ht="18" x14ac:dyDescent="0.25">
      <c r="C74" s="237" t="s">
        <v>681</v>
      </c>
      <c r="D74" s="238" t="s">
        <v>48</v>
      </c>
      <c r="E74" s="239" t="s">
        <v>682</v>
      </c>
      <c r="F74" s="239"/>
      <c r="G74" s="260">
        <v>117</v>
      </c>
      <c r="H74" s="260">
        <v>28</v>
      </c>
      <c r="I74" s="260">
        <v>15</v>
      </c>
      <c r="J74" s="260">
        <v>0.08</v>
      </c>
      <c r="K74" s="261">
        <v>105</v>
      </c>
      <c r="L74" s="539"/>
      <c r="M74" s="223">
        <f t="shared" si="3"/>
        <v>70.350000000000009</v>
      </c>
      <c r="N74" s="251"/>
      <c r="O74" s="251"/>
      <c r="P74" s="251"/>
    </row>
    <row r="75" spans="2:16" ht="18" x14ac:dyDescent="0.25">
      <c r="C75" s="237" t="s">
        <v>683</v>
      </c>
      <c r="D75" s="238" t="s">
        <v>48</v>
      </c>
      <c r="E75" s="239" t="s">
        <v>684</v>
      </c>
      <c r="F75" s="239"/>
      <c r="G75" s="260">
        <v>115</v>
      </c>
      <c r="H75" s="260">
        <v>25</v>
      </c>
      <c r="I75" s="260">
        <v>15</v>
      </c>
      <c r="J75" s="260">
        <v>0.12</v>
      </c>
      <c r="K75" s="261">
        <v>90</v>
      </c>
      <c r="L75" s="539"/>
      <c r="M75" s="223">
        <f t="shared" si="3"/>
        <v>60.300000000000004</v>
      </c>
      <c r="N75" s="251"/>
      <c r="O75" s="251"/>
      <c r="P75" s="251"/>
    </row>
    <row r="76" spans="2:16" ht="18" x14ac:dyDescent="0.25">
      <c r="C76" s="281" t="s">
        <v>685</v>
      </c>
      <c r="D76" s="282" t="s">
        <v>48</v>
      </c>
      <c r="E76" s="283" t="s">
        <v>686</v>
      </c>
      <c r="F76" s="283"/>
      <c r="G76" s="284">
        <v>1000</v>
      </c>
      <c r="H76" s="284">
        <v>23</v>
      </c>
      <c r="I76" s="284">
        <v>25</v>
      </c>
      <c r="J76" s="284">
        <v>0.5</v>
      </c>
      <c r="K76" s="285">
        <v>145</v>
      </c>
      <c r="L76" s="541"/>
      <c r="M76" s="223">
        <f t="shared" si="3"/>
        <v>97.15</v>
      </c>
      <c r="N76" s="251"/>
      <c r="O76" s="251"/>
      <c r="P76" s="251"/>
    </row>
    <row r="77" spans="2:16" ht="19.5" customHeight="1" x14ac:dyDescent="0.25">
      <c r="C77" s="237" t="s">
        <v>687</v>
      </c>
      <c r="D77" s="238" t="s">
        <v>48</v>
      </c>
      <c r="E77" s="241" t="s">
        <v>688</v>
      </c>
      <c r="F77" s="241"/>
      <c r="G77" s="260" t="s">
        <v>48</v>
      </c>
      <c r="H77" s="270">
        <v>160</v>
      </c>
      <c r="I77" s="270">
        <v>185</v>
      </c>
      <c r="J77" s="260">
        <v>0.13</v>
      </c>
      <c r="K77" s="261">
        <v>135</v>
      </c>
      <c r="L77" s="539"/>
      <c r="M77" s="223">
        <f t="shared" si="3"/>
        <v>90.45</v>
      </c>
      <c r="N77" s="251"/>
      <c r="O77" s="251"/>
      <c r="P77" s="251"/>
    </row>
    <row r="78" spans="2:16" ht="18" x14ac:dyDescent="0.25">
      <c r="C78" s="237" t="s">
        <v>689</v>
      </c>
      <c r="D78" s="238" t="s">
        <v>48</v>
      </c>
      <c r="E78" s="239" t="s">
        <v>690</v>
      </c>
      <c r="F78" s="239"/>
      <c r="G78" s="260" t="s">
        <v>48</v>
      </c>
      <c r="H78" s="270">
        <v>155</v>
      </c>
      <c r="I78" s="270">
        <v>70</v>
      </c>
      <c r="J78" s="260">
        <v>0.03</v>
      </c>
      <c r="K78" s="261">
        <v>112</v>
      </c>
      <c r="L78" s="539"/>
      <c r="M78" s="223">
        <f t="shared" si="3"/>
        <v>75.040000000000006</v>
      </c>
      <c r="N78" s="251"/>
      <c r="O78" s="251"/>
      <c r="P78" s="251"/>
    </row>
    <row r="79" spans="2:16" ht="18" x14ac:dyDescent="0.25">
      <c r="C79" s="237" t="s">
        <v>691</v>
      </c>
      <c r="D79" s="260" t="s">
        <v>48</v>
      </c>
      <c r="E79" s="239" t="s">
        <v>692</v>
      </c>
      <c r="F79" s="239"/>
      <c r="G79" s="260" t="s">
        <v>48</v>
      </c>
      <c r="H79" s="270">
        <v>156</v>
      </c>
      <c r="I79" s="270" t="s">
        <v>693</v>
      </c>
      <c r="J79" s="260">
        <v>0.04</v>
      </c>
      <c r="K79" s="261">
        <v>100</v>
      </c>
      <c r="L79" s="539"/>
      <c r="M79" s="223">
        <f t="shared" si="3"/>
        <v>67</v>
      </c>
      <c r="N79" s="251"/>
      <c r="O79" s="251"/>
      <c r="P79" s="251"/>
    </row>
    <row r="80" spans="2:16" ht="21.75" customHeight="1" x14ac:dyDescent="0.25">
      <c r="C80" s="237" t="s">
        <v>694</v>
      </c>
      <c r="D80" s="238"/>
      <c r="E80" s="239" t="s">
        <v>695</v>
      </c>
      <c r="F80" s="239"/>
      <c r="G80" s="260" t="s">
        <v>48</v>
      </c>
      <c r="H80" s="270">
        <v>156</v>
      </c>
      <c r="I80" s="270" t="s">
        <v>696</v>
      </c>
      <c r="J80" s="260">
        <v>0.05</v>
      </c>
      <c r="K80" s="261">
        <v>115</v>
      </c>
      <c r="L80" s="539"/>
      <c r="M80" s="223">
        <f t="shared" si="3"/>
        <v>77.050000000000011</v>
      </c>
      <c r="N80" s="251"/>
      <c r="O80" s="251"/>
      <c r="P80" s="251"/>
    </row>
    <row r="81" spans="2:16" ht="18" x14ac:dyDescent="0.25">
      <c r="C81" s="237" t="s">
        <v>697</v>
      </c>
      <c r="D81" s="238" t="s">
        <v>48</v>
      </c>
      <c r="E81" s="239" t="s">
        <v>698</v>
      </c>
      <c r="F81" s="239"/>
      <c r="G81" s="260" t="s">
        <v>48</v>
      </c>
      <c r="H81" s="260">
        <v>160</v>
      </c>
      <c r="I81" s="260">
        <v>200</v>
      </c>
      <c r="J81" s="260">
        <v>0.06</v>
      </c>
      <c r="K81" s="261">
        <v>225</v>
      </c>
      <c r="L81" s="539"/>
      <c r="M81" s="223">
        <f t="shared" si="3"/>
        <v>150.75</v>
      </c>
      <c r="N81" s="251"/>
      <c r="O81" s="251"/>
      <c r="P81" s="251"/>
    </row>
    <row r="82" spans="2:16" s="286" customFormat="1" ht="18" x14ac:dyDescent="0.25">
      <c r="B82" s="216"/>
      <c r="C82" s="237" t="s">
        <v>699</v>
      </c>
      <c r="D82" s="238"/>
      <c r="E82" s="239" t="s">
        <v>700</v>
      </c>
      <c r="F82" s="239"/>
      <c r="G82" s="260" t="s">
        <v>48</v>
      </c>
      <c r="H82" s="260">
        <v>140</v>
      </c>
      <c r="I82" s="260">
        <v>60</v>
      </c>
      <c r="J82" s="260"/>
      <c r="K82" s="261">
        <v>195</v>
      </c>
      <c r="L82" s="539"/>
      <c r="M82" s="223">
        <f t="shared" si="3"/>
        <v>130.65</v>
      </c>
      <c r="N82" s="251"/>
      <c r="O82" s="251"/>
      <c r="P82" s="251"/>
    </row>
    <row r="83" spans="2:16" s="251" customFormat="1" ht="18" x14ac:dyDescent="0.25">
      <c r="B83" s="286"/>
      <c r="C83" s="237" t="s">
        <v>701</v>
      </c>
      <c r="D83" s="238"/>
      <c r="E83" s="239" t="s">
        <v>702</v>
      </c>
      <c r="F83" s="239"/>
      <c r="G83" s="260" t="s">
        <v>48</v>
      </c>
      <c r="H83" s="260">
        <v>140</v>
      </c>
      <c r="I83" s="260">
        <v>130</v>
      </c>
      <c r="J83" s="260"/>
      <c r="K83" s="261">
        <v>340</v>
      </c>
      <c r="L83" s="539"/>
      <c r="M83" s="223">
        <f t="shared" si="3"/>
        <v>227.8</v>
      </c>
    </row>
    <row r="84" spans="2:16" s="251" customFormat="1" ht="26.25" x14ac:dyDescent="0.25">
      <c r="C84" s="580" t="s">
        <v>703</v>
      </c>
      <c r="D84" s="581"/>
      <c r="E84" s="581"/>
      <c r="F84" s="581"/>
      <c r="G84" s="581"/>
      <c r="H84" s="581"/>
      <c r="I84" s="581"/>
      <c r="J84" s="581"/>
      <c r="K84" s="581"/>
      <c r="L84" s="581"/>
      <c r="M84" s="582"/>
    </row>
    <row r="85" spans="2:16" s="251" customFormat="1" ht="18" x14ac:dyDescent="0.25">
      <c r="C85" s="583" t="s">
        <v>548</v>
      </c>
      <c r="D85" s="584"/>
      <c r="E85" s="584"/>
      <c r="F85" s="584"/>
      <c r="G85" s="584"/>
      <c r="H85" s="584"/>
      <c r="I85" s="584"/>
      <c r="J85" s="584"/>
      <c r="K85" s="584"/>
      <c r="L85" s="584"/>
      <c r="M85" s="585"/>
    </row>
    <row r="86" spans="2:16" s="251" customFormat="1" ht="24.75" customHeight="1" x14ac:dyDescent="0.25">
      <c r="C86" s="287" t="s">
        <v>704</v>
      </c>
      <c r="D86" s="288" t="s">
        <v>611</v>
      </c>
      <c r="E86" s="239" t="s">
        <v>622</v>
      </c>
      <c r="F86" s="239"/>
      <c r="G86" s="289">
        <v>1000</v>
      </c>
      <c r="H86" s="289">
        <v>210</v>
      </c>
      <c r="I86" s="289">
        <v>200</v>
      </c>
      <c r="J86" s="290">
        <v>2.8</v>
      </c>
      <c r="K86" s="261">
        <v>900</v>
      </c>
      <c r="L86" s="542"/>
      <c r="M86" s="291">
        <f>K86*0.67</f>
        <v>603</v>
      </c>
    </row>
    <row r="87" spans="2:16" s="251" customFormat="1" ht="36" x14ac:dyDescent="0.25">
      <c r="C87" s="287" t="s">
        <v>705</v>
      </c>
      <c r="D87" s="288" t="s">
        <v>661</v>
      </c>
      <c r="E87" s="239" t="s">
        <v>706</v>
      </c>
      <c r="F87" s="239"/>
      <c r="G87" s="289">
        <v>1000</v>
      </c>
      <c r="H87" s="289">
        <v>210</v>
      </c>
      <c r="I87" s="289">
        <v>220</v>
      </c>
      <c r="J87" s="290">
        <v>6.9</v>
      </c>
      <c r="K87" s="261">
        <v>1970</v>
      </c>
      <c r="L87" s="542"/>
      <c r="M87" s="291">
        <f>K87*0.67</f>
        <v>1319.9</v>
      </c>
      <c r="N87" s="292"/>
      <c r="O87" s="292"/>
      <c r="P87" s="292"/>
    </row>
    <row r="88" spans="2:16" s="251" customFormat="1" ht="36" x14ac:dyDescent="0.25">
      <c r="C88" s="287" t="s">
        <v>707</v>
      </c>
      <c r="D88" s="288" t="s">
        <v>708</v>
      </c>
      <c r="E88" s="239" t="s">
        <v>706</v>
      </c>
      <c r="F88" s="239"/>
      <c r="G88" s="289">
        <v>1000</v>
      </c>
      <c r="H88" s="289">
        <v>210</v>
      </c>
      <c r="I88" s="289">
        <v>220</v>
      </c>
      <c r="J88" s="290">
        <v>7</v>
      </c>
      <c r="K88" s="261">
        <v>2740</v>
      </c>
      <c r="L88" s="542"/>
      <c r="M88" s="291">
        <f>K88*0.67</f>
        <v>1835.8000000000002</v>
      </c>
    </row>
    <row r="89" spans="2:16" s="251" customFormat="1" ht="18" x14ac:dyDescent="0.25">
      <c r="C89" s="287" t="s">
        <v>709</v>
      </c>
      <c r="D89" s="288" t="s">
        <v>708</v>
      </c>
      <c r="E89" s="239" t="s">
        <v>710</v>
      </c>
      <c r="F89" s="239"/>
      <c r="G89" s="289">
        <v>500</v>
      </c>
      <c r="H89" s="289">
        <v>256</v>
      </c>
      <c r="I89" s="289">
        <v>600</v>
      </c>
      <c r="J89" s="290">
        <v>4.33</v>
      </c>
      <c r="K89" s="293">
        <v>3150</v>
      </c>
      <c r="L89" s="543"/>
      <c r="M89" s="291">
        <f>K89*0.67</f>
        <v>2110.5</v>
      </c>
    </row>
    <row r="90" spans="2:16" s="251" customFormat="1" ht="18" x14ac:dyDescent="0.25">
      <c r="C90" s="592" t="s">
        <v>711</v>
      </c>
      <c r="D90" s="593"/>
      <c r="E90" s="593"/>
      <c r="F90" s="593"/>
      <c r="G90" s="593"/>
      <c r="H90" s="593"/>
      <c r="I90" s="593"/>
      <c r="J90" s="593"/>
      <c r="K90" s="593"/>
      <c r="L90" s="593"/>
      <c r="M90" s="594"/>
    </row>
    <row r="91" spans="2:16" s="292" customFormat="1" ht="27.75" customHeight="1" x14ac:dyDescent="0.25">
      <c r="B91" s="251"/>
      <c r="C91" s="287" t="s">
        <v>712</v>
      </c>
      <c r="D91" s="288" t="s">
        <v>271</v>
      </c>
      <c r="E91" s="239" t="s">
        <v>654</v>
      </c>
      <c r="F91" s="239"/>
      <c r="G91" s="289">
        <v>1000</v>
      </c>
      <c r="H91" s="289">
        <v>184</v>
      </c>
      <c r="I91" s="289">
        <v>16.739999999999998</v>
      </c>
      <c r="J91" s="290">
        <v>2.9</v>
      </c>
      <c r="K91" s="294">
        <v>1050</v>
      </c>
      <c r="L91" s="294"/>
      <c r="M91" s="295">
        <f>K91*0.67</f>
        <v>703.5</v>
      </c>
      <c r="N91" s="251"/>
      <c r="O91" s="251"/>
      <c r="P91" s="251"/>
    </row>
    <row r="92" spans="2:16" s="292" customFormat="1" ht="18" x14ac:dyDescent="0.25">
      <c r="B92" s="251"/>
      <c r="C92" s="287" t="s">
        <v>713</v>
      </c>
      <c r="D92" s="288" t="s">
        <v>714</v>
      </c>
      <c r="E92" s="239" t="s">
        <v>715</v>
      </c>
      <c r="F92" s="239"/>
      <c r="G92" s="289">
        <v>500</v>
      </c>
      <c r="H92" s="289">
        <v>184</v>
      </c>
      <c r="I92" s="289">
        <v>30</v>
      </c>
      <c r="J92" s="290">
        <v>4.0999999999999996</v>
      </c>
      <c r="K92" s="294">
        <v>1385</v>
      </c>
      <c r="L92" s="294"/>
      <c r="M92" s="223">
        <f>K92*0.67</f>
        <v>927.95</v>
      </c>
      <c r="N92" s="251"/>
      <c r="O92" s="251"/>
      <c r="P92" s="251"/>
    </row>
    <row r="93" spans="2:16" s="292" customFormat="1" ht="27.75" customHeight="1" x14ac:dyDescent="0.25">
      <c r="B93" s="251"/>
      <c r="C93" s="287" t="s">
        <v>716</v>
      </c>
      <c r="D93" s="288" t="s">
        <v>271</v>
      </c>
      <c r="E93" s="239" t="s">
        <v>717</v>
      </c>
      <c r="F93" s="239"/>
      <c r="G93" s="289">
        <v>500</v>
      </c>
      <c r="H93" s="289">
        <v>194</v>
      </c>
      <c r="I93" s="289">
        <v>45</v>
      </c>
      <c r="J93" s="290">
        <v>1.5</v>
      </c>
      <c r="K93" s="294">
        <v>535</v>
      </c>
      <c r="L93" s="294"/>
      <c r="M93" s="295">
        <f>K93*0.67</f>
        <v>358.45000000000005</v>
      </c>
      <c r="N93" s="251"/>
      <c r="O93" s="251"/>
      <c r="P93" s="251"/>
    </row>
    <row r="94" spans="2:16" s="292" customFormat="1" ht="18" x14ac:dyDescent="0.25">
      <c r="B94" s="251"/>
      <c r="C94" s="287" t="s">
        <v>718</v>
      </c>
      <c r="D94" s="288" t="s">
        <v>719</v>
      </c>
      <c r="E94" s="239" t="s">
        <v>720</v>
      </c>
      <c r="F94" s="239"/>
      <c r="G94" s="289">
        <v>500</v>
      </c>
      <c r="H94" s="289">
        <v>194</v>
      </c>
      <c r="I94" s="289">
        <v>45</v>
      </c>
      <c r="J94" s="290">
        <v>1.7</v>
      </c>
      <c r="K94" s="294">
        <v>920</v>
      </c>
      <c r="L94" s="294"/>
      <c r="M94" s="223">
        <f>K94*0.67</f>
        <v>616.40000000000009</v>
      </c>
      <c r="N94" s="251"/>
      <c r="O94" s="251"/>
      <c r="P94" s="251"/>
    </row>
    <row r="95" spans="2:16" s="292" customFormat="1" ht="37.5" customHeight="1" x14ac:dyDescent="0.25">
      <c r="B95" s="251"/>
      <c r="C95" s="592" t="s">
        <v>721</v>
      </c>
      <c r="D95" s="593"/>
      <c r="E95" s="593"/>
      <c r="F95" s="593"/>
      <c r="G95" s="593"/>
      <c r="H95" s="593"/>
      <c r="I95" s="593"/>
      <c r="J95" s="593"/>
      <c r="K95" s="593"/>
      <c r="L95" s="593"/>
      <c r="M95" s="594"/>
      <c r="N95" s="251"/>
      <c r="O95" s="251"/>
      <c r="P95" s="251"/>
    </row>
    <row r="96" spans="2:16" s="292" customFormat="1" ht="18" x14ac:dyDescent="0.25">
      <c r="B96" s="251"/>
      <c r="C96" s="287" t="s">
        <v>722</v>
      </c>
      <c r="D96" s="296"/>
      <c r="E96" s="297" t="s">
        <v>723</v>
      </c>
      <c r="F96" s="297"/>
      <c r="G96" s="296"/>
      <c r="H96" s="296"/>
      <c r="I96" s="296"/>
      <c r="J96" s="296"/>
      <c r="K96" s="298">
        <v>120</v>
      </c>
      <c r="L96" s="298"/>
      <c r="M96" s="299">
        <f>K96*0.67</f>
        <v>80.400000000000006</v>
      </c>
      <c r="N96" s="251"/>
      <c r="O96" s="251"/>
      <c r="P96" s="251"/>
    </row>
    <row r="97" spans="2:16" s="292" customFormat="1" ht="18" x14ac:dyDescent="0.25">
      <c r="B97" s="251"/>
      <c r="C97" s="287" t="s">
        <v>724</v>
      </c>
      <c r="D97" s="288"/>
      <c r="E97" s="239" t="s">
        <v>725</v>
      </c>
      <c r="F97" s="239"/>
      <c r="G97" s="289"/>
      <c r="H97" s="289"/>
      <c r="I97" s="289"/>
      <c r="J97" s="290"/>
      <c r="K97" s="294">
        <v>255</v>
      </c>
      <c r="L97" s="294"/>
      <c r="M97" s="299">
        <f>K97*0.67</f>
        <v>170.85000000000002</v>
      </c>
      <c r="N97" s="251"/>
      <c r="O97" s="251"/>
      <c r="P97" s="251"/>
    </row>
    <row r="98" spans="2:16" s="292" customFormat="1" ht="18" x14ac:dyDescent="0.25">
      <c r="B98" s="251"/>
      <c r="C98" s="287" t="s">
        <v>726</v>
      </c>
      <c r="D98" s="296"/>
      <c r="E98" s="297" t="s">
        <v>727</v>
      </c>
      <c r="F98" s="297"/>
      <c r="G98" s="296"/>
      <c r="H98" s="296"/>
      <c r="I98" s="296"/>
      <c r="J98" s="296"/>
      <c r="K98" s="298">
        <v>245</v>
      </c>
      <c r="L98" s="298"/>
      <c r="M98" s="299">
        <f>K98*0.67</f>
        <v>164.15</v>
      </c>
      <c r="N98" s="251"/>
      <c r="O98" s="251"/>
      <c r="P98" s="251"/>
    </row>
    <row r="99" spans="2:16" s="292" customFormat="1" ht="18" x14ac:dyDescent="0.25">
      <c r="B99" s="251"/>
      <c r="C99" s="287" t="s">
        <v>728</v>
      </c>
      <c r="D99" s="288"/>
      <c r="E99" s="239" t="s">
        <v>729</v>
      </c>
      <c r="F99" s="239"/>
      <c r="G99" s="289"/>
      <c r="H99" s="289"/>
      <c r="I99" s="289"/>
      <c r="J99" s="290"/>
      <c r="K99" s="294">
        <v>275</v>
      </c>
      <c r="L99" s="294"/>
      <c r="M99" s="299">
        <f>K99*0.67</f>
        <v>184.25</v>
      </c>
      <c r="N99" s="251"/>
      <c r="O99" s="251"/>
      <c r="P99" s="251"/>
    </row>
    <row r="100" spans="2:16" s="292" customFormat="1" ht="18" x14ac:dyDescent="0.25">
      <c r="B100" s="251"/>
      <c r="C100" s="287" t="s">
        <v>730</v>
      </c>
      <c r="D100" s="296"/>
      <c r="E100" s="297" t="s">
        <v>731</v>
      </c>
      <c r="F100" s="297"/>
      <c r="G100" s="296"/>
      <c r="H100" s="296"/>
      <c r="I100" s="296"/>
      <c r="J100" s="296"/>
      <c r="K100" s="298">
        <v>335</v>
      </c>
      <c r="L100" s="298"/>
      <c r="M100" s="299">
        <f>K100*0.67</f>
        <v>224.45000000000002</v>
      </c>
      <c r="N100" s="251"/>
      <c r="O100" s="251"/>
      <c r="P100" s="251"/>
    </row>
    <row r="101" spans="2:16" s="292" customFormat="1" ht="18" customHeight="1" x14ac:dyDescent="0.25">
      <c r="B101" s="251"/>
      <c r="C101" s="567" t="s">
        <v>732</v>
      </c>
      <c r="D101" s="568"/>
      <c r="E101" s="568"/>
      <c r="F101" s="568"/>
      <c r="G101" s="568"/>
      <c r="H101" s="568"/>
      <c r="I101" s="568"/>
      <c r="J101" s="568"/>
      <c r="K101" s="568"/>
      <c r="L101" s="568"/>
      <c r="M101" s="569"/>
      <c r="N101" s="251"/>
      <c r="O101" s="251"/>
      <c r="P101" s="251"/>
    </row>
    <row r="102" spans="2:16" s="292" customFormat="1" ht="20.25" x14ac:dyDescent="0.25">
      <c r="B102" s="251"/>
      <c r="C102" s="588" t="s">
        <v>548</v>
      </c>
      <c r="D102" s="589"/>
      <c r="E102" s="589"/>
      <c r="F102" s="589"/>
      <c r="G102" s="589"/>
      <c r="H102" s="589"/>
      <c r="I102" s="589"/>
      <c r="J102" s="589"/>
      <c r="K102" s="589"/>
      <c r="L102" s="589"/>
      <c r="M102" s="569"/>
      <c r="N102" s="251"/>
      <c r="O102" s="251"/>
      <c r="P102" s="251"/>
    </row>
    <row r="103" spans="2:16" s="292" customFormat="1" ht="18" x14ac:dyDescent="0.25">
      <c r="B103" s="251"/>
      <c r="C103" s="300">
        <v>8560</v>
      </c>
      <c r="D103" s="300" t="s">
        <v>611</v>
      </c>
      <c r="E103" s="301" t="s">
        <v>622</v>
      </c>
      <c r="F103" s="301"/>
      <c r="G103" s="300">
        <v>1000</v>
      </c>
      <c r="H103" s="300">
        <v>260</v>
      </c>
      <c r="I103" s="300">
        <v>300</v>
      </c>
      <c r="J103" s="300">
        <v>4</v>
      </c>
      <c r="K103" s="302">
        <v>1290</v>
      </c>
      <c r="L103" s="302"/>
      <c r="M103" s="303">
        <f>K103*0.67</f>
        <v>864.30000000000007</v>
      </c>
      <c r="N103" s="251"/>
      <c r="O103" s="251"/>
      <c r="P103" s="251"/>
    </row>
    <row r="104" spans="2:16" s="292" customFormat="1" ht="18" customHeight="1" x14ac:dyDescent="0.25">
      <c r="B104" s="251"/>
      <c r="C104" s="219" t="s">
        <v>733</v>
      </c>
      <c r="D104" s="220" t="s">
        <v>611</v>
      </c>
      <c r="E104" s="241" t="s">
        <v>734</v>
      </c>
      <c r="F104" s="241"/>
      <c r="G104" s="270">
        <v>1000</v>
      </c>
      <c r="H104" s="270">
        <v>260</v>
      </c>
      <c r="I104" s="270">
        <v>200</v>
      </c>
      <c r="J104" s="270">
        <v>3.5</v>
      </c>
      <c r="K104" s="261">
        <v>1120</v>
      </c>
      <c r="L104" s="539"/>
      <c r="M104" s="303">
        <f>K104*0.67</f>
        <v>750.40000000000009</v>
      </c>
      <c r="N104" s="251"/>
      <c r="O104" s="251"/>
      <c r="P104" s="251"/>
    </row>
    <row r="105" spans="2:16" s="292" customFormat="1" ht="18" x14ac:dyDescent="0.25">
      <c r="C105" s="237" t="s">
        <v>735</v>
      </c>
      <c r="D105" s="238" t="s">
        <v>611</v>
      </c>
      <c r="E105" s="253" t="s">
        <v>614</v>
      </c>
      <c r="F105" s="253"/>
      <c r="G105" s="260">
        <v>1000</v>
      </c>
      <c r="H105" s="260">
        <v>260</v>
      </c>
      <c r="I105" s="260">
        <v>200</v>
      </c>
      <c r="J105" s="260">
        <v>4.5</v>
      </c>
      <c r="K105" s="261">
        <v>1560</v>
      </c>
      <c r="L105" s="539"/>
      <c r="M105" s="223">
        <f>K105*0.67</f>
        <v>1045.2</v>
      </c>
      <c r="N105" s="251"/>
      <c r="O105" s="251"/>
      <c r="P105" s="251"/>
    </row>
    <row r="106" spans="2:16" s="292" customFormat="1" ht="18" x14ac:dyDescent="0.25">
      <c r="B106" s="251"/>
      <c r="C106" s="271" t="s">
        <v>736</v>
      </c>
      <c r="D106" s="272" t="s">
        <v>611</v>
      </c>
      <c r="E106" s="264" t="s">
        <v>622</v>
      </c>
      <c r="F106" s="264"/>
      <c r="G106" s="265">
        <v>1000</v>
      </c>
      <c r="H106" s="265">
        <v>256</v>
      </c>
      <c r="I106" s="265">
        <v>80</v>
      </c>
      <c r="J106" s="265">
        <v>1.87</v>
      </c>
      <c r="K106" s="266">
        <v>965</v>
      </c>
      <c r="L106" s="540"/>
      <c r="M106" s="250">
        <f>K106*0.6</f>
        <v>579</v>
      </c>
      <c r="N106" s="251"/>
      <c r="O106" s="251"/>
      <c r="P106" s="251"/>
    </row>
    <row r="107" spans="2:16" s="251" customFormat="1" ht="27" customHeight="1" x14ac:dyDescent="0.25">
      <c r="C107" s="304" t="s">
        <v>737</v>
      </c>
      <c r="D107" s="305" t="s">
        <v>611</v>
      </c>
      <c r="E107" s="253" t="s">
        <v>614</v>
      </c>
      <c r="F107" s="253"/>
      <c r="G107" s="306">
        <v>1000</v>
      </c>
      <c r="H107" s="306">
        <v>256</v>
      </c>
      <c r="I107" s="306">
        <v>80</v>
      </c>
      <c r="J107" s="306">
        <v>2.67</v>
      </c>
      <c r="K107" s="293">
        <v>1405</v>
      </c>
      <c r="L107" s="544"/>
      <c r="M107" s="223">
        <f>K107*0.67</f>
        <v>941.35</v>
      </c>
    </row>
    <row r="108" spans="2:16" s="251" customFormat="1" ht="18" x14ac:dyDescent="0.25">
      <c r="C108" s="287" t="s">
        <v>709</v>
      </c>
      <c r="D108" s="288" t="s">
        <v>708</v>
      </c>
      <c r="E108" s="239" t="s">
        <v>710</v>
      </c>
      <c r="F108" s="239"/>
      <c r="G108" s="289">
        <v>500</v>
      </c>
      <c r="H108" s="289">
        <v>256</v>
      </c>
      <c r="I108" s="289">
        <v>600</v>
      </c>
      <c r="J108" s="290">
        <v>4.33</v>
      </c>
      <c r="K108" s="293">
        <v>3150</v>
      </c>
      <c r="L108" s="543"/>
      <c r="M108" s="291">
        <f>K108*0.67</f>
        <v>2110.5</v>
      </c>
    </row>
    <row r="109" spans="2:16" s="251" customFormat="1" ht="18" x14ac:dyDescent="0.25">
      <c r="C109" s="567" t="s">
        <v>738</v>
      </c>
      <c r="D109" s="568"/>
      <c r="E109" s="568"/>
      <c r="F109" s="568"/>
      <c r="G109" s="568"/>
      <c r="H109" s="568"/>
      <c r="I109" s="568"/>
      <c r="J109" s="568"/>
      <c r="K109" s="568"/>
      <c r="L109" s="568"/>
      <c r="M109" s="569"/>
    </row>
    <row r="110" spans="2:16" s="251" customFormat="1" ht="18" x14ac:dyDescent="0.25">
      <c r="C110" s="262" t="s">
        <v>739</v>
      </c>
      <c r="D110" s="263" t="s">
        <v>550</v>
      </c>
      <c r="E110" s="264" t="s">
        <v>654</v>
      </c>
      <c r="F110" s="264"/>
      <c r="G110" s="274">
        <v>1000</v>
      </c>
      <c r="H110" s="274">
        <v>236</v>
      </c>
      <c r="I110" s="274">
        <v>15</v>
      </c>
      <c r="J110" s="274">
        <v>3</v>
      </c>
      <c r="K110" s="266">
        <v>1460</v>
      </c>
      <c r="L110" s="540"/>
      <c r="M110" s="250">
        <f>K110*0.6</f>
        <v>876</v>
      </c>
    </row>
    <row r="111" spans="2:16" s="251" customFormat="1" ht="18" x14ac:dyDescent="0.25">
      <c r="C111" s="237" t="s">
        <v>740</v>
      </c>
      <c r="D111" s="238" t="s">
        <v>658</v>
      </c>
      <c r="E111" s="241" t="s">
        <v>659</v>
      </c>
      <c r="F111" s="241"/>
      <c r="G111" s="260">
        <v>1000</v>
      </c>
      <c r="H111" s="260">
        <v>236</v>
      </c>
      <c r="I111" s="260">
        <v>33</v>
      </c>
      <c r="J111" s="260">
        <v>5.8</v>
      </c>
      <c r="K111" s="261">
        <v>2745</v>
      </c>
      <c r="L111" s="539"/>
      <c r="M111" s="223">
        <f>K111*0.67</f>
        <v>1839.15</v>
      </c>
    </row>
    <row r="112" spans="2:16" s="251" customFormat="1" ht="18" x14ac:dyDescent="0.25">
      <c r="C112" s="237" t="s">
        <v>741</v>
      </c>
      <c r="D112" s="238" t="s">
        <v>550</v>
      </c>
      <c r="E112" s="241" t="s">
        <v>666</v>
      </c>
      <c r="F112" s="241"/>
      <c r="G112" s="260">
        <v>1000</v>
      </c>
      <c r="H112" s="260">
        <v>236</v>
      </c>
      <c r="I112" s="260">
        <v>15</v>
      </c>
      <c r="J112" s="260">
        <v>3.6</v>
      </c>
      <c r="K112" s="261">
        <v>2745</v>
      </c>
      <c r="L112" s="539"/>
      <c r="M112" s="223">
        <f>K112*0.67</f>
        <v>1839.15</v>
      </c>
    </row>
    <row r="113" spans="2:16" s="251" customFormat="1" ht="36" x14ac:dyDescent="0.25">
      <c r="C113" s="262" t="s">
        <v>742</v>
      </c>
      <c r="D113" s="263" t="s">
        <v>611</v>
      </c>
      <c r="E113" s="264" t="s">
        <v>671</v>
      </c>
      <c r="F113" s="264"/>
      <c r="G113" s="274">
        <v>500</v>
      </c>
      <c r="H113" s="274">
        <v>236</v>
      </c>
      <c r="I113" s="274">
        <v>14</v>
      </c>
      <c r="J113" s="274">
        <v>4.84</v>
      </c>
      <c r="K113" s="266">
        <v>1610</v>
      </c>
      <c r="L113" s="540"/>
      <c r="M113" s="250">
        <f>K113*0.6</f>
        <v>966</v>
      </c>
    </row>
    <row r="114" spans="2:16" s="251" customFormat="1" ht="18" x14ac:dyDescent="0.25">
      <c r="C114" s="219" t="s">
        <v>743</v>
      </c>
      <c r="D114" s="220" t="s">
        <v>611</v>
      </c>
      <c r="E114" s="239" t="s">
        <v>675</v>
      </c>
      <c r="F114" s="239"/>
      <c r="G114" s="270">
        <v>500</v>
      </c>
      <c r="H114" s="270">
        <v>236</v>
      </c>
      <c r="I114" s="270">
        <v>14</v>
      </c>
      <c r="J114" s="270">
        <v>5.7</v>
      </c>
      <c r="K114" s="261">
        <v>1610</v>
      </c>
      <c r="L114" s="539"/>
      <c r="M114" s="223">
        <f>K114*0.67</f>
        <v>1078.7</v>
      </c>
    </row>
    <row r="115" spans="2:16" s="251" customFormat="1" ht="18" x14ac:dyDescent="0.25">
      <c r="C115" s="567" t="s">
        <v>744</v>
      </c>
      <c r="D115" s="568"/>
      <c r="E115" s="568"/>
      <c r="F115" s="568"/>
      <c r="G115" s="568"/>
      <c r="H115" s="568"/>
      <c r="I115" s="568"/>
      <c r="J115" s="568"/>
      <c r="K115" s="568"/>
      <c r="L115" s="568"/>
      <c r="M115" s="572"/>
    </row>
    <row r="116" spans="2:16" s="251" customFormat="1" ht="23.25" customHeight="1" x14ac:dyDescent="0.25">
      <c r="C116" s="307" t="s">
        <v>745</v>
      </c>
      <c r="D116" s="288" t="s">
        <v>48</v>
      </c>
      <c r="E116" s="239" t="s">
        <v>746</v>
      </c>
      <c r="F116" s="239"/>
      <c r="G116" s="289" t="s">
        <v>48</v>
      </c>
      <c r="H116" s="289">
        <v>256</v>
      </c>
      <c r="I116" s="289">
        <v>80</v>
      </c>
      <c r="J116" s="289">
        <v>0.47</v>
      </c>
      <c r="K116" s="308">
        <v>225</v>
      </c>
      <c r="L116" s="545"/>
      <c r="M116" s="223">
        <f t="shared" ref="M116:M121" si="4">K116*0.67</f>
        <v>150.75</v>
      </c>
      <c r="N116" s="218"/>
      <c r="O116" s="218"/>
      <c r="P116" s="218"/>
    </row>
    <row r="117" spans="2:16" s="251" customFormat="1" ht="24.75" customHeight="1" x14ac:dyDescent="0.25">
      <c r="B117" s="211"/>
      <c r="C117" s="237" t="s">
        <v>747</v>
      </c>
      <c r="D117" s="238" t="s">
        <v>48</v>
      </c>
      <c r="E117" s="239" t="s">
        <v>748</v>
      </c>
      <c r="F117" s="239"/>
      <c r="G117" s="289" t="s">
        <v>48</v>
      </c>
      <c r="H117" s="260">
        <v>280</v>
      </c>
      <c r="I117" s="260">
        <v>200</v>
      </c>
      <c r="J117" s="260">
        <v>0.16500000000000001</v>
      </c>
      <c r="K117" s="261">
        <v>245</v>
      </c>
      <c r="L117" s="539"/>
      <c r="M117" s="223">
        <f t="shared" si="4"/>
        <v>164.15</v>
      </c>
      <c r="N117" s="218"/>
      <c r="O117" s="218"/>
      <c r="P117" s="218"/>
    </row>
    <row r="118" spans="2:16" s="251" customFormat="1" ht="18" x14ac:dyDescent="0.25">
      <c r="B118" s="211"/>
      <c r="C118" s="237" t="s">
        <v>749</v>
      </c>
      <c r="D118" s="238"/>
      <c r="E118" s="239" t="s">
        <v>750</v>
      </c>
      <c r="F118" s="239"/>
      <c r="G118" s="289"/>
      <c r="H118" s="260">
        <v>260</v>
      </c>
      <c r="I118" s="260">
        <v>300</v>
      </c>
      <c r="J118" s="260"/>
      <c r="K118" s="261">
        <v>335</v>
      </c>
      <c r="L118" s="539"/>
      <c r="M118" s="223">
        <f t="shared" si="4"/>
        <v>224.45000000000002</v>
      </c>
    </row>
    <row r="119" spans="2:16" s="211" customFormat="1" ht="18" x14ac:dyDescent="0.2">
      <c r="B119" s="218"/>
      <c r="C119" s="237" t="s">
        <v>751</v>
      </c>
      <c r="D119" s="238" t="s">
        <v>48</v>
      </c>
      <c r="E119" s="239" t="s">
        <v>752</v>
      </c>
      <c r="F119" s="239"/>
      <c r="G119" s="260">
        <v>235</v>
      </c>
      <c r="H119" s="260">
        <v>30</v>
      </c>
      <c r="I119" s="260">
        <v>20</v>
      </c>
      <c r="J119" s="260">
        <v>0.15</v>
      </c>
      <c r="K119" s="261">
        <v>200</v>
      </c>
      <c r="L119" s="539"/>
      <c r="M119" s="223">
        <f t="shared" si="4"/>
        <v>134</v>
      </c>
      <c r="N119" s="216"/>
      <c r="O119" s="216"/>
      <c r="P119" s="216"/>
    </row>
    <row r="120" spans="2:16" s="218" customFormat="1" ht="36" x14ac:dyDescent="0.2">
      <c r="C120" s="237" t="s">
        <v>753</v>
      </c>
      <c r="D120" s="238" t="s">
        <v>48</v>
      </c>
      <c r="E120" s="239" t="s">
        <v>754</v>
      </c>
      <c r="F120" s="239"/>
      <c r="G120" s="289">
        <v>200</v>
      </c>
      <c r="H120" s="289">
        <v>30</v>
      </c>
      <c r="I120" s="289">
        <v>26</v>
      </c>
      <c r="J120" s="289">
        <v>0.14000000000000001</v>
      </c>
      <c r="K120" s="261">
        <v>130</v>
      </c>
      <c r="L120" s="539"/>
      <c r="M120" s="223">
        <f t="shared" si="4"/>
        <v>87.100000000000009</v>
      </c>
      <c r="N120" s="216"/>
      <c r="O120" s="216"/>
      <c r="P120" s="216"/>
    </row>
    <row r="121" spans="2:16" s="218" customFormat="1" ht="18" x14ac:dyDescent="0.2">
      <c r="B121" s="216"/>
      <c r="C121" s="309" t="s">
        <v>755</v>
      </c>
      <c r="D121" s="282" t="s">
        <v>48</v>
      </c>
      <c r="E121" s="283" t="s">
        <v>756</v>
      </c>
      <c r="F121" s="283"/>
      <c r="G121" s="310" t="s">
        <v>48</v>
      </c>
      <c r="H121" s="284">
        <v>205</v>
      </c>
      <c r="I121" s="284">
        <v>144</v>
      </c>
      <c r="J121" s="284">
        <v>7.3999999999999996E-2</v>
      </c>
      <c r="K121" s="285">
        <v>280</v>
      </c>
      <c r="L121" s="541"/>
      <c r="M121" s="223">
        <f t="shared" si="4"/>
        <v>187.60000000000002</v>
      </c>
      <c r="N121" s="216"/>
      <c r="O121" s="216"/>
      <c r="P121" s="216"/>
    </row>
    <row r="122" spans="2:16" s="218" customFormat="1" ht="18" x14ac:dyDescent="0.2">
      <c r="B122" s="216"/>
      <c r="C122" s="309" t="s">
        <v>757</v>
      </c>
      <c r="D122" s="282" t="s">
        <v>48</v>
      </c>
      <c r="E122" s="283" t="s">
        <v>758</v>
      </c>
      <c r="F122" s="283"/>
      <c r="G122" s="310" t="s">
        <v>48</v>
      </c>
      <c r="H122" s="284"/>
      <c r="I122" s="284"/>
      <c r="J122" s="284"/>
      <c r="K122" s="285">
        <v>360</v>
      </c>
      <c r="L122" s="541"/>
      <c r="M122" s="223">
        <f>K122*0.67</f>
        <v>241.20000000000002</v>
      </c>
      <c r="N122" s="216"/>
      <c r="O122" s="216"/>
      <c r="P122" s="216"/>
    </row>
    <row r="123" spans="2:16" s="251" customFormat="1" ht="26.25" x14ac:dyDescent="0.25">
      <c r="B123" s="216"/>
      <c r="C123" s="567" t="s">
        <v>759</v>
      </c>
      <c r="D123" s="568"/>
      <c r="E123" s="568"/>
      <c r="F123" s="568"/>
      <c r="G123" s="568"/>
      <c r="H123" s="568"/>
      <c r="I123" s="568"/>
      <c r="J123" s="568"/>
      <c r="K123" s="568"/>
      <c r="L123" s="568"/>
      <c r="M123" s="569"/>
      <c r="N123" s="216"/>
      <c r="O123" s="216"/>
      <c r="P123" s="216"/>
    </row>
    <row r="124" spans="2:16" ht="20.25" x14ac:dyDescent="0.2">
      <c r="C124" s="588" t="s">
        <v>548</v>
      </c>
      <c r="D124" s="589"/>
      <c r="E124" s="589"/>
      <c r="F124" s="589"/>
      <c r="G124" s="589"/>
      <c r="H124" s="589"/>
      <c r="I124" s="589"/>
      <c r="J124" s="589"/>
      <c r="K124" s="589"/>
      <c r="L124" s="589"/>
      <c r="M124" s="569"/>
    </row>
    <row r="125" spans="2:16" ht="18" x14ac:dyDescent="0.2">
      <c r="C125" s="311">
        <v>8740</v>
      </c>
      <c r="D125" s="263" t="s">
        <v>611</v>
      </c>
      <c r="E125" s="264" t="s">
        <v>760</v>
      </c>
      <c r="F125" s="264"/>
      <c r="G125" s="312">
        <v>1000</v>
      </c>
      <c r="H125" s="312">
        <v>385</v>
      </c>
      <c r="I125" s="312">
        <v>354</v>
      </c>
      <c r="J125" s="312">
        <v>6.5</v>
      </c>
      <c r="K125" s="313">
        <v>4060</v>
      </c>
      <c r="L125" s="546"/>
      <c r="M125" s="250">
        <f>K125*0.6</f>
        <v>2436</v>
      </c>
    </row>
    <row r="126" spans="2:16" ht="36" x14ac:dyDescent="0.2">
      <c r="C126" s="237" t="s">
        <v>761</v>
      </c>
      <c r="D126" s="238" t="s">
        <v>661</v>
      </c>
      <c r="E126" s="241" t="s">
        <v>762</v>
      </c>
      <c r="F126" s="241"/>
      <c r="G126" s="314">
        <v>1000</v>
      </c>
      <c r="H126" s="314">
        <v>385</v>
      </c>
      <c r="I126" s="268">
        <v>354</v>
      </c>
      <c r="J126" s="314">
        <v>15.1</v>
      </c>
      <c r="K126" s="315">
        <v>8952</v>
      </c>
      <c r="L126" s="547"/>
      <c r="M126" s="223">
        <f>K126*0.67</f>
        <v>5997.84</v>
      </c>
    </row>
    <row r="127" spans="2:16" ht="18.75" customHeight="1" x14ac:dyDescent="0.2">
      <c r="C127" s="570" t="s">
        <v>763</v>
      </c>
      <c r="D127" s="578"/>
      <c r="E127" s="578"/>
      <c r="F127" s="578"/>
      <c r="G127" s="578"/>
      <c r="H127" s="578"/>
      <c r="I127" s="578"/>
      <c r="J127" s="578"/>
      <c r="K127" s="578"/>
      <c r="L127" s="578"/>
      <c r="M127" s="579"/>
    </row>
    <row r="128" spans="2:16" ht="18" x14ac:dyDescent="0.2">
      <c r="C128" s="316">
        <v>2720</v>
      </c>
      <c r="D128" s="220" t="s">
        <v>661</v>
      </c>
      <c r="E128" s="241" t="s">
        <v>764</v>
      </c>
      <c r="F128" s="241"/>
      <c r="G128" s="268">
        <v>1000</v>
      </c>
      <c r="H128" s="268">
        <v>373</v>
      </c>
      <c r="I128" s="268">
        <v>30</v>
      </c>
      <c r="J128" s="268">
        <v>8.1999999999999993</v>
      </c>
      <c r="K128" s="293">
        <v>4200</v>
      </c>
      <c r="L128" s="544"/>
      <c r="M128" s="223">
        <f>K128*0.67</f>
        <v>2814</v>
      </c>
    </row>
    <row r="129" spans="3:13" ht="18" x14ac:dyDescent="0.2">
      <c r="C129" s="580" t="s">
        <v>765</v>
      </c>
      <c r="D129" s="581"/>
      <c r="E129" s="581"/>
      <c r="F129" s="581"/>
      <c r="G129" s="581"/>
      <c r="H129" s="581"/>
      <c r="I129" s="581"/>
      <c r="J129" s="581"/>
      <c r="K129" s="581"/>
      <c r="L129" s="581"/>
      <c r="M129" s="582"/>
    </row>
    <row r="130" spans="3:13" ht="18" x14ac:dyDescent="0.2">
      <c r="C130" s="583" t="s">
        <v>548</v>
      </c>
      <c r="D130" s="584"/>
      <c r="E130" s="584"/>
      <c r="F130" s="584"/>
      <c r="G130" s="584"/>
      <c r="H130" s="584"/>
      <c r="I130" s="584"/>
      <c r="J130" s="584"/>
      <c r="K130" s="584"/>
      <c r="L130" s="584"/>
      <c r="M130" s="585"/>
    </row>
    <row r="131" spans="3:13" ht="18" x14ac:dyDescent="0.2">
      <c r="C131" s="317">
        <v>89001</v>
      </c>
      <c r="D131" s="288" t="s">
        <v>611</v>
      </c>
      <c r="E131" s="239" t="s">
        <v>622</v>
      </c>
      <c r="F131" s="239"/>
      <c r="G131" s="300">
        <v>1000</v>
      </c>
      <c r="H131" s="300">
        <v>600</v>
      </c>
      <c r="I131" s="300">
        <v>560</v>
      </c>
      <c r="J131" s="318">
        <v>11.1</v>
      </c>
      <c r="K131" s="319">
        <v>5830</v>
      </c>
      <c r="L131" s="548"/>
      <c r="M131" s="291">
        <f>K131*0.67</f>
        <v>3906.1000000000004</v>
      </c>
    </row>
    <row r="132" spans="3:13" ht="18" x14ac:dyDescent="0.2">
      <c r="C132" s="586" t="s">
        <v>766</v>
      </c>
      <c r="D132" s="568"/>
      <c r="E132" s="568"/>
      <c r="F132" s="568"/>
      <c r="G132" s="568"/>
      <c r="H132" s="568"/>
      <c r="I132" s="568"/>
      <c r="J132" s="568"/>
      <c r="K132" s="568"/>
      <c r="L132" s="568"/>
      <c r="M132" s="587"/>
    </row>
    <row r="133" spans="3:13" ht="18.75" thickBot="1" x14ac:dyDescent="0.25">
      <c r="C133" s="320">
        <v>6391</v>
      </c>
      <c r="D133" s="321" t="s">
        <v>48</v>
      </c>
      <c r="E133" s="277" t="s">
        <v>767</v>
      </c>
      <c r="F133" s="277"/>
      <c r="G133" s="322" t="s">
        <v>48</v>
      </c>
      <c r="H133" s="300">
        <v>600</v>
      </c>
      <c r="I133" s="300">
        <v>560</v>
      </c>
      <c r="J133" s="323">
        <v>0.7</v>
      </c>
      <c r="K133" s="324">
        <v>1280</v>
      </c>
      <c r="L133" s="549"/>
      <c r="M133" s="291">
        <f>K133*0.67</f>
        <v>857.6</v>
      </c>
    </row>
    <row r="134" spans="3:13" ht="26.25" x14ac:dyDescent="0.2">
      <c r="C134" s="573" t="s">
        <v>768</v>
      </c>
      <c r="D134" s="574"/>
      <c r="E134" s="574"/>
      <c r="F134" s="574"/>
      <c r="G134" s="574"/>
      <c r="H134" s="574"/>
      <c r="I134" s="574"/>
      <c r="J134" s="574"/>
      <c r="K134" s="574"/>
      <c r="L134" s="574"/>
      <c r="M134" s="569"/>
    </row>
    <row r="135" spans="3:13" s="325" customFormat="1" ht="18" x14ac:dyDescent="0.2">
      <c r="C135" s="316">
        <v>28323</v>
      </c>
      <c r="D135" s="220" t="s">
        <v>611</v>
      </c>
      <c r="E135" s="241" t="s">
        <v>769</v>
      </c>
      <c r="F135" s="241"/>
      <c r="G135" s="268">
        <v>750</v>
      </c>
      <c r="H135" s="268">
        <v>200</v>
      </c>
      <c r="I135" s="268">
        <v>23</v>
      </c>
      <c r="J135" s="268">
        <v>16</v>
      </c>
      <c r="K135" s="293">
        <v>3350</v>
      </c>
      <c r="L135" s="544"/>
      <c r="M135" s="225">
        <f>K135*0.8</f>
        <v>2680</v>
      </c>
    </row>
    <row r="136" spans="3:13" s="325" customFormat="1" ht="18" x14ac:dyDescent="0.2">
      <c r="C136" s="316">
        <v>28333</v>
      </c>
      <c r="D136" s="220" t="s">
        <v>611</v>
      </c>
      <c r="E136" s="241" t="s">
        <v>769</v>
      </c>
      <c r="F136" s="241"/>
      <c r="G136" s="268">
        <v>750</v>
      </c>
      <c r="H136" s="268">
        <v>300</v>
      </c>
      <c r="I136" s="268">
        <v>23</v>
      </c>
      <c r="J136" s="268">
        <v>22</v>
      </c>
      <c r="K136" s="293">
        <v>5050</v>
      </c>
      <c r="L136" s="544"/>
      <c r="M136" s="225">
        <f>K136*0.8</f>
        <v>4040</v>
      </c>
    </row>
    <row r="137" spans="3:13" s="325" customFormat="1" ht="18.75" thickBot="1" x14ac:dyDescent="0.25">
      <c r="C137" s="326" t="s">
        <v>770</v>
      </c>
      <c r="D137" s="327" t="s">
        <v>611</v>
      </c>
      <c r="E137" s="328" t="s">
        <v>769</v>
      </c>
      <c r="F137" s="328"/>
      <c r="G137" s="279">
        <v>750</v>
      </c>
      <c r="H137" s="279">
        <v>400</v>
      </c>
      <c r="I137" s="279">
        <v>23</v>
      </c>
      <c r="J137" s="279">
        <v>30</v>
      </c>
      <c r="K137" s="280">
        <v>6915</v>
      </c>
      <c r="L137" s="541"/>
      <c r="M137" s="225">
        <f>K137*0.8</f>
        <v>5532</v>
      </c>
    </row>
    <row r="138" spans="3:13" ht="18" x14ac:dyDescent="0.2">
      <c r="C138" s="567" t="s">
        <v>771</v>
      </c>
      <c r="D138" s="568"/>
      <c r="E138" s="568"/>
      <c r="F138" s="568"/>
      <c r="G138" s="568"/>
      <c r="H138" s="568"/>
      <c r="I138" s="568"/>
      <c r="J138" s="568"/>
      <c r="K138" s="568"/>
      <c r="L138" s="568"/>
      <c r="M138" s="569"/>
    </row>
    <row r="139" spans="3:13" ht="36.75" thickBot="1" x14ac:dyDescent="0.25">
      <c r="C139" s="329">
        <v>6371</v>
      </c>
      <c r="D139" s="276" t="s">
        <v>48</v>
      </c>
      <c r="E139" s="328" t="s">
        <v>772</v>
      </c>
      <c r="F139" s="328"/>
      <c r="G139" s="278" t="s">
        <v>48</v>
      </c>
      <c r="H139" s="278">
        <v>385</v>
      </c>
      <c r="I139" s="278">
        <v>354</v>
      </c>
      <c r="J139" s="278">
        <v>0.45</v>
      </c>
      <c r="K139" s="330">
        <v>855</v>
      </c>
      <c r="L139" s="550"/>
      <c r="M139" s="223">
        <f>K139*0.67</f>
        <v>572.85</v>
      </c>
    </row>
    <row r="140" spans="3:13" ht="26.25" x14ac:dyDescent="0.2">
      <c r="C140" s="573" t="s">
        <v>773</v>
      </c>
      <c r="D140" s="574"/>
      <c r="E140" s="574"/>
      <c r="F140" s="574"/>
      <c r="G140" s="574"/>
      <c r="H140" s="574"/>
      <c r="I140" s="574"/>
      <c r="J140" s="574"/>
      <c r="K140" s="574"/>
      <c r="L140" s="574"/>
      <c r="M140" s="569"/>
    </row>
    <row r="141" spans="3:13" ht="18" x14ac:dyDescent="0.2">
      <c r="C141" s="567" t="s">
        <v>774</v>
      </c>
      <c r="D141" s="568"/>
      <c r="E141" s="568"/>
      <c r="F141" s="568"/>
      <c r="G141" s="568"/>
      <c r="H141" s="568"/>
      <c r="I141" s="568"/>
      <c r="J141" s="568"/>
      <c r="K141" s="568"/>
      <c r="L141" s="568"/>
      <c r="M141" s="569"/>
    </row>
    <row r="142" spans="3:13" ht="36" x14ac:dyDescent="0.2">
      <c r="C142" s="237" t="s">
        <v>775</v>
      </c>
      <c r="D142" s="238" t="s">
        <v>550</v>
      </c>
      <c r="E142" s="239" t="s">
        <v>776</v>
      </c>
      <c r="F142" s="239"/>
      <c r="G142" s="238" t="s">
        <v>777</v>
      </c>
      <c r="H142" s="238" t="s">
        <v>778</v>
      </c>
      <c r="I142" s="238" t="s">
        <v>779</v>
      </c>
      <c r="J142" s="238" t="s">
        <v>780</v>
      </c>
      <c r="K142" s="240">
        <v>620</v>
      </c>
      <c r="L142" s="534"/>
      <c r="M142" s="223">
        <f>K142*0.67</f>
        <v>415.40000000000003</v>
      </c>
    </row>
    <row r="143" spans="3:13" ht="18" x14ac:dyDescent="0.2">
      <c r="C143" s="238" t="s">
        <v>781</v>
      </c>
      <c r="D143" s="238" t="s">
        <v>550</v>
      </c>
      <c r="E143" s="239" t="s">
        <v>782</v>
      </c>
      <c r="F143" s="239"/>
      <c r="G143" s="238" t="s">
        <v>783</v>
      </c>
      <c r="H143" s="238" t="s">
        <v>783</v>
      </c>
      <c r="I143" s="238" t="s">
        <v>784</v>
      </c>
      <c r="J143" s="238" t="s">
        <v>785</v>
      </c>
      <c r="K143" s="331">
        <v>450</v>
      </c>
      <c r="L143" s="331"/>
      <c r="M143" s="223">
        <f>K143*0.67</f>
        <v>301.5</v>
      </c>
    </row>
    <row r="144" spans="3:13" ht="18" x14ac:dyDescent="0.2">
      <c r="C144" s="238" t="s">
        <v>786</v>
      </c>
      <c r="D144" s="238"/>
      <c r="E144" s="239" t="s">
        <v>787</v>
      </c>
      <c r="F144" s="239"/>
      <c r="G144" s="238" t="s">
        <v>788</v>
      </c>
      <c r="H144" s="238" t="s">
        <v>788</v>
      </c>
      <c r="I144" s="238" t="s">
        <v>789</v>
      </c>
      <c r="J144" s="238" t="s">
        <v>790</v>
      </c>
      <c r="K144" s="331">
        <v>115</v>
      </c>
      <c r="L144" s="331"/>
      <c r="M144" s="223">
        <f>K144*0.67</f>
        <v>77.050000000000011</v>
      </c>
    </row>
    <row r="145" spans="3:13" ht="18" x14ac:dyDescent="0.2">
      <c r="C145" s="238" t="s">
        <v>791</v>
      </c>
      <c r="D145" s="238" t="s">
        <v>550</v>
      </c>
      <c r="E145" s="239" t="s">
        <v>792</v>
      </c>
      <c r="F145" s="239"/>
      <c r="G145" s="238" t="s">
        <v>793</v>
      </c>
      <c r="H145" s="238" t="s">
        <v>793</v>
      </c>
      <c r="I145" s="238" t="s">
        <v>794</v>
      </c>
      <c r="J145" s="238" t="s">
        <v>795</v>
      </c>
      <c r="K145" s="331">
        <v>160</v>
      </c>
      <c r="L145" s="331"/>
      <c r="M145" s="223">
        <f>K145*0.67</f>
        <v>107.2</v>
      </c>
    </row>
    <row r="146" spans="3:13" ht="18" x14ac:dyDescent="0.2">
      <c r="C146" s="238" t="s">
        <v>796</v>
      </c>
      <c r="D146" s="238" t="s">
        <v>550</v>
      </c>
      <c r="E146" s="239" t="s">
        <v>797</v>
      </c>
      <c r="F146" s="239"/>
      <c r="G146" s="238" t="s">
        <v>798</v>
      </c>
      <c r="H146" s="238" t="s">
        <v>798</v>
      </c>
      <c r="I146" s="238" t="s">
        <v>799</v>
      </c>
      <c r="J146" s="238" t="s">
        <v>615</v>
      </c>
      <c r="K146" s="331">
        <v>445</v>
      </c>
      <c r="L146" s="331"/>
      <c r="M146" s="223">
        <f>K146*0.67</f>
        <v>298.15000000000003</v>
      </c>
    </row>
    <row r="147" spans="3:13" ht="18" x14ac:dyDescent="0.25">
      <c r="C147" s="567" t="s">
        <v>800</v>
      </c>
      <c r="D147" s="568"/>
      <c r="E147" s="568"/>
      <c r="F147" s="568"/>
      <c r="G147" s="568"/>
      <c r="H147" s="568"/>
      <c r="I147" s="568"/>
      <c r="J147" s="568"/>
      <c r="K147" s="568"/>
      <c r="L147" s="568"/>
      <c r="M147" s="577"/>
    </row>
    <row r="148" spans="3:13" ht="54" x14ac:dyDescent="0.2">
      <c r="C148" s="332" t="s">
        <v>801</v>
      </c>
      <c r="D148" s="288" t="s">
        <v>611</v>
      </c>
      <c r="E148" s="239" t="s">
        <v>802</v>
      </c>
      <c r="F148" s="239"/>
      <c r="G148" s="289">
        <v>290</v>
      </c>
      <c r="H148" s="289">
        <v>290</v>
      </c>
      <c r="I148" s="289">
        <v>120</v>
      </c>
      <c r="J148" s="289">
        <v>0.8</v>
      </c>
      <c r="K148" s="333">
        <v>395</v>
      </c>
      <c r="L148" s="551"/>
      <c r="M148" s="334">
        <f>K148*0.67</f>
        <v>264.65000000000003</v>
      </c>
    </row>
    <row r="149" spans="3:13" ht="18" x14ac:dyDescent="0.2">
      <c r="C149" s="332" t="s">
        <v>803</v>
      </c>
      <c r="D149" s="288" t="s">
        <v>611</v>
      </c>
      <c r="E149" s="239" t="s">
        <v>804</v>
      </c>
      <c r="F149" s="239"/>
      <c r="G149" s="289">
        <v>290</v>
      </c>
      <c r="H149" s="289">
        <v>290</v>
      </c>
      <c r="I149" s="289">
        <v>120</v>
      </c>
      <c r="J149" s="289">
        <v>0.77</v>
      </c>
      <c r="K149" s="333">
        <v>540</v>
      </c>
      <c r="L149" s="551"/>
      <c r="M149" s="334">
        <f>K149*0.67</f>
        <v>361.8</v>
      </c>
    </row>
    <row r="150" spans="3:13" ht="36" x14ac:dyDescent="0.2">
      <c r="C150" s="332" t="s">
        <v>805</v>
      </c>
      <c r="D150" s="288" t="s">
        <v>550</v>
      </c>
      <c r="E150" s="239" t="s">
        <v>806</v>
      </c>
      <c r="F150" s="239"/>
      <c r="G150" s="289">
        <v>300</v>
      </c>
      <c r="H150" s="289">
        <v>163</v>
      </c>
      <c r="I150" s="289">
        <v>208</v>
      </c>
      <c r="J150" s="289">
        <v>0.5</v>
      </c>
      <c r="K150" s="333">
        <v>480</v>
      </c>
      <c r="L150" s="551"/>
      <c r="M150" s="334">
        <f>K150*0.67</f>
        <v>321.60000000000002</v>
      </c>
    </row>
    <row r="151" spans="3:13" ht="18" x14ac:dyDescent="0.2">
      <c r="C151" s="335" t="s">
        <v>807</v>
      </c>
      <c r="D151" s="336" t="s">
        <v>611</v>
      </c>
      <c r="E151" s="264" t="s">
        <v>808</v>
      </c>
      <c r="F151" s="264"/>
      <c r="G151" s="337">
        <v>300</v>
      </c>
      <c r="H151" s="337">
        <v>300</v>
      </c>
      <c r="I151" s="337">
        <v>300</v>
      </c>
      <c r="J151" s="337">
        <v>1.3</v>
      </c>
      <c r="K151" s="338">
        <v>590</v>
      </c>
      <c r="L151" s="552"/>
      <c r="M151" s="250">
        <f>K151*0.6</f>
        <v>354</v>
      </c>
    </row>
    <row r="152" spans="3:13" ht="18" x14ac:dyDescent="0.2">
      <c r="C152" s="567" t="s">
        <v>809</v>
      </c>
      <c r="D152" s="568"/>
      <c r="E152" s="568"/>
      <c r="F152" s="568"/>
      <c r="G152" s="568"/>
      <c r="H152" s="568"/>
      <c r="I152" s="568"/>
      <c r="J152" s="568"/>
      <c r="K152" s="568"/>
      <c r="L152" s="568"/>
      <c r="M152" s="569"/>
    </row>
    <row r="153" spans="3:13" ht="36" x14ac:dyDescent="0.2">
      <c r="C153" s="339" t="s">
        <v>810</v>
      </c>
      <c r="D153" s="220" t="s">
        <v>550</v>
      </c>
      <c r="E153" s="241" t="s">
        <v>811</v>
      </c>
      <c r="F153" s="241"/>
      <c r="G153" s="270">
        <v>280</v>
      </c>
      <c r="H153" s="270">
        <v>280</v>
      </c>
      <c r="I153" s="270">
        <v>20</v>
      </c>
      <c r="J153" s="270">
        <v>1.1000000000000001</v>
      </c>
      <c r="K153" s="340">
        <v>505</v>
      </c>
      <c r="L153" s="553"/>
      <c r="M153" s="223">
        <f>K153*0.67</f>
        <v>338.35</v>
      </c>
    </row>
    <row r="154" spans="3:13" ht="18" x14ac:dyDescent="0.2">
      <c r="C154" s="339" t="s">
        <v>812</v>
      </c>
      <c r="D154" s="220" t="s">
        <v>658</v>
      </c>
      <c r="E154" s="241" t="s">
        <v>659</v>
      </c>
      <c r="F154" s="241"/>
      <c r="G154" s="270">
        <v>280</v>
      </c>
      <c r="H154" s="270">
        <v>280</v>
      </c>
      <c r="I154" s="270">
        <v>23</v>
      </c>
      <c r="J154" s="270">
        <v>1.7</v>
      </c>
      <c r="K154" s="340">
        <v>900</v>
      </c>
      <c r="L154" s="553"/>
      <c r="M154" s="223">
        <f>K154*0.67</f>
        <v>603</v>
      </c>
    </row>
    <row r="155" spans="3:13" ht="18" x14ac:dyDescent="0.2">
      <c r="C155" s="332" t="s">
        <v>813</v>
      </c>
      <c r="D155" s="288" t="s">
        <v>611</v>
      </c>
      <c r="E155" s="241" t="s">
        <v>671</v>
      </c>
      <c r="F155" s="241"/>
      <c r="G155" s="289">
        <v>280</v>
      </c>
      <c r="H155" s="289">
        <v>280</v>
      </c>
      <c r="I155" s="289">
        <v>23</v>
      </c>
      <c r="J155" s="270">
        <v>3.2</v>
      </c>
      <c r="K155" s="340">
        <v>960</v>
      </c>
      <c r="L155" s="553"/>
      <c r="M155" s="223">
        <f>K155*0.67</f>
        <v>643.20000000000005</v>
      </c>
    </row>
    <row r="156" spans="3:13" ht="36" x14ac:dyDescent="0.2">
      <c r="C156" s="332" t="s">
        <v>814</v>
      </c>
      <c r="D156" s="288" t="s">
        <v>611</v>
      </c>
      <c r="E156" s="241" t="s">
        <v>673</v>
      </c>
      <c r="F156" s="241"/>
      <c r="G156" s="289">
        <v>280</v>
      </c>
      <c r="H156" s="289">
        <v>280</v>
      </c>
      <c r="I156" s="289">
        <v>23</v>
      </c>
      <c r="J156" s="270">
        <v>3.3</v>
      </c>
      <c r="K156" s="340">
        <v>1275</v>
      </c>
      <c r="L156" s="553"/>
      <c r="M156" s="223">
        <f>K156*0.67</f>
        <v>854.25</v>
      </c>
    </row>
    <row r="157" spans="3:13" ht="18" x14ac:dyDescent="0.2">
      <c r="C157" s="332" t="s">
        <v>815</v>
      </c>
      <c r="D157" s="288" t="s">
        <v>611</v>
      </c>
      <c r="E157" s="241" t="s">
        <v>816</v>
      </c>
      <c r="F157" s="241"/>
      <c r="G157" s="289">
        <v>280</v>
      </c>
      <c r="H157" s="289">
        <v>280</v>
      </c>
      <c r="I157" s="289">
        <v>22</v>
      </c>
      <c r="J157" s="270">
        <v>4.2</v>
      </c>
      <c r="K157" s="340">
        <v>960</v>
      </c>
      <c r="L157" s="553"/>
      <c r="M157" s="223">
        <f>K157*0.67</f>
        <v>643.20000000000005</v>
      </c>
    </row>
    <row r="158" spans="3:13" ht="36" x14ac:dyDescent="0.2">
      <c r="C158" s="341" t="s">
        <v>817</v>
      </c>
      <c r="D158" s="263" t="s">
        <v>611</v>
      </c>
      <c r="E158" s="264" t="s">
        <v>818</v>
      </c>
      <c r="F158" s="264"/>
      <c r="G158" s="274">
        <v>280</v>
      </c>
      <c r="H158" s="274">
        <v>280</v>
      </c>
      <c r="I158" s="274">
        <v>23</v>
      </c>
      <c r="J158" s="274">
        <v>3.2</v>
      </c>
      <c r="K158" s="338">
        <v>960</v>
      </c>
      <c r="L158" s="552"/>
      <c r="M158" s="250">
        <f>K158*0.6</f>
        <v>576</v>
      </c>
    </row>
    <row r="159" spans="3:13" ht="36" x14ac:dyDescent="0.2">
      <c r="C159" s="339" t="s">
        <v>819</v>
      </c>
      <c r="D159" s="220" t="s">
        <v>611</v>
      </c>
      <c r="E159" s="241" t="s">
        <v>820</v>
      </c>
      <c r="F159" s="241"/>
      <c r="G159" s="270">
        <v>280</v>
      </c>
      <c r="H159" s="270">
        <v>280</v>
      </c>
      <c r="I159" s="270">
        <v>23</v>
      </c>
      <c r="J159" s="270">
        <v>3.3</v>
      </c>
      <c r="K159" s="340">
        <v>1275</v>
      </c>
      <c r="L159" s="553"/>
      <c r="M159" s="223">
        <f>K159*0.67</f>
        <v>854.25</v>
      </c>
    </row>
    <row r="160" spans="3:13" ht="36" x14ac:dyDescent="0.2">
      <c r="C160" s="341" t="s">
        <v>821</v>
      </c>
      <c r="D160" s="263" t="s">
        <v>550</v>
      </c>
      <c r="E160" s="264" t="s">
        <v>822</v>
      </c>
      <c r="F160" s="264"/>
      <c r="G160" s="274">
        <v>280</v>
      </c>
      <c r="H160" s="274">
        <v>280</v>
      </c>
      <c r="I160" s="274">
        <v>23</v>
      </c>
      <c r="J160" s="274">
        <v>0.65</v>
      </c>
      <c r="K160" s="338">
        <v>270</v>
      </c>
      <c r="L160" s="552"/>
      <c r="M160" s="250">
        <f>K160*0.6</f>
        <v>162</v>
      </c>
    </row>
    <row r="161" spans="3:13" ht="36" x14ac:dyDescent="0.2">
      <c r="C161" s="341" t="s">
        <v>823</v>
      </c>
      <c r="D161" s="263" t="s">
        <v>550</v>
      </c>
      <c r="E161" s="264" t="s">
        <v>824</v>
      </c>
      <c r="F161" s="264"/>
      <c r="G161" s="274">
        <v>280</v>
      </c>
      <c r="H161" s="274">
        <v>280</v>
      </c>
      <c r="I161" s="274">
        <v>23</v>
      </c>
      <c r="J161" s="274">
        <v>0.65</v>
      </c>
      <c r="K161" s="338">
        <v>270</v>
      </c>
      <c r="L161" s="552"/>
      <c r="M161" s="250">
        <f>K161*0.6</f>
        <v>162</v>
      </c>
    </row>
    <row r="162" spans="3:13" ht="18" x14ac:dyDescent="0.2">
      <c r="C162" s="332" t="s">
        <v>825</v>
      </c>
      <c r="D162" s="288" t="s">
        <v>550</v>
      </c>
      <c r="E162" s="342" t="s">
        <v>826</v>
      </c>
      <c r="F162" s="342"/>
      <c r="G162" s="289">
        <v>280</v>
      </c>
      <c r="H162" s="289">
        <v>280</v>
      </c>
      <c r="I162" s="289">
        <v>23</v>
      </c>
      <c r="J162" s="289">
        <v>0.68</v>
      </c>
      <c r="K162" s="343">
        <v>335</v>
      </c>
      <c r="L162" s="554"/>
      <c r="M162" s="223">
        <f>K162*0.67</f>
        <v>224.45000000000002</v>
      </c>
    </row>
    <row r="163" spans="3:13" ht="18" x14ac:dyDescent="0.2">
      <c r="C163" s="567" t="s">
        <v>827</v>
      </c>
      <c r="D163" s="568"/>
      <c r="E163" s="568"/>
      <c r="F163" s="568"/>
      <c r="G163" s="568"/>
      <c r="H163" s="568"/>
      <c r="I163" s="568"/>
      <c r="J163" s="568"/>
      <c r="K163" s="568"/>
      <c r="L163" s="568"/>
      <c r="M163" s="569"/>
    </row>
    <row r="164" spans="3:13" ht="18" x14ac:dyDescent="0.2">
      <c r="C164" s="335" t="s">
        <v>828</v>
      </c>
      <c r="D164" s="336" t="s">
        <v>48</v>
      </c>
      <c r="E164" s="344" t="s">
        <v>829</v>
      </c>
      <c r="F164" s="344"/>
      <c r="G164" s="337">
        <v>222</v>
      </c>
      <c r="H164" s="337">
        <v>135</v>
      </c>
      <c r="I164" s="337">
        <v>155</v>
      </c>
      <c r="J164" s="337">
        <v>0.2</v>
      </c>
      <c r="K164" s="338">
        <v>135</v>
      </c>
      <c r="L164" s="552"/>
      <c r="M164" s="250">
        <f>K164*0.6</f>
        <v>81</v>
      </c>
    </row>
    <row r="165" spans="3:13" ht="18.75" thickBot="1" x14ac:dyDescent="0.25">
      <c r="C165" s="345" t="s">
        <v>830</v>
      </c>
      <c r="D165" s="346" t="s">
        <v>48</v>
      </c>
      <c r="E165" s="347" t="s">
        <v>831</v>
      </c>
      <c r="F165" s="347"/>
      <c r="G165" s="348" t="s">
        <v>48</v>
      </c>
      <c r="H165" s="348">
        <v>250</v>
      </c>
      <c r="I165" s="348">
        <v>242</v>
      </c>
      <c r="J165" s="348">
        <v>0.2</v>
      </c>
      <c r="K165" s="349">
        <v>85</v>
      </c>
      <c r="L165" s="555"/>
      <c r="M165" s="250">
        <f>K165*0.6</f>
        <v>51</v>
      </c>
    </row>
    <row r="166" spans="3:13" ht="23.25" x14ac:dyDescent="0.2">
      <c r="C166" s="567" t="s">
        <v>832</v>
      </c>
      <c r="D166" s="568"/>
      <c r="E166" s="568"/>
      <c r="F166" s="568"/>
      <c r="G166" s="568"/>
      <c r="H166" s="568"/>
      <c r="I166" s="568"/>
      <c r="J166" s="568"/>
      <c r="K166" s="568"/>
      <c r="L166" s="568"/>
      <c r="M166" s="569"/>
    </row>
    <row r="167" spans="3:13" ht="18" x14ac:dyDescent="0.2">
      <c r="C167" s="332" t="s">
        <v>833</v>
      </c>
      <c r="D167" s="288" t="s">
        <v>611</v>
      </c>
      <c r="E167" s="239" t="s">
        <v>834</v>
      </c>
      <c r="F167" s="239"/>
      <c r="G167" s="289">
        <v>433</v>
      </c>
      <c r="H167" s="289">
        <v>433</v>
      </c>
      <c r="I167" s="289">
        <v>391</v>
      </c>
      <c r="J167" s="289">
        <v>4.5999999999999996</v>
      </c>
      <c r="K167" s="340">
        <v>1635</v>
      </c>
      <c r="L167" s="553"/>
      <c r="M167" s="223">
        <f>K167*0.67</f>
        <v>1095.45</v>
      </c>
    </row>
    <row r="168" spans="3:13" ht="36" x14ac:dyDescent="0.2">
      <c r="C168" s="273" t="s">
        <v>835</v>
      </c>
      <c r="D168" s="288" t="s">
        <v>611</v>
      </c>
      <c r="E168" s="239" t="s">
        <v>836</v>
      </c>
      <c r="F168" s="239"/>
      <c r="G168" s="289">
        <v>433</v>
      </c>
      <c r="H168" s="289">
        <v>433</v>
      </c>
      <c r="I168" s="289">
        <v>391</v>
      </c>
      <c r="J168" s="350">
        <v>4.5999999999999996</v>
      </c>
      <c r="K168" s="240">
        <v>1635</v>
      </c>
      <c r="L168" s="534"/>
      <c r="M168" s="223">
        <f>K168*0.67</f>
        <v>1095.45</v>
      </c>
    </row>
    <row r="169" spans="3:13" ht="18" x14ac:dyDescent="0.2">
      <c r="C169" s="567" t="s">
        <v>837</v>
      </c>
      <c r="D169" s="568"/>
      <c r="E169" s="568"/>
      <c r="F169" s="568"/>
      <c r="G169" s="568"/>
      <c r="H169" s="568"/>
      <c r="I169" s="568"/>
      <c r="J169" s="568"/>
      <c r="K169" s="568"/>
      <c r="L169" s="568"/>
      <c r="M169" s="569"/>
    </row>
    <row r="170" spans="3:13" ht="18" x14ac:dyDescent="0.2">
      <c r="C170" s="339" t="s">
        <v>838</v>
      </c>
      <c r="D170" s="220" t="s">
        <v>550</v>
      </c>
      <c r="E170" s="241" t="s">
        <v>659</v>
      </c>
      <c r="F170" s="241"/>
      <c r="G170" s="270">
        <v>391</v>
      </c>
      <c r="H170" s="270">
        <v>391</v>
      </c>
      <c r="I170" s="270">
        <v>26</v>
      </c>
      <c r="J170" s="270">
        <v>2.14</v>
      </c>
      <c r="K170" s="340">
        <v>2745</v>
      </c>
      <c r="L170" s="553"/>
      <c r="M170" s="223">
        <f>K170*0.67</f>
        <v>1839.15</v>
      </c>
    </row>
    <row r="171" spans="3:13" ht="18" x14ac:dyDescent="0.2">
      <c r="C171" s="351" t="s">
        <v>839</v>
      </c>
      <c r="D171" s="220" t="s">
        <v>550</v>
      </c>
      <c r="E171" s="241" t="s">
        <v>840</v>
      </c>
      <c r="F171" s="241"/>
      <c r="G171" s="270">
        <v>389</v>
      </c>
      <c r="H171" s="270">
        <v>389</v>
      </c>
      <c r="I171" s="270">
        <v>34</v>
      </c>
      <c r="J171" s="270">
        <v>2</v>
      </c>
      <c r="K171" s="340">
        <v>1485</v>
      </c>
      <c r="L171" s="553"/>
      <c r="M171" s="225">
        <f>K171*0.67</f>
        <v>994.95</v>
      </c>
    </row>
    <row r="172" spans="3:13" ht="18" x14ac:dyDescent="0.2">
      <c r="C172" s="351" t="s">
        <v>841</v>
      </c>
      <c r="D172" s="220" t="s">
        <v>550</v>
      </c>
      <c r="E172" s="241" t="s">
        <v>842</v>
      </c>
      <c r="F172" s="241"/>
      <c r="G172" s="270">
        <v>389</v>
      </c>
      <c r="H172" s="270">
        <v>389</v>
      </c>
      <c r="I172" s="270">
        <v>34</v>
      </c>
      <c r="J172" s="270">
        <v>2</v>
      </c>
      <c r="K172" s="340">
        <v>1120</v>
      </c>
      <c r="L172" s="553"/>
      <c r="M172" s="225">
        <f>K172*0.67</f>
        <v>750.40000000000009</v>
      </c>
    </row>
    <row r="173" spans="3:13" ht="66" customHeight="1" x14ac:dyDescent="0.2">
      <c r="C173" s="352" t="s">
        <v>843</v>
      </c>
      <c r="D173" s="288" t="s">
        <v>844</v>
      </c>
      <c r="E173" s="239" t="s">
        <v>845</v>
      </c>
      <c r="F173" s="239"/>
      <c r="G173" s="289">
        <v>391</v>
      </c>
      <c r="H173" s="289">
        <v>391</v>
      </c>
      <c r="I173" s="289">
        <v>33</v>
      </c>
      <c r="J173" s="289">
        <v>10</v>
      </c>
      <c r="K173" s="353">
        <v>4245</v>
      </c>
      <c r="L173" s="353"/>
      <c r="M173" s="223">
        <f>K173*0.67</f>
        <v>2844.15</v>
      </c>
    </row>
    <row r="174" spans="3:13" ht="21" customHeight="1" x14ac:dyDescent="0.2">
      <c r="C174" s="570" t="s">
        <v>846</v>
      </c>
      <c r="D174" s="571"/>
      <c r="E174" s="571"/>
      <c r="F174" s="571"/>
      <c r="G174" s="571"/>
      <c r="H174" s="571"/>
      <c r="I174" s="571"/>
      <c r="J174" s="571"/>
      <c r="K174" s="571"/>
      <c r="L174" s="571"/>
      <c r="M174" s="572"/>
    </row>
    <row r="175" spans="3:13" ht="33.75" customHeight="1" thickBot="1" x14ac:dyDescent="0.25">
      <c r="C175" s="354" t="s">
        <v>847</v>
      </c>
      <c r="D175" s="327" t="s">
        <v>48</v>
      </c>
      <c r="E175" s="328" t="s">
        <v>848</v>
      </c>
      <c r="F175" s="328"/>
      <c r="G175" s="279">
        <v>330</v>
      </c>
      <c r="H175" s="279">
        <v>310</v>
      </c>
      <c r="I175" s="279">
        <v>180</v>
      </c>
      <c r="J175" s="279">
        <v>2.14</v>
      </c>
      <c r="K175" s="355">
        <v>1330</v>
      </c>
      <c r="L175" s="556"/>
      <c r="M175" s="223">
        <f>K175*0.67</f>
        <v>891.1</v>
      </c>
    </row>
    <row r="176" spans="3:13" ht="26.25" x14ac:dyDescent="0.2">
      <c r="C176" s="573" t="s">
        <v>849</v>
      </c>
      <c r="D176" s="574"/>
      <c r="E176" s="574"/>
      <c r="F176" s="574"/>
      <c r="G176" s="574"/>
      <c r="H176" s="574"/>
      <c r="I176" s="574"/>
      <c r="J176" s="574"/>
      <c r="K176" s="574"/>
      <c r="L176" s="574"/>
      <c r="M176" s="569"/>
    </row>
    <row r="177" spans="3:15" ht="18" x14ac:dyDescent="0.2">
      <c r="C177" s="356" t="s">
        <v>850</v>
      </c>
      <c r="D177" s="357" t="s">
        <v>658</v>
      </c>
      <c r="E177" s="358" t="s">
        <v>851</v>
      </c>
      <c r="F177" s="358"/>
      <c r="G177" s="310">
        <v>380</v>
      </c>
      <c r="H177" s="310">
        <v>380</v>
      </c>
      <c r="I177" s="310">
        <v>30</v>
      </c>
      <c r="J177" s="310">
        <v>6.9</v>
      </c>
      <c r="K177" s="359">
        <v>1380</v>
      </c>
      <c r="L177" s="556"/>
      <c r="M177" s="223">
        <f>K177*0.75</f>
        <v>1035</v>
      </c>
    </row>
    <row r="178" spans="3:15" ht="26.25" x14ac:dyDescent="0.2">
      <c r="C178" s="573" t="s">
        <v>852</v>
      </c>
      <c r="D178" s="574"/>
      <c r="E178" s="574"/>
      <c r="F178" s="574"/>
      <c r="G178" s="574"/>
      <c r="H178" s="574"/>
      <c r="I178" s="574"/>
      <c r="J178" s="574"/>
      <c r="K178" s="574"/>
      <c r="L178" s="574"/>
      <c r="M178" s="569"/>
    </row>
    <row r="179" spans="3:15" ht="18.75" thickBot="1" x14ac:dyDescent="0.25">
      <c r="C179" s="360" t="s">
        <v>853</v>
      </c>
      <c r="D179" s="321" t="s">
        <v>611</v>
      </c>
      <c r="E179" s="361" t="s">
        <v>854</v>
      </c>
      <c r="F179" s="361"/>
      <c r="G179" s="322">
        <v>600</v>
      </c>
      <c r="H179" s="322">
        <v>600</v>
      </c>
      <c r="I179" s="322">
        <v>190</v>
      </c>
      <c r="J179" s="322">
        <v>65</v>
      </c>
      <c r="K179" s="362">
        <v>13220</v>
      </c>
      <c r="L179" s="557"/>
      <c r="M179" s="223">
        <f>K179*0.75</f>
        <v>9915</v>
      </c>
    </row>
    <row r="180" spans="3:15" ht="18" customHeight="1" x14ac:dyDescent="0.2">
      <c r="C180" s="573" t="s">
        <v>855</v>
      </c>
      <c r="D180" s="574"/>
      <c r="E180" s="574"/>
      <c r="F180" s="574"/>
      <c r="G180" s="574"/>
      <c r="H180" s="574"/>
      <c r="I180" s="574"/>
      <c r="J180" s="574"/>
      <c r="K180" s="574"/>
      <c r="L180" s="574"/>
      <c r="M180" s="569"/>
    </row>
    <row r="181" spans="3:15" ht="18" x14ac:dyDescent="0.2">
      <c r="C181" s="352" t="s">
        <v>856</v>
      </c>
      <c r="D181" s="288"/>
      <c r="E181" s="363" t="s">
        <v>857</v>
      </c>
      <c r="F181" s="363"/>
      <c r="G181" s="289"/>
      <c r="H181" s="289"/>
      <c r="I181" s="289"/>
      <c r="J181" s="289"/>
      <c r="K181" s="364">
        <v>559</v>
      </c>
      <c r="L181" s="364"/>
      <c r="M181" s="223">
        <f>K181*0.67</f>
        <v>374.53000000000003</v>
      </c>
      <c r="O181" s="365"/>
    </row>
    <row r="182" spans="3:15" ht="25.5" x14ac:dyDescent="0.2">
      <c r="C182" s="575"/>
      <c r="D182" s="576"/>
      <c r="E182" s="576"/>
      <c r="F182" s="576"/>
      <c r="G182" s="576"/>
      <c r="H182" s="576"/>
      <c r="I182" s="576"/>
      <c r="J182" s="576"/>
      <c r="K182" s="576"/>
      <c r="L182" s="576"/>
      <c r="M182" s="576"/>
    </row>
    <row r="183" spans="3:15" ht="36.75" customHeight="1" x14ac:dyDescent="0.2">
      <c r="K183" s="367"/>
      <c r="L183" s="367"/>
    </row>
    <row r="184" spans="3:15" x14ac:dyDescent="0.2">
      <c r="K184" s="367"/>
      <c r="L184" s="367"/>
    </row>
    <row r="185" spans="3:15" ht="26.25" customHeight="1" x14ac:dyDescent="0.2">
      <c r="K185" s="368"/>
      <c r="L185" s="368"/>
    </row>
    <row r="186" spans="3:15" x14ac:dyDescent="0.2">
      <c r="K186" s="367"/>
      <c r="L186" s="367"/>
    </row>
    <row r="187" spans="3:15" x14ac:dyDescent="0.2">
      <c r="K187" s="367"/>
      <c r="L187" s="367"/>
    </row>
    <row r="188" spans="3:15" x14ac:dyDescent="0.2">
      <c r="K188" s="368"/>
      <c r="L188" s="368"/>
    </row>
    <row r="189" spans="3:15" x14ac:dyDescent="0.2">
      <c r="K189" s="369"/>
      <c r="L189" s="369"/>
    </row>
    <row r="190" spans="3:15" x14ac:dyDescent="0.2">
      <c r="K190" s="368"/>
      <c r="L190" s="368"/>
    </row>
    <row r="191" spans="3:15" x14ac:dyDescent="0.2">
      <c r="K191" s="367"/>
      <c r="L191" s="367"/>
    </row>
    <row r="192" spans="3:15" x14ac:dyDescent="0.2">
      <c r="K192" s="367"/>
      <c r="L192" s="367"/>
    </row>
    <row r="193" spans="11:12" x14ac:dyDescent="0.2">
      <c r="K193" s="367"/>
      <c r="L193" s="367"/>
    </row>
    <row r="194" spans="11:12" x14ac:dyDescent="0.2">
      <c r="K194" s="367"/>
      <c r="L194" s="367"/>
    </row>
    <row r="195" spans="11:12" x14ac:dyDescent="0.2">
      <c r="K195" s="370"/>
      <c r="L195" s="370"/>
    </row>
    <row r="196" spans="11:12" x14ac:dyDescent="0.2">
      <c r="K196" s="368"/>
      <c r="L196" s="368"/>
    </row>
  </sheetData>
  <mergeCells count="42">
    <mergeCell ref="C27:M27"/>
    <mergeCell ref="C2:M2"/>
    <mergeCell ref="C3:M3"/>
    <mergeCell ref="C4:M4"/>
    <mergeCell ref="C7:M7"/>
    <mergeCell ref="C12:M12"/>
    <mergeCell ref="C95:M95"/>
    <mergeCell ref="C28:M28"/>
    <mergeCell ref="C40:M40"/>
    <mergeCell ref="C43:M43"/>
    <mergeCell ref="C48:M48"/>
    <mergeCell ref="C50:M50"/>
    <mergeCell ref="C57:M57"/>
    <mergeCell ref="C59:M59"/>
    <mergeCell ref="C72:M72"/>
    <mergeCell ref="C84:M84"/>
    <mergeCell ref="C85:M85"/>
    <mergeCell ref="C90:M90"/>
    <mergeCell ref="C138:M138"/>
    <mergeCell ref="C101:M101"/>
    <mergeCell ref="C102:M102"/>
    <mergeCell ref="C109:M109"/>
    <mergeCell ref="C115:M115"/>
    <mergeCell ref="C123:M123"/>
    <mergeCell ref="C124:M124"/>
    <mergeCell ref="C127:M127"/>
    <mergeCell ref="C129:M129"/>
    <mergeCell ref="C130:M130"/>
    <mergeCell ref="C132:M132"/>
    <mergeCell ref="C134:M134"/>
    <mergeCell ref="C182:M182"/>
    <mergeCell ref="C140:M140"/>
    <mergeCell ref="C141:M141"/>
    <mergeCell ref="C147:M147"/>
    <mergeCell ref="C152:M152"/>
    <mergeCell ref="C163:M163"/>
    <mergeCell ref="C166:M166"/>
    <mergeCell ref="C169:M169"/>
    <mergeCell ref="C174:M174"/>
    <mergeCell ref="C176:M176"/>
    <mergeCell ref="C178:M178"/>
    <mergeCell ref="C180:M180"/>
  </mergeCells>
  <pageMargins left="0.23622047244094491" right="0.23622047244094491" top="0.74803149606299213" bottom="0.74803149606299213" header="0.31496062992125984" footer="0.31496062992125984"/>
  <pageSetup paperSize="9" scale="45" orientation="portrait" r:id="rId1"/>
  <headerFooter alignWithMargins="0"/>
  <rowBreaks count="1" manualBreakCount="1">
    <brk id="70" min="1" max="1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86"/>
  <sheetViews>
    <sheetView workbookViewId="0">
      <pane ySplit="1" topLeftCell="A8" activePane="bottomLeft" state="frozen"/>
      <selection activeCell="E186" sqref="E186"/>
      <selection pane="bottomLeft" activeCell="E186" sqref="E186"/>
    </sheetView>
  </sheetViews>
  <sheetFormatPr defaultRowHeight="12.75" x14ac:dyDescent="0.2"/>
  <cols>
    <col min="1" max="1" width="16" style="533" customWidth="1"/>
    <col min="2" max="2" width="85.7109375" style="379" customWidth="1"/>
    <col min="3" max="3" width="8.7109375" style="379" customWidth="1"/>
    <col min="4" max="4" width="8.42578125" style="379" customWidth="1"/>
    <col min="5" max="6" width="9.140625" style="379"/>
    <col min="7" max="7" width="9.85546875" style="379" customWidth="1"/>
    <col min="8" max="8" width="9.140625" style="379"/>
    <col min="9" max="9" width="10.7109375" style="379" customWidth="1"/>
    <col min="10" max="10" width="11.140625" style="457" customWidth="1"/>
    <col min="11" max="256" width="9.140625" style="379"/>
    <col min="257" max="257" width="16" style="379" customWidth="1"/>
    <col min="258" max="258" width="85.7109375" style="379" customWidth="1"/>
    <col min="259" max="259" width="8.7109375" style="379" customWidth="1"/>
    <col min="260" max="260" width="8.42578125" style="379" customWidth="1"/>
    <col min="261" max="262" width="9.140625" style="379"/>
    <col min="263" max="263" width="9.85546875" style="379" customWidth="1"/>
    <col min="264" max="264" width="9.140625" style="379"/>
    <col min="265" max="265" width="10.7109375" style="379" customWidth="1"/>
    <col min="266" max="266" width="11.140625" style="379" customWidth="1"/>
    <col min="267" max="512" width="9.140625" style="379"/>
    <col min="513" max="513" width="16" style="379" customWidth="1"/>
    <col min="514" max="514" width="85.7109375" style="379" customWidth="1"/>
    <col min="515" max="515" width="8.7109375" style="379" customWidth="1"/>
    <col min="516" max="516" width="8.42578125" style="379" customWidth="1"/>
    <col min="517" max="518" width="9.140625" style="379"/>
    <col min="519" max="519" width="9.85546875" style="379" customWidth="1"/>
    <col min="520" max="520" width="9.140625" style="379"/>
    <col min="521" max="521" width="10.7109375" style="379" customWidth="1"/>
    <col min="522" max="522" width="11.140625" style="379" customWidth="1"/>
    <col min="523" max="768" width="9.140625" style="379"/>
    <col min="769" max="769" width="16" style="379" customWidth="1"/>
    <col min="770" max="770" width="85.7109375" style="379" customWidth="1"/>
    <col min="771" max="771" width="8.7109375" style="379" customWidth="1"/>
    <col min="772" max="772" width="8.42578125" style="379" customWidth="1"/>
    <col min="773" max="774" width="9.140625" style="379"/>
    <col min="775" max="775" width="9.85546875" style="379" customWidth="1"/>
    <col min="776" max="776" width="9.140625" style="379"/>
    <col min="777" max="777" width="10.7109375" style="379" customWidth="1"/>
    <col min="778" max="778" width="11.140625" style="379" customWidth="1"/>
    <col min="779" max="1024" width="9.140625" style="379"/>
    <col min="1025" max="1025" width="16" style="379" customWidth="1"/>
    <col min="1026" max="1026" width="85.7109375" style="379" customWidth="1"/>
    <col min="1027" max="1027" width="8.7109375" style="379" customWidth="1"/>
    <col min="1028" max="1028" width="8.42578125" style="379" customWidth="1"/>
    <col min="1029" max="1030" width="9.140625" style="379"/>
    <col min="1031" max="1031" width="9.85546875" style="379" customWidth="1"/>
    <col min="1032" max="1032" width="9.140625" style="379"/>
    <col min="1033" max="1033" width="10.7109375" style="379" customWidth="1"/>
    <col min="1034" max="1034" width="11.140625" style="379" customWidth="1"/>
    <col min="1035" max="1280" width="9.140625" style="379"/>
    <col min="1281" max="1281" width="16" style="379" customWidth="1"/>
    <col min="1282" max="1282" width="85.7109375" style="379" customWidth="1"/>
    <col min="1283" max="1283" width="8.7109375" style="379" customWidth="1"/>
    <col min="1284" max="1284" width="8.42578125" style="379" customWidth="1"/>
    <col min="1285" max="1286" width="9.140625" style="379"/>
    <col min="1287" max="1287" width="9.85546875" style="379" customWidth="1"/>
    <col min="1288" max="1288" width="9.140625" style="379"/>
    <col min="1289" max="1289" width="10.7109375" style="379" customWidth="1"/>
    <col min="1290" max="1290" width="11.140625" style="379" customWidth="1"/>
    <col min="1291" max="1536" width="9.140625" style="379"/>
    <col min="1537" max="1537" width="16" style="379" customWidth="1"/>
    <col min="1538" max="1538" width="85.7109375" style="379" customWidth="1"/>
    <col min="1539" max="1539" width="8.7109375" style="379" customWidth="1"/>
    <col min="1540" max="1540" width="8.42578125" style="379" customWidth="1"/>
    <col min="1541" max="1542" width="9.140625" style="379"/>
    <col min="1543" max="1543" width="9.85546875" style="379" customWidth="1"/>
    <col min="1544" max="1544" width="9.140625" style="379"/>
    <col min="1545" max="1545" width="10.7109375" style="379" customWidth="1"/>
    <col min="1546" max="1546" width="11.140625" style="379" customWidth="1"/>
    <col min="1547" max="1792" width="9.140625" style="379"/>
    <col min="1793" max="1793" width="16" style="379" customWidth="1"/>
    <col min="1794" max="1794" width="85.7109375" style="379" customWidth="1"/>
    <col min="1795" max="1795" width="8.7109375" style="379" customWidth="1"/>
    <col min="1796" max="1796" width="8.42578125" style="379" customWidth="1"/>
    <col min="1797" max="1798" width="9.140625" style="379"/>
    <col min="1799" max="1799" width="9.85546875" style="379" customWidth="1"/>
    <col min="1800" max="1800" width="9.140625" style="379"/>
    <col min="1801" max="1801" width="10.7109375" style="379" customWidth="1"/>
    <col min="1802" max="1802" width="11.140625" style="379" customWidth="1"/>
    <col min="1803" max="2048" width="9.140625" style="379"/>
    <col min="2049" max="2049" width="16" style="379" customWidth="1"/>
    <col min="2050" max="2050" width="85.7109375" style="379" customWidth="1"/>
    <col min="2051" max="2051" width="8.7109375" style="379" customWidth="1"/>
    <col min="2052" max="2052" width="8.42578125" style="379" customWidth="1"/>
    <col min="2053" max="2054" width="9.140625" style="379"/>
    <col min="2055" max="2055" width="9.85546875" style="379" customWidth="1"/>
    <col min="2056" max="2056" width="9.140625" style="379"/>
    <col min="2057" max="2057" width="10.7109375" style="379" customWidth="1"/>
    <col min="2058" max="2058" width="11.140625" style="379" customWidth="1"/>
    <col min="2059" max="2304" width="9.140625" style="379"/>
    <col min="2305" max="2305" width="16" style="379" customWidth="1"/>
    <col min="2306" max="2306" width="85.7109375" style="379" customWidth="1"/>
    <col min="2307" max="2307" width="8.7109375" style="379" customWidth="1"/>
    <col min="2308" max="2308" width="8.42578125" style="379" customWidth="1"/>
    <col min="2309" max="2310" width="9.140625" style="379"/>
    <col min="2311" max="2311" width="9.85546875" style="379" customWidth="1"/>
    <col min="2312" max="2312" width="9.140625" style="379"/>
    <col min="2313" max="2313" width="10.7109375" style="379" customWidth="1"/>
    <col min="2314" max="2314" width="11.140625" style="379" customWidth="1"/>
    <col min="2315" max="2560" width="9.140625" style="379"/>
    <col min="2561" max="2561" width="16" style="379" customWidth="1"/>
    <col min="2562" max="2562" width="85.7109375" style="379" customWidth="1"/>
    <col min="2563" max="2563" width="8.7109375" style="379" customWidth="1"/>
    <col min="2564" max="2564" width="8.42578125" style="379" customWidth="1"/>
    <col min="2565" max="2566" width="9.140625" style="379"/>
    <col min="2567" max="2567" width="9.85546875" style="379" customWidth="1"/>
    <col min="2568" max="2568" width="9.140625" style="379"/>
    <col min="2569" max="2569" width="10.7109375" style="379" customWidth="1"/>
    <col min="2570" max="2570" width="11.140625" style="379" customWidth="1"/>
    <col min="2571" max="2816" width="9.140625" style="379"/>
    <col min="2817" max="2817" width="16" style="379" customWidth="1"/>
    <col min="2818" max="2818" width="85.7109375" style="379" customWidth="1"/>
    <col min="2819" max="2819" width="8.7109375" style="379" customWidth="1"/>
    <col min="2820" max="2820" width="8.42578125" style="379" customWidth="1"/>
    <col min="2821" max="2822" width="9.140625" style="379"/>
    <col min="2823" max="2823" width="9.85546875" style="379" customWidth="1"/>
    <col min="2824" max="2824" width="9.140625" style="379"/>
    <col min="2825" max="2825" width="10.7109375" style="379" customWidth="1"/>
    <col min="2826" max="2826" width="11.140625" style="379" customWidth="1"/>
    <col min="2827" max="3072" width="9.140625" style="379"/>
    <col min="3073" max="3073" width="16" style="379" customWidth="1"/>
    <col min="3074" max="3074" width="85.7109375" style="379" customWidth="1"/>
    <col min="3075" max="3075" width="8.7109375" style="379" customWidth="1"/>
    <col min="3076" max="3076" width="8.42578125" style="379" customWidth="1"/>
    <col min="3077" max="3078" width="9.140625" style="379"/>
    <col min="3079" max="3079" width="9.85546875" style="379" customWidth="1"/>
    <col min="3080" max="3080" width="9.140625" style="379"/>
    <col min="3081" max="3081" width="10.7109375" style="379" customWidth="1"/>
    <col min="3082" max="3082" width="11.140625" style="379" customWidth="1"/>
    <col min="3083" max="3328" width="9.140625" style="379"/>
    <col min="3329" max="3329" width="16" style="379" customWidth="1"/>
    <col min="3330" max="3330" width="85.7109375" style="379" customWidth="1"/>
    <col min="3331" max="3331" width="8.7109375" style="379" customWidth="1"/>
    <col min="3332" max="3332" width="8.42578125" style="379" customWidth="1"/>
    <col min="3333" max="3334" width="9.140625" style="379"/>
    <col min="3335" max="3335" width="9.85546875" style="379" customWidth="1"/>
    <col min="3336" max="3336" width="9.140625" style="379"/>
    <col min="3337" max="3337" width="10.7109375" style="379" customWidth="1"/>
    <col min="3338" max="3338" width="11.140625" style="379" customWidth="1"/>
    <col min="3339" max="3584" width="9.140625" style="379"/>
    <col min="3585" max="3585" width="16" style="379" customWidth="1"/>
    <col min="3586" max="3586" width="85.7109375" style="379" customWidth="1"/>
    <col min="3587" max="3587" width="8.7109375" style="379" customWidth="1"/>
    <col min="3588" max="3588" width="8.42578125" style="379" customWidth="1"/>
    <col min="3589" max="3590" width="9.140625" style="379"/>
    <col min="3591" max="3591" width="9.85546875" style="379" customWidth="1"/>
    <col min="3592" max="3592" width="9.140625" style="379"/>
    <col min="3593" max="3593" width="10.7109375" style="379" customWidth="1"/>
    <col min="3594" max="3594" width="11.140625" style="379" customWidth="1"/>
    <col min="3595" max="3840" width="9.140625" style="379"/>
    <col min="3841" max="3841" width="16" style="379" customWidth="1"/>
    <col min="3842" max="3842" width="85.7109375" style="379" customWidth="1"/>
    <col min="3843" max="3843" width="8.7109375" style="379" customWidth="1"/>
    <col min="3844" max="3844" width="8.42578125" style="379" customWidth="1"/>
    <col min="3845" max="3846" width="9.140625" style="379"/>
    <col min="3847" max="3847" width="9.85546875" style="379" customWidth="1"/>
    <col min="3848" max="3848" width="9.140625" style="379"/>
    <col min="3849" max="3849" width="10.7109375" style="379" customWidth="1"/>
    <col min="3850" max="3850" width="11.140625" style="379" customWidth="1"/>
    <col min="3851" max="4096" width="9.140625" style="379"/>
    <col min="4097" max="4097" width="16" style="379" customWidth="1"/>
    <col min="4098" max="4098" width="85.7109375" style="379" customWidth="1"/>
    <col min="4099" max="4099" width="8.7109375" style="379" customWidth="1"/>
    <col min="4100" max="4100" width="8.42578125" style="379" customWidth="1"/>
    <col min="4101" max="4102" width="9.140625" style="379"/>
    <col min="4103" max="4103" width="9.85546875" style="379" customWidth="1"/>
    <col min="4104" max="4104" width="9.140625" style="379"/>
    <col min="4105" max="4105" width="10.7109375" style="379" customWidth="1"/>
    <col min="4106" max="4106" width="11.140625" style="379" customWidth="1"/>
    <col min="4107" max="4352" width="9.140625" style="379"/>
    <col min="4353" max="4353" width="16" style="379" customWidth="1"/>
    <col min="4354" max="4354" width="85.7109375" style="379" customWidth="1"/>
    <col min="4355" max="4355" width="8.7109375" style="379" customWidth="1"/>
    <col min="4356" max="4356" width="8.42578125" style="379" customWidth="1"/>
    <col min="4357" max="4358" width="9.140625" style="379"/>
    <col min="4359" max="4359" width="9.85546875" style="379" customWidth="1"/>
    <col min="4360" max="4360" width="9.140625" style="379"/>
    <col min="4361" max="4361" width="10.7109375" style="379" customWidth="1"/>
    <col min="4362" max="4362" width="11.140625" style="379" customWidth="1"/>
    <col min="4363" max="4608" width="9.140625" style="379"/>
    <col min="4609" max="4609" width="16" style="379" customWidth="1"/>
    <col min="4610" max="4610" width="85.7109375" style="379" customWidth="1"/>
    <col min="4611" max="4611" width="8.7109375" style="379" customWidth="1"/>
    <col min="4612" max="4612" width="8.42578125" style="379" customWidth="1"/>
    <col min="4613" max="4614" width="9.140625" style="379"/>
    <col min="4615" max="4615" width="9.85546875" style="379" customWidth="1"/>
    <col min="4616" max="4616" width="9.140625" style="379"/>
    <col min="4617" max="4617" width="10.7109375" style="379" customWidth="1"/>
    <col min="4618" max="4618" width="11.140625" style="379" customWidth="1"/>
    <col min="4619" max="4864" width="9.140625" style="379"/>
    <col min="4865" max="4865" width="16" style="379" customWidth="1"/>
    <col min="4866" max="4866" width="85.7109375" style="379" customWidth="1"/>
    <col min="4867" max="4867" width="8.7109375" style="379" customWidth="1"/>
    <col min="4868" max="4868" width="8.42578125" style="379" customWidth="1"/>
    <col min="4869" max="4870" width="9.140625" style="379"/>
    <col min="4871" max="4871" width="9.85546875" style="379" customWidth="1"/>
    <col min="4872" max="4872" width="9.140625" style="379"/>
    <col min="4873" max="4873" width="10.7109375" style="379" customWidth="1"/>
    <col min="4874" max="4874" width="11.140625" style="379" customWidth="1"/>
    <col min="4875" max="5120" width="9.140625" style="379"/>
    <col min="5121" max="5121" width="16" style="379" customWidth="1"/>
    <col min="5122" max="5122" width="85.7109375" style="379" customWidth="1"/>
    <col min="5123" max="5123" width="8.7109375" style="379" customWidth="1"/>
    <col min="5124" max="5124" width="8.42578125" style="379" customWidth="1"/>
    <col min="5125" max="5126" width="9.140625" style="379"/>
    <col min="5127" max="5127" width="9.85546875" style="379" customWidth="1"/>
    <col min="5128" max="5128" width="9.140625" style="379"/>
    <col min="5129" max="5129" width="10.7109375" style="379" customWidth="1"/>
    <col min="5130" max="5130" width="11.140625" style="379" customWidth="1"/>
    <col min="5131" max="5376" width="9.140625" style="379"/>
    <col min="5377" max="5377" width="16" style="379" customWidth="1"/>
    <col min="5378" max="5378" width="85.7109375" style="379" customWidth="1"/>
    <col min="5379" max="5379" width="8.7109375" style="379" customWidth="1"/>
    <col min="5380" max="5380" width="8.42578125" style="379" customWidth="1"/>
    <col min="5381" max="5382" width="9.140625" style="379"/>
    <col min="5383" max="5383" width="9.85546875" style="379" customWidth="1"/>
    <col min="5384" max="5384" width="9.140625" style="379"/>
    <col min="5385" max="5385" width="10.7109375" style="379" customWidth="1"/>
    <col min="5386" max="5386" width="11.140625" style="379" customWidth="1"/>
    <col min="5387" max="5632" width="9.140625" style="379"/>
    <col min="5633" max="5633" width="16" style="379" customWidth="1"/>
    <col min="5634" max="5634" width="85.7109375" style="379" customWidth="1"/>
    <col min="5635" max="5635" width="8.7109375" style="379" customWidth="1"/>
    <col min="5636" max="5636" width="8.42578125" style="379" customWidth="1"/>
    <col min="5637" max="5638" width="9.140625" style="379"/>
    <col min="5639" max="5639" width="9.85546875" style="379" customWidth="1"/>
    <col min="5640" max="5640" width="9.140625" style="379"/>
    <col min="5641" max="5641" width="10.7109375" style="379" customWidth="1"/>
    <col min="5642" max="5642" width="11.140625" style="379" customWidth="1"/>
    <col min="5643" max="5888" width="9.140625" style="379"/>
    <col min="5889" max="5889" width="16" style="379" customWidth="1"/>
    <col min="5890" max="5890" width="85.7109375" style="379" customWidth="1"/>
    <col min="5891" max="5891" width="8.7109375" style="379" customWidth="1"/>
    <col min="5892" max="5892" width="8.42578125" style="379" customWidth="1"/>
    <col min="5893" max="5894" width="9.140625" style="379"/>
    <col min="5895" max="5895" width="9.85546875" style="379" customWidth="1"/>
    <col min="5896" max="5896" width="9.140625" style="379"/>
    <col min="5897" max="5897" width="10.7109375" style="379" customWidth="1"/>
    <col min="5898" max="5898" width="11.140625" style="379" customWidth="1"/>
    <col min="5899" max="6144" width="9.140625" style="379"/>
    <col min="6145" max="6145" width="16" style="379" customWidth="1"/>
    <col min="6146" max="6146" width="85.7109375" style="379" customWidth="1"/>
    <col min="6147" max="6147" width="8.7109375" style="379" customWidth="1"/>
    <col min="6148" max="6148" width="8.42578125" style="379" customWidth="1"/>
    <col min="6149" max="6150" width="9.140625" style="379"/>
    <col min="6151" max="6151" width="9.85546875" style="379" customWidth="1"/>
    <col min="6152" max="6152" width="9.140625" style="379"/>
    <col min="6153" max="6153" width="10.7109375" style="379" customWidth="1"/>
    <col min="6154" max="6154" width="11.140625" style="379" customWidth="1"/>
    <col min="6155" max="6400" width="9.140625" style="379"/>
    <col min="6401" max="6401" width="16" style="379" customWidth="1"/>
    <col min="6402" max="6402" width="85.7109375" style="379" customWidth="1"/>
    <col min="6403" max="6403" width="8.7109375" style="379" customWidth="1"/>
    <col min="6404" max="6404" width="8.42578125" style="379" customWidth="1"/>
    <col min="6405" max="6406" width="9.140625" style="379"/>
    <col min="6407" max="6407" width="9.85546875" style="379" customWidth="1"/>
    <col min="6408" max="6408" width="9.140625" style="379"/>
    <col min="6409" max="6409" width="10.7109375" style="379" customWidth="1"/>
    <col min="6410" max="6410" width="11.140625" style="379" customWidth="1"/>
    <col min="6411" max="6656" width="9.140625" style="379"/>
    <col min="6657" max="6657" width="16" style="379" customWidth="1"/>
    <col min="6658" max="6658" width="85.7109375" style="379" customWidth="1"/>
    <col min="6659" max="6659" width="8.7109375" style="379" customWidth="1"/>
    <col min="6660" max="6660" width="8.42578125" style="379" customWidth="1"/>
    <col min="6661" max="6662" width="9.140625" style="379"/>
    <col min="6663" max="6663" width="9.85546875" style="379" customWidth="1"/>
    <col min="6664" max="6664" width="9.140625" style="379"/>
    <col min="6665" max="6665" width="10.7109375" style="379" customWidth="1"/>
    <col min="6666" max="6666" width="11.140625" style="379" customWidth="1"/>
    <col min="6667" max="6912" width="9.140625" style="379"/>
    <col min="6913" max="6913" width="16" style="379" customWidth="1"/>
    <col min="6914" max="6914" width="85.7109375" style="379" customWidth="1"/>
    <col min="6915" max="6915" width="8.7109375" style="379" customWidth="1"/>
    <col min="6916" max="6916" width="8.42578125" style="379" customWidth="1"/>
    <col min="6917" max="6918" width="9.140625" style="379"/>
    <col min="6919" max="6919" width="9.85546875" style="379" customWidth="1"/>
    <col min="6920" max="6920" width="9.140625" style="379"/>
    <col min="6921" max="6921" width="10.7109375" style="379" customWidth="1"/>
    <col min="6922" max="6922" width="11.140625" style="379" customWidth="1"/>
    <col min="6923" max="7168" width="9.140625" style="379"/>
    <col min="7169" max="7169" width="16" style="379" customWidth="1"/>
    <col min="7170" max="7170" width="85.7109375" style="379" customWidth="1"/>
    <col min="7171" max="7171" width="8.7109375" style="379" customWidth="1"/>
    <col min="7172" max="7172" width="8.42578125" style="379" customWidth="1"/>
    <col min="7173" max="7174" width="9.140625" style="379"/>
    <col min="7175" max="7175" width="9.85546875" style="379" customWidth="1"/>
    <col min="7176" max="7176" width="9.140625" style="379"/>
    <col min="7177" max="7177" width="10.7109375" style="379" customWidth="1"/>
    <col min="7178" max="7178" width="11.140625" style="379" customWidth="1"/>
    <col min="7179" max="7424" width="9.140625" style="379"/>
    <col min="7425" max="7425" width="16" style="379" customWidth="1"/>
    <col min="7426" max="7426" width="85.7109375" style="379" customWidth="1"/>
    <col min="7427" max="7427" width="8.7109375" style="379" customWidth="1"/>
    <col min="7428" max="7428" width="8.42578125" style="379" customWidth="1"/>
    <col min="7429" max="7430" width="9.140625" style="379"/>
    <col min="7431" max="7431" width="9.85546875" style="379" customWidth="1"/>
    <col min="7432" max="7432" width="9.140625" style="379"/>
    <col min="7433" max="7433" width="10.7109375" style="379" customWidth="1"/>
    <col min="7434" max="7434" width="11.140625" style="379" customWidth="1"/>
    <col min="7435" max="7680" width="9.140625" style="379"/>
    <col min="7681" max="7681" width="16" style="379" customWidth="1"/>
    <col min="7682" max="7682" width="85.7109375" style="379" customWidth="1"/>
    <col min="7683" max="7683" width="8.7109375" style="379" customWidth="1"/>
    <col min="7684" max="7684" width="8.42578125" style="379" customWidth="1"/>
    <col min="7685" max="7686" width="9.140625" style="379"/>
    <col min="7687" max="7687" width="9.85546875" style="379" customWidth="1"/>
    <col min="7688" max="7688" width="9.140625" style="379"/>
    <col min="7689" max="7689" width="10.7109375" style="379" customWidth="1"/>
    <col min="7690" max="7690" width="11.140625" style="379" customWidth="1"/>
    <col min="7691" max="7936" width="9.140625" style="379"/>
    <col min="7937" max="7937" width="16" style="379" customWidth="1"/>
    <col min="7938" max="7938" width="85.7109375" style="379" customWidth="1"/>
    <col min="7939" max="7939" width="8.7109375" style="379" customWidth="1"/>
    <col min="7940" max="7940" width="8.42578125" style="379" customWidth="1"/>
    <col min="7941" max="7942" width="9.140625" style="379"/>
    <col min="7943" max="7943" width="9.85546875" style="379" customWidth="1"/>
    <col min="7944" max="7944" width="9.140625" style="379"/>
    <col min="7945" max="7945" width="10.7109375" style="379" customWidth="1"/>
    <col min="7946" max="7946" width="11.140625" style="379" customWidth="1"/>
    <col min="7947" max="8192" width="9.140625" style="379"/>
    <col min="8193" max="8193" width="16" style="379" customWidth="1"/>
    <col min="8194" max="8194" width="85.7109375" style="379" customWidth="1"/>
    <col min="8195" max="8195" width="8.7109375" style="379" customWidth="1"/>
    <col min="8196" max="8196" width="8.42578125" style="379" customWidth="1"/>
    <col min="8197" max="8198" width="9.140625" style="379"/>
    <col min="8199" max="8199" width="9.85546875" style="379" customWidth="1"/>
    <col min="8200" max="8200" width="9.140625" style="379"/>
    <col min="8201" max="8201" width="10.7109375" style="379" customWidth="1"/>
    <col min="8202" max="8202" width="11.140625" style="379" customWidth="1"/>
    <col min="8203" max="8448" width="9.140625" style="379"/>
    <col min="8449" max="8449" width="16" style="379" customWidth="1"/>
    <col min="8450" max="8450" width="85.7109375" style="379" customWidth="1"/>
    <col min="8451" max="8451" width="8.7109375" style="379" customWidth="1"/>
    <col min="8452" max="8452" width="8.42578125" style="379" customWidth="1"/>
    <col min="8453" max="8454" width="9.140625" style="379"/>
    <col min="8455" max="8455" width="9.85546875" style="379" customWidth="1"/>
    <col min="8456" max="8456" width="9.140625" style="379"/>
    <col min="8457" max="8457" width="10.7109375" style="379" customWidth="1"/>
    <col min="8458" max="8458" width="11.140625" style="379" customWidth="1"/>
    <col min="8459" max="8704" width="9.140625" style="379"/>
    <col min="8705" max="8705" width="16" style="379" customWidth="1"/>
    <col min="8706" max="8706" width="85.7109375" style="379" customWidth="1"/>
    <col min="8707" max="8707" width="8.7109375" style="379" customWidth="1"/>
    <col min="8708" max="8708" width="8.42578125" style="379" customWidth="1"/>
    <col min="8709" max="8710" width="9.140625" style="379"/>
    <col min="8711" max="8711" width="9.85546875" style="379" customWidth="1"/>
    <col min="8712" max="8712" width="9.140625" style="379"/>
    <col min="8713" max="8713" width="10.7109375" style="379" customWidth="1"/>
    <col min="8714" max="8714" width="11.140625" style="379" customWidth="1"/>
    <col min="8715" max="8960" width="9.140625" style="379"/>
    <col min="8961" max="8961" width="16" style="379" customWidth="1"/>
    <col min="8962" max="8962" width="85.7109375" style="379" customWidth="1"/>
    <col min="8963" max="8963" width="8.7109375" style="379" customWidth="1"/>
    <col min="8964" max="8964" width="8.42578125" style="379" customWidth="1"/>
    <col min="8965" max="8966" width="9.140625" style="379"/>
    <col min="8967" max="8967" width="9.85546875" style="379" customWidth="1"/>
    <col min="8968" max="8968" width="9.140625" style="379"/>
    <col min="8969" max="8969" width="10.7109375" style="379" customWidth="1"/>
    <col min="8970" max="8970" width="11.140625" style="379" customWidth="1"/>
    <col min="8971" max="9216" width="9.140625" style="379"/>
    <col min="9217" max="9217" width="16" style="379" customWidth="1"/>
    <col min="9218" max="9218" width="85.7109375" style="379" customWidth="1"/>
    <col min="9219" max="9219" width="8.7109375" style="379" customWidth="1"/>
    <col min="9220" max="9220" width="8.42578125" style="379" customWidth="1"/>
    <col min="9221" max="9222" width="9.140625" style="379"/>
    <col min="9223" max="9223" width="9.85546875" style="379" customWidth="1"/>
    <col min="9224" max="9224" width="9.140625" style="379"/>
    <col min="9225" max="9225" width="10.7109375" style="379" customWidth="1"/>
    <col min="9226" max="9226" width="11.140625" style="379" customWidth="1"/>
    <col min="9227" max="9472" width="9.140625" style="379"/>
    <col min="9473" max="9473" width="16" style="379" customWidth="1"/>
    <col min="9474" max="9474" width="85.7109375" style="379" customWidth="1"/>
    <col min="9475" max="9475" width="8.7109375" style="379" customWidth="1"/>
    <col min="9476" max="9476" width="8.42578125" style="379" customWidth="1"/>
    <col min="9477" max="9478" width="9.140625" style="379"/>
    <col min="9479" max="9479" width="9.85546875" style="379" customWidth="1"/>
    <col min="9480" max="9480" width="9.140625" style="379"/>
    <col min="9481" max="9481" width="10.7109375" style="379" customWidth="1"/>
    <col min="9482" max="9482" width="11.140625" style="379" customWidth="1"/>
    <col min="9483" max="9728" width="9.140625" style="379"/>
    <col min="9729" max="9729" width="16" style="379" customWidth="1"/>
    <col min="9730" max="9730" width="85.7109375" style="379" customWidth="1"/>
    <col min="9731" max="9731" width="8.7109375" style="379" customWidth="1"/>
    <col min="9732" max="9732" width="8.42578125" style="379" customWidth="1"/>
    <col min="9733" max="9734" width="9.140625" style="379"/>
    <col min="9735" max="9735" width="9.85546875" style="379" customWidth="1"/>
    <col min="9736" max="9736" width="9.140625" style="379"/>
    <col min="9737" max="9737" width="10.7109375" style="379" customWidth="1"/>
    <col min="9738" max="9738" width="11.140625" style="379" customWidth="1"/>
    <col min="9739" max="9984" width="9.140625" style="379"/>
    <col min="9985" max="9985" width="16" style="379" customWidth="1"/>
    <col min="9986" max="9986" width="85.7109375" style="379" customWidth="1"/>
    <col min="9987" max="9987" width="8.7109375" style="379" customWidth="1"/>
    <col min="9988" max="9988" width="8.42578125" style="379" customWidth="1"/>
    <col min="9989" max="9990" width="9.140625" style="379"/>
    <col min="9991" max="9991" width="9.85546875" style="379" customWidth="1"/>
    <col min="9992" max="9992" width="9.140625" style="379"/>
    <col min="9993" max="9993" width="10.7109375" style="379" customWidth="1"/>
    <col min="9994" max="9994" width="11.140625" style="379" customWidth="1"/>
    <col min="9995" max="10240" width="9.140625" style="379"/>
    <col min="10241" max="10241" width="16" style="379" customWidth="1"/>
    <col min="10242" max="10242" width="85.7109375" style="379" customWidth="1"/>
    <col min="10243" max="10243" width="8.7109375" style="379" customWidth="1"/>
    <col min="10244" max="10244" width="8.42578125" style="379" customWidth="1"/>
    <col min="10245" max="10246" width="9.140625" style="379"/>
    <col min="10247" max="10247" width="9.85546875" style="379" customWidth="1"/>
    <col min="10248" max="10248" width="9.140625" style="379"/>
    <col min="10249" max="10249" width="10.7109375" style="379" customWidth="1"/>
    <col min="10250" max="10250" width="11.140625" style="379" customWidth="1"/>
    <col min="10251" max="10496" width="9.140625" style="379"/>
    <col min="10497" max="10497" width="16" style="379" customWidth="1"/>
    <col min="10498" max="10498" width="85.7109375" style="379" customWidth="1"/>
    <col min="10499" max="10499" width="8.7109375" style="379" customWidth="1"/>
    <col min="10500" max="10500" width="8.42578125" style="379" customWidth="1"/>
    <col min="10501" max="10502" width="9.140625" style="379"/>
    <col min="10503" max="10503" width="9.85546875" style="379" customWidth="1"/>
    <col min="10504" max="10504" width="9.140625" style="379"/>
    <col min="10505" max="10505" width="10.7109375" style="379" customWidth="1"/>
    <col min="10506" max="10506" width="11.140625" style="379" customWidth="1"/>
    <col min="10507" max="10752" width="9.140625" style="379"/>
    <col min="10753" max="10753" width="16" style="379" customWidth="1"/>
    <col min="10754" max="10754" width="85.7109375" style="379" customWidth="1"/>
    <col min="10755" max="10755" width="8.7109375" style="379" customWidth="1"/>
    <col min="10756" max="10756" width="8.42578125" style="379" customWidth="1"/>
    <col min="10757" max="10758" width="9.140625" style="379"/>
    <col min="10759" max="10759" width="9.85546875" style="379" customWidth="1"/>
    <col min="10760" max="10760" width="9.140625" style="379"/>
    <col min="10761" max="10761" width="10.7109375" style="379" customWidth="1"/>
    <col min="10762" max="10762" width="11.140625" style="379" customWidth="1"/>
    <col min="10763" max="11008" width="9.140625" style="379"/>
    <col min="11009" max="11009" width="16" style="379" customWidth="1"/>
    <col min="11010" max="11010" width="85.7109375" style="379" customWidth="1"/>
    <col min="11011" max="11011" width="8.7109375" style="379" customWidth="1"/>
    <col min="11012" max="11012" width="8.42578125" style="379" customWidth="1"/>
    <col min="11013" max="11014" width="9.140625" style="379"/>
    <col min="11015" max="11015" width="9.85546875" style="379" customWidth="1"/>
    <col min="11016" max="11016" width="9.140625" style="379"/>
    <col min="11017" max="11017" width="10.7109375" style="379" customWidth="1"/>
    <col min="11018" max="11018" width="11.140625" style="379" customWidth="1"/>
    <col min="11019" max="11264" width="9.140625" style="379"/>
    <col min="11265" max="11265" width="16" style="379" customWidth="1"/>
    <col min="11266" max="11266" width="85.7109375" style="379" customWidth="1"/>
    <col min="11267" max="11267" width="8.7109375" style="379" customWidth="1"/>
    <col min="11268" max="11268" width="8.42578125" style="379" customWidth="1"/>
    <col min="11269" max="11270" width="9.140625" style="379"/>
    <col min="11271" max="11271" width="9.85546875" style="379" customWidth="1"/>
    <col min="11272" max="11272" width="9.140625" style="379"/>
    <col min="11273" max="11273" width="10.7109375" style="379" customWidth="1"/>
    <col min="11274" max="11274" width="11.140625" style="379" customWidth="1"/>
    <col min="11275" max="11520" width="9.140625" style="379"/>
    <col min="11521" max="11521" width="16" style="379" customWidth="1"/>
    <col min="11522" max="11522" width="85.7109375" style="379" customWidth="1"/>
    <col min="11523" max="11523" width="8.7109375" style="379" customWidth="1"/>
    <col min="11524" max="11524" width="8.42578125" style="379" customWidth="1"/>
    <col min="11525" max="11526" width="9.140625" style="379"/>
    <col min="11527" max="11527" width="9.85546875" style="379" customWidth="1"/>
    <col min="11528" max="11528" width="9.140625" style="379"/>
    <col min="11529" max="11529" width="10.7109375" style="379" customWidth="1"/>
    <col min="11530" max="11530" width="11.140625" style="379" customWidth="1"/>
    <col min="11531" max="11776" width="9.140625" style="379"/>
    <col min="11777" max="11777" width="16" style="379" customWidth="1"/>
    <col min="11778" max="11778" width="85.7109375" style="379" customWidth="1"/>
    <col min="11779" max="11779" width="8.7109375" style="379" customWidth="1"/>
    <col min="11780" max="11780" width="8.42578125" style="379" customWidth="1"/>
    <col min="11781" max="11782" width="9.140625" style="379"/>
    <col min="11783" max="11783" width="9.85546875" style="379" customWidth="1"/>
    <col min="11784" max="11784" width="9.140625" style="379"/>
    <col min="11785" max="11785" width="10.7109375" style="379" customWidth="1"/>
    <col min="11786" max="11786" width="11.140625" style="379" customWidth="1"/>
    <col min="11787" max="12032" width="9.140625" style="379"/>
    <col min="12033" max="12033" width="16" style="379" customWidth="1"/>
    <col min="12034" max="12034" width="85.7109375" style="379" customWidth="1"/>
    <col min="12035" max="12035" width="8.7109375" style="379" customWidth="1"/>
    <col min="12036" max="12036" width="8.42578125" style="379" customWidth="1"/>
    <col min="12037" max="12038" width="9.140625" style="379"/>
    <col min="12039" max="12039" width="9.85546875" style="379" customWidth="1"/>
    <col min="12040" max="12040" width="9.140625" style="379"/>
    <col min="12041" max="12041" width="10.7109375" style="379" customWidth="1"/>
    <col min="12042" max="12042" width="11.140625" style="379" customWidth="1"/>
    <col min="12043" max="12288" width="9.140625" style="379"/>
    <col min="12289" max="12289" width="16" style="379" customWidth="1"/>
    <col min="12290" max="12290" width="85.7109375" style="379" customWidth="1"/>
    <col min="12291" max="12291" width="8.7109375" style="379" customWidth="1"/>
    <col min="12292" max="12292" width="8.42578125" style="379" customWidth="1"/>
    <col min="12293" max="12294" width="9.140625" style="379"/>
    <col min="12295" max="12295" width="9.85546875" style="379" customWidth="1"/>
    <col min="12296" max="12296" width="9.140625" style="379"/>
    <col min="12297" max="12297" width="10.7109375" style="379" customWidth="1"/>
    <col min="12298" max="12298" width="11.140625" style="379" customWidth="1"/>
    <col min="12299" max="12544" width="9.140625" style="379"/>
    <col min="12545" max="12545" width="16" style="379" customWidth="1"/>
    <col min="12546" max="12546" width="85.7109375" style="379" customWidth="1"/>
    <col min="12547" max="12547" width="8.7109375" style="379" customWidth="1"/>
    <col min="12548" max="12548" width="8.42578125" style="379" customWidth="1"/>
    <col min="12549" max="12550" width="9.140625" style="379"/>
    <col min="12551" max="12551" width="9.85546875" style="379" customWidth="1"/>
    <col min="12552" max="12552" width="9.140625" style="379"/>
    <col min="12553" max="12553" width="10.7109375" style="379" customWidth="1"/>
    <col min="12554" max="12554" width="11.140625" style="379" customWidth="1"/>
    <col min="12555" max="12800" width="9.140625" style="379"/>
    <col min="12801" max="12801" width="16" style="379" customWidth="1"/>
    <col min="12802" max="12802" width="85.7109375" style="379" customWidth="1"/>
    <col min="12803" max="12803" width="8.7109375" style="379" customWidth="1"/>
    <col min="12804" max="12804" width="8.42578125" style="379" customWidth="1"/>
    <col min="12805" max="12806" width="9.140625" style="379"/>
    <col min="12807" max="12807" width="9.85546875" style="379" customWidth="1"/>
    <col min="12808" max="12808" width="9.140625" style="379"/>
    <col min="12809" max="12809" width="10.7109375" style="379" customWidth="1"/>
    <col min="12810" max="12810" width="11.140625" style="379" customWidth="1"/>
    <col min="12811" max="13056" width="9.140625" style="379"/>
    <col min="13057" max="13057" width="16" style="379" customWidth="1"/>
    <col min="13058" max="13058" width="85.7109375" style="379" customWidth="1"/>
    <col min="13059" max="13059" width="8.7109375" style="379" customWidth="1"/>
    <col min="13060" max="13060" width="8.42578125" style="379" customWidth="1"/>
    <col min="13061" max="13062" width="9.140625" style="379"/>
    <col min="13063" max="13063" width="9.85546875" style="379" customWidth="1"/>
    <col min="13064" max="13064" width="9.140625" style="379"/>
    <col min="13065" max="13065" width="10.7109375" style="379" customWidth="1"/>
    <col min="13066" max="13066" width="11.140625" style="379" customWidth="1"/>
    <col min="13067" max="13312" width="9.140625" style="379"/>
    <col min="13313" max="13313" width="16" style="379" customWidth="1"/>
    <col min="13314" max="13314" width="85.7109375" style="379" customWidth="1"/>
    <col min="13315" max="13315" width="8.7109375" style="379" customWidth="1"/>
    <col min="13316" max="13316" width="8.42578125" style="379" customWidth="1"/>
    <col min="13317" max="13318" width="9.140625" style="379"/>
    <col min="13319" max="13319" width="9.85546875" style="379" customWidth="1"/>
    <col min="13320" max="13320" width="9.140625" style="379"/>
    <col min="13321" max="13321" width="10.7109375" style="379" customWidth="1"/>
    <col min="13322" max="13322" width="11.140625" style="379" customWidth="1"/>
    <col min="13323" max="13568" width="9.140625" style="379"/>
    <col min="13569" max="13569" width="16" style="379" customWidth="1"/>
    <col min="13570" max="13570" width="85.7109375" style="379" customWidth="1"/>
    <col min="13571" max="13571" width="8.7109375" style="379" customWidth="1"/>
    <col min="13572" max="13572" width="8.42578125" style="379" customWidth="1"/>
    <col min="13573" max="13574" width="9.140625" style="379"/>
    <col min="13575" max="13575" width="9.85546875" style="379" customWidth="1"/>
    <col min="13576" max="13576" width="9.140625" style="379"/>
    <col min="13577" max="13577" width="10.7109375" style="379" customWidth="1"/>
    <col min="13578" max="13578" width="11.140625" style="379" customWidth="1"/>
    <col min="13579" max="13824" width="9.140625" style="379"/>
    <col min="13825" max="13825" width="16" style="379" customWidth="1"/>
    <col min="13826" max="13826" width="85.7109375" style="379" customWidth="1"/>
    <col min="13827" max="13827" width="8.7109375" style="379" customWidth="1"/>
    <col min="13828" max="13828" width="8.42578125" style="379" customWidth="1"/>
    <col min="13829" max="13830" width="9.140625" style="379"/>
    <col min="13831" max="13831" width="9.85546875" style="379" customWidth="1"/>
    <col min="13832" max="13832" width="9.140625" style="379"/>
    <col min="13833" max="13833" width="10.7109375" style="379" customWidth="1"/>
    <col min="13834" max="13834" width="11.140625" style="379" customWidth="1"/>
    <col min="13835" max="14080" width="9.140625" style="379"/>
    <col min="14081" max="14081" width="16" style="379" customWidth="1"/>
    <col min="14082" max="14082" width="85.7109375" style="379" customWidth="1"/>
    <col min="14083" max="14083" width="8.7109375" style="379" customWidth="1"/>
    <col min="14084" max="14084" width="8.42578125" style="379" customWidth="1"/>
    <col min="14085" max="14086" width="9.140625" style="379"/>
    <col min="14087" max="14087" width="9.85546875" style="379" customWidth="1"/>
    <col min="14088" max="14088" width="9.140625" style="379"/>
    <col min="14089" max="14089" width="10.7109375" style="379" customWidth="1"/>
    <col min="14090" max="14090" width="11.140625" style="379" customWidth="1"/>
    <col min="14091" max="14336" width="9.140625" style="379"/>
    <col min="14337" max="14337" width="16" style="379" customWidth="1"/>
    <col min="14338" max="14338" width="85.7109375" style="379" customWidth="1"/>
    <col min="14339" max="14339" width="8.7109375" style="379" customWidth="1"/>
    <col min="14340" max="14340" width="8.42578125" style="379" customWidth="1"/>
    <col min="14341" max="14342" width="9.140625" style="379"/>
    <col min="14343" max="14343" width="9.85546875" style="379" customWidth="1"/>
    <col min="14344" max="14344" width="9.140625" style="379"/>
    <col min="14345" max="14345" width="10.7109375" style="379" customWidth="1"/>
    <col min="14346" max="14346" width="11.140625" style="379" customWidth="1"/>
    <col min="14347" max="14592" width="9.140625" style="379"/>
    <col min="14593" max="14593" width="16" style="379" customWidth="1"/>
    <col min="14594" max="14594" width="85.7109375" style="379" customWidth="1"/>
    <col min="14595" max="14595" width="8.7109375" style="379" customWidth="1"/>
    <col min="14596" max="14596" width="8.42578125" style="379" customWidth="1"/>
    <col min="14597" max="14598" width="9.140625" style="379"/>
    <col min="14599" max="14599" width="9.85546875" style="379" customWidth="1"/>
    <col min="14600" max="14600" width="9.140625" style="379"/>
    <col min="14601" max="14601" width="10.7109375" style="379" customWidth="1"/>
    <col min="14602" max="14602" width="11.140625" style="379" customWidth="1"/>
    <col min="14603" max="14848" width="9.140625" style="379"/>
    <col min="14849" max="14849" width="16" style="379" customWidth="1"/>
    <col min="14850" max="14850" width="85.7109375" style="379" customWidth="1"/>
    <col min="14851" max="14851" width="8.7109375" style="379" customWidth="1"/>
    <col min="14852" max="14852" width="8.42578125" style="379" customWidth="1"/>
    <col min="14853" max="14854" width="9.140625" style="379"/>
    <col min="14855" max="14855" width="9.85546875" style="379" customWidth="1"/>
    <col min="14856" max="14856" width="9.140625" style="379"/>
    <col min="14857" max="14857" width="10.7109375" style="379" customWidth="1"/>
    <col min="14858" max="14858" width="11.140625" style="379" customWidth="1"/>
    <col min="14859" max="15104" width="9.140625" style="379"/>
    <col min="15105" max="15105" width="16" style="379" customWidth="1"/>
    <col min="15106" max="15106" width="85.7109375" style="379" customWidth="1"/>
    <col min="15107" max="15107" width="8.7109375" style="379" customWidth="1"/>
    <col min="15108" max="15108" width="8.42578125" style="379" customWidth="1"/>
    <col min="15109" max="15110" width="9.140625" style="379"/>
    <col min="15111" max="15111" width="9.85546875" style="379" customWidth="1"/>
    <col min="15112" max="15112" width="9.140625" style="379"/>
    <col min="15113" max="15113" width="10.7109375" style="379" customWidth="1"/>
    <col min="15114" max="15114" width="11.140625" style="379" customWidth="1"/>
    <col min="15115" max="15360" width="9.140625" style="379"/>
    <col min="15361" max="15361" width="16" style="379" customWidth="1"/>
    <col min="15362" max="15362" width="85.7109375" style="379" customWidth="1"/>
    <col min="15363" max="15363" width="8.7109375" style="379" customWidth="1"/>
    <col min="15364" max="15364" width="8.42578125" style="379" customWidth="1"/>
    <col min="15365" max="15366" width="9.140625" style="379"/>
    <col min="15367" max="15367" width="9.85546875" style="379" customWidth="1"/>
    <col min="15368" max="15368" width="9.140625" style="379"/>
    <col min="15369" max="15369" width="10.7109375" style="379" customWidth="1"/>
    <col min="15370" max="15370" width="11.140625" style="379" customWidth="1"/>
    <col min="15371" max="15616" width="9.140625" style="379"/>
    <col min="15617" max="15617" width="16" style="379" customWidth="1"/>
    <col min="15618" max="15618" width="85.7109375" style="379" customWidth="1"/>
    <col min="15619" max="15619" width="8.7109375" style="379" customWidth="1"/>
    <col min="15620" max="15620" width="8.42578125" style="379" customWidth="1"/>
    <col min="15621" max="15622" width="9.140625" style="379"/>
    <col min="15623" max="15623" width="9.85546875" style="379" customWidth="1"/>
    <col min="15624" max="15624" width="9.140625" style="379"/>
    <col min="15625" max="15625" width="10.7109375" style="379" customWidth="1"/>
    <col min="15626" max="15626" width="11.140625" style="379" customWidth="1"/>
    <col min="15627" max="15872" width="9.140625" style="379"/>
    <col min="15873" max="15873" width="16" style="379" customWidth="1"/>
    <col min="15874" max="15874" width="85.7109375" style="379" customWidth="1"/>
    <col min="15875" max="15875" width="8.7109375" style="379" customWidth="1"/>
    <col min="15876" max="15876" width="8.42578125" style="379" customWidth="1"/>
    <col min="15877" max="15878" width="9.140625" style="379"/>
    <col min="15879" max="15879" width="9.85546875" style="379" customWidth="1"/>
    <col min="15880" max="15880" width="9.140625" style="379"/>
    <col min="15881" max="15881" width="10.7109375" style="379" customWidth="1"/>
    <col min="15882" max="15882" width="11.140625" style="379" customWidth="1"/>
    <col min="15883" max="16128" width="9.140625" style="379"/>
    <col min="16129" max="16129" width="16" style="379" customWidth="1"/>
    <col min="16130" max="16130" width="85.7109375" style="379" customWidth="1"/>
    <col min="16131" max="16131" width="8.7109375" style="379" customWidth="1"/>
    <col min="16132" max="16132" width="8.42578125" style="379" customWidth="1"/>
    <col min="16133" max="16134" width="9.140625" style="379"/>
    <col min="16135" max="16135" width="9.85546875" style="379" customWidth="1"/>
    <col min="16136" max="16136" width="9.140625" style="379"/>
    <col min="16137" max="16137" width="10.7109375" style="379" customWidth="1"/>
    <col min="16138" max="16138" width="11.140625" style="379" customWidth="1"/>
    <col min="16139" max="16384" width="9.140625" style="379"/>
  </cols>
  <sheetData>
    <row r="1" spans="1:10" ht="60" x14ac:dyDescent="0.2">
      <c r="A1" s="471" t="s">
        <v>542</v>
      </c>
      <c r="B1" s="471" t="s">
        <v>858</v>
      </c>
      <c r="C1" s="373" t="s">
        <v>1</v>
      </c>
      <c r="D1" s="374" t="s">
        <v>3</v>
      </c>
      <c r="E1" s="375" t="s">
        <v>4</v>
      </c>
      <c r="F1" s="375" t="s">
        <v>5</v>
      </c>
      <c r="G1" s="375" t="s">
        <v>859</v>
      </c>
      <c r="H1" s="376" t="s">
        <v>860</v>
      </c>
      <c r="I1" s="377" t="s">
        <v>544</v>
      </c>
      <c r="J1" s="378" t="s">
        <v>861</v>
      </c>
    </row>
    <row r="2" spans="1:10" ht="21" x14ac:dyDescent="0.35">
      <c r="A2" s="607" t="s">
        <v>262</v>
      </c>
      <c r="B2" s="608"/>
      <c r="C2" s="608"/>
      <c r="D2" s="608"/>
      <c r="E2" s="608"/>
      <c r="F2" s="608"/>
      <c r="G2" s="608"/>
      <c r="H2" s="608"/>
      <c r="I2" s="608"/>
      <c r="J2" s="609"/>
    </row>
    <row r="3" spans="1:10" x14ac:dyDescent="0.2">
      <c r="A3" s="384" t="s">
        <v>1142</v>
      </c>
      <c r="B3" s="385"/>
      <c r="C3" s="385"/>
      <c r="D3" s="385"/>
      <c r="E3" s="385"/>
      <c r="F3" s="385"/>
      <c r="G3" s="385"/>
      <c r="H3" s="385"/>
      <c r="I3" s="386"/>
      <c r="J3" s="387" t="str">
        <f>IFERROR(I3/#REF!-1,"")</f>
        <v/>
      </c>
    </row>
    <row r="4" spans="1:10" x14ac:dyDescent="0.2">
      <c r="A4" s="388" t="s">
        <v>1143</v>
      </c>
      <c r="B4" s="389"/>
      <c r="C4" s="389"/>
      <c r="D4" s="389"/>
      <c r="E4" s="389"/>
      <c r="F4" s="389"/>
      <c r="G4" s="389"/>
      <c r="H4" s="389"/>
      <c r="I4" s="390"/>
      <c r="J4" s="391" t="str">
        <f>IFERROR(I4/#REF!-1,"")</f>
        <v/>
      </c>
    </row>
    <row r="5" spans="1:10" x14ac:dyDescent="0.2">
      <c r="A5" s="472" t="s">
        <v>1144</v>
      </c>
      <c r="B5" s="410" t="s">
        <v>1145</v>
      </c>
      <c r="C5" s="393" t="s">
        <v>880</v>
      </c>
      <c r="D5" s="393">
        <v>1000</v>
      </c>
      <c r="E5" s="393">
        <v>190</v>
      </c>
      <c r="F5" s="393">
        <v>130</v>
      </c>
      <c r="G5" s="393">
        <v>36.4</v>
      </c>
      <c r="H5" s="393">
        <v>18</v>
      </c>
      <c r="I5" s="394">
        <v>2583</v>
      </c>
      <c r="J5" s="395">
        <f>I5*0.65</f>
        <v>1678.95</v>
      </c>
    </row>
    <row r="6" spans="1:10" x14ac:dyDescent="0.2">
      <c r="A6" s="472" t="s">
        <v>1146</v>
      </c>
      <c r="B6" s="410" t="s">
        <v>1147</v>
      </c>
      <c r="C6" s="393" t="s">
        <v>880</v>
      </c>
      <c r="D6" s="393">
        <v>1000</v>
      </c>
      <c r="E6" s="393">
        <v>190</v>
      </c>
      <c r="F6" s="393">
        <v>180</v>
      </c>
      <c r="G6" s="393">
        <v>45.7</v>
      </c>
      <c r="H6" s="393">
        <v>18</v>
      </c>
      <c r="I6" s="394">
        <v>2792</v>
      </c>
      <c r="J6" s="395">
        <f>I6*0.65</f>
        <v>1814.8</v>
      </c>
    </row>
    <row r="7" spans="1:10" x14ac:dyDescent="0.2">
      <c r="A7" s="472" t="s">
        <v>1148</v>
      </c>
      <c r="B7" s="410" t="s">
        <v>1149</v>
      </c>
      <c r="C7" s="393" t="s">
        <v>880</v>
      </c>
      <c r="D7" s="393">
        <v>1000</v>
      </c>
      <c r="E7" s="393">
        <v>190</v>
      </c>
      <c r="F7" s="393">
        <v>230</v>
      </c>
      <c r="G7" s="393">
        <v>55</v>
      </c>
      <c r="H7" s="393">
        <v>18</v>
      </c>
      <c r="I7" s="394">
        <v>3008</v>
      </c>
      <c r="J7" s="395">
        <f>I7*0.65</f>
        <v>1955.2</v>
      </c>
    </row>
    <row r="8" spans="1:10" x14ac:dyDescent="0.2">
      <c r="A8" s="472" t="s">
        <v>1150</v>
      </c>
      <c r="B8" s="410" t="s">
        <v>1151</v>
      </c>
      <c r="C8" s="393" t="s">
        <v>880</v>
      </c>
      <c r="D8" s="393">
        <v>500</v>
      </c>
      <c r="E8" s="393">
        <v>190</v>
      </c>
      <c r="F8" s="393">
        <v>500</v>
      </c>
      <c r="G8" s="393">
        <v>53.4</v>
      </c>
      <c r="H8" s="393">
        <v>12</v>
      </c>
      <c r="I8" s="394">
        <v>5708</v>
      </c>
      <c r="J8" s="395">
        <f>I8*0.65</f>
        <v>3710.2000000000003</v>
      </c>
    </row>
    <row r="9" spans="1:10" x14ac:dyDescent="0.2">
      <c r="A9" s="388" t="s">
        <v>1152</v>
      </c>
      <c r="B9" s="389"/>
      <c r="C9" s="389"/>
      <c r="D9" s="389"/>
      <c r="E9" s="389"/>
      <c r="F9" s="389"/>
      <c r="G9" s="389"/>
      <c r="H9" s="389"/>
      <c r="I9" s="390"/>
      <c r="J9" s="391" t="str">
        <f>IFERROR(I9/#REF!-1,"")</f>
        <v/>
      </c>
    </row>
    <row r="10" spans="1:10" x14ac:dyDescent="0.2">
      <c r="A10" s="473" t="s">
        <v>1153</v>
      </c>
      <c r="B10" s="420" t="s">
        <v>1154</v>
      </c>
      <c r="C10" s="393" t="s">
        <v>1014</v>
      </c>
      <c r="D10" s="393">
        <v>498</v>
      </c>
      <c r="E10" s="393">
        <v>172</v>
      </c>
      <c r="F10" s="393">
        <v>24</v>
      </c>
      <c r="G10" s="393">
        <v>5.19</v>
      </c>
      <c r="H10" s="393">
        <v>187</v>
      </c>
      <c r="I10" s="397">
        <v>1408</v>
      </c>
      <c r="J10" s="398">
        <f>I10*0.65</f>
        <v>915.2</v>
      </c>
    </row>
    <row r="11" spans="1:10" x14ac:dyDescent="0.2">
      <c r="A11" s="473" t="s">
        <v>1155</v>
      </c>
      <c r="B11" s="420" t="s">
        <v>1156</v>
      </c>
      <c r="C11" s="393" t="s">
        <v>1014</v>
      </c>
      <c r="D11" s="393">
        <v>498</v>
      </c>
      <c r="E11" s="393">
        <v>172</v>
      </c>
      <c r="F11" s="393">
        <v>30</v>
      </c>
      <c r="G11" s="393">
        <v>5.79</v>
      </c>
      <c r="H11" s="393">
        <v>143</v>
      </c>
      <c r="I11" s="397">
        <v>1433</v>
      </c>
      <c r="J11" s="398">
        <f>I11*0.65</f>
        <v>931.45</v>
      </c>
    </row>
    <row r="12" spans="1:10" x14ac:dyDescent="0.2">
      <c r="A12" s="473" t="s">
        <v>1157</v>
      </c>
      <c r="B12" s="420" t="s">
        <v>1158</v>
      </c>
      <c r="C12" s="393" t="s">
        <v>1028</v>
      </c>
      <c r="D12" s="393">
        <v>498</v>
      </c>
      <c r="E12" s="393">
        <v>172</v>
      </c>
      <c r="F12" s="393">
        <v>35</v>
      </c>
      <c r="G12" s="393">
        <v>5.5</v>
      </c>
      <c r="H12" s="393">
        <v>154</v>
      </c>
      <c r="I12" s="397">
        <v>1833</v>
      </c>
      <c r="J12" s="398">
        <f>I12*0.65</f>
        <v>1191.45</v>
      </c>
    </row>
    <row r="13" spans="1:10" x14ac:dyDescent="0.2">
      <c r="A13" s="474" t="s">
        <v>1159</v>
      </c>
      <c r="B13" s="420" t="s">
        <v>1160</v>
      </c>
      <c r="C13" s="393" t="s">
        <v>1028</v>
      </c>
      <c r="D13" s="393">
        <v>498</v>
      </c>
      <c r="E13" s="393">
        <v>172</v>
      </c>
      <c r="F13" s="393">
        <v>30</v>
      </c>
      <c r="G13" s="393">
        <v>6.79</v>
      </c>
      <c r="H13" s="393">
        <v>143</v>
      </c>
      <c r="I13" s="397">
        <v>1875</v>
      </c>
      <c r="J13" s="398">
        <f>I13*0.65</f>
        <v>1218.75</v>
      </c>
    </row>
    <row r="14" spans="1:10" x14ac:dyDescent="0.2">
      <c r="A14" s="388" t="s">
        <v>1161</v>
      </c>
      <c r="B14" s="389"/>
      <c r="C14" s="389"/>
      <c r="D14" s="389"/>
      <c r="E14" s="389"/>
      <c r="F14" s="389"/>
      <c r="G14" s="389"/>
      <c r="H14" s="389"/>
      <c r="I14" s="390"/>
      <c r="J14" s="391" t="str">
        <f>IFERROR(I14/#REF!-1,"")</f>
        <v/>
      </c>
    </row>
    <row r="15" spans="1:10" x14ac:dyDescent="0.2">
      <c r="A15" s="418" t="s">
        <v>1162</v>
      </c>
      <c r="B15" s="420" t="s">
        <v>1163</v>
      </c>
      <c r="C15" s="393"/>
      <c r="D15" s="393"/>
      <c r="E15" s="393"/>
      <c r="F15" s="393"/>
      <c r="G15" s="393"/>
      <c r="H15" s="393"/>
      <c r="I15" s="399">
        <v>17</v>
      </c>
      <c r="J15" s="400">
        <f>I15*0.75</f>
        <v>12.75</v>
      </c>
    </row>
    <row r="16" spans="1:10" x14ac:dyDescent="0.2">
      <c r="A16" s="418" t="s">
        <v>1164</v>
      </c>
      <c r="B16" s="420" t="s">
        <v>1165</v>
      </c>
      <c r="C16" s="393"/>
      <c r="D16" s="393"/>
      <c r="E16" s="393"/>
      <c r="F16" s="393"/>
      <c r="G16" s="393"/>
      <c r="H16" s="393"/>
      <c r="I16" s="399">
        <v>17</v>
      </c>
      <c r="J16" s="400">
        <f>I16*0.75</f>
        <v>12.75</v>
      </c>
    </row>
    <row r="17" spans="1:10" x14ac:dyDescent="0.2">
      <c r="A17" s="388" t="s">
        <v>1166</v>
      </c>
      <c r="B17" s="389"/>
      <c r="C17" s="389"/>
      <c r="D17" s="389"/>
      <c r="E17" s="389"/>
      <c r="F17" s="389"/>
      <c r="G17" s="389"/>
      <c r="H17" s="389"/>
      <c r="I17" s="390"/>
      <c r="J17" s="391" t="str">
        <f>IFERROR(I17/#REF!-1,"")</f>
        <v/>
      </c>
    </row>
    <row r="18" spans="1:10" s="404" customFormat="1" ht="25.5" x14ac:dyDescent="0.2">
      <c r="A18" s="401"/>
      <c r="B18" s="402" t="s">
        <v>887</v>
      </c>
      <c r="C18" s="403"/>
      <c r="D18" s="403"/>
      <c r="E18" s="403"/>
      <c r="F18" s="403"/>
      <c r="G18" s="403"/>
      <c r="H18" s="403"/>
      <c r="I18" s="394">
        <v>672.00000000000011</v>
      </c>
      <c r="J18" s="395">
        <v>672</v>
      </c>
    </row>
    <row r="19" spans="1:10" x14ac:dyDescent="0.2">
      <c r="A19" s="388" t="s">
        <v>1167</v>
      </c>
      <c r="B19" s="389"/>
      <c r="C19" s="389"/>
      <c r="D19" s="389"/>
      <c r="E19" s="389"/>
      <c r="F19" s="389"/>
      <c r="G19" s="389"/>
      <c r="H19" s="389"/>
      <c r="I19" s="390"/>
      <c r="J19" s="391" t="str">
        <f>IFERROR(I19/#REF!-1,"")</f>
        <v/>
      </c>
    </row>
    <row r="20" spans="1:10" x14ac:dyDescent="0.2">
      <c r="A20" s="421" t="s">
        <v>1168</v>
      </c>
      <c r="B20" s="422" t="s">
        <v>1169</v>
      </c>
      <c r="C20" s="393"/>
      <c r="D20" s="393"/>
      <c r="E20" s="393"/>
      <c r="F20" s="393"/>
      <c r="G20" s="393"/>
      <c r="H20" s="393"/>
      <c r="I20" s="399">
        <v>1319.4444444444446</v>
      </c>
      <c r="J20" s="400">
        <f>I20*0.8</f>
        <v>1055.5555555555557</v>
      </c>
    </row>
    <row r="21" spans="1:10" x14ac:dyDescent="0.2">
      <c r="A21" s="384" t="s">
        <v>1170</v>
      </c>
      <c r="B21" s="385"/>
      <c r="C21" s="385"/>
      <c r="D21" s="385"/>
      <c r="E21" s="385"/>
      <c r="F21" s="385"/>
      <c r="G21" s="385"/>
      <c r="H21" s="385"/>
      <c r="I21" s="386"/>
      <c r="J21" s="387" t="str">
        <f>IFERROR(I21/#REF!-1,"")</f>
        <v/>
      </c>
    </row>
    <row r="22" spans="1:10" x14ac:dyDescent="0.2">
      <c r="A22" s="388" t="s">
        <v>1171</v>
      </c>
      <c r="B22" s="389"/>
      <c r="C22" s="389"/>
      <c r="D22" s="389"/>
      <c r="E22" s="389"/>
      <c r="F22" s="389"/>
      <c r="G22" s="389"/>
      <c r="H22" s="389"/>
      <c r="I22" s="390"/>
      <c r="J22" s="391" t="str">
        <f>IFERROR(I22/#REF!-1,"")</f>
        <v/>
      </c>
    </row>
    <row r="23" spans="1:10" x14ac:dyDescent="0.2">
      <c r="A23" s="410" t="s">
        <v>1172</v>
      </c>
      <c r="B23" s="410" t="s">
        <v>1173</v>
      </c>
      <c r="C23" s="393" t="s">
        <v>1014</v>
      </c>
      <c r="D23" s="393">
        <v>1000</v>
      </c>
      <c r="E23" s="393">
        <v>190</v>
      </c>
      <c r="F23" s="393">
        <v>130</v>
      </c>
      <c r="G23" s="393">
        <v>46.84</v>
      </c>
      <c r="H23" s="393">
        <v>18</v>
      </c>
      <c r="I23" s="397">
        <v>5708</v>
      </c>
      <c r="J23" s="398">
        <f>I23*0.65</f>
        <v>3710.2000000000003</v>
      </c>
    </row>
    <row r="24" spans="1:10" x14ac:dyDescent="0.2">
      <c r="A24" s="410" t="s">
        <v>1174</v>
      </c>
      <c r="B24" s="410" t="s">
        <v>1175</v>
      </c>
      <c r="C24" s="393" t="s">
        <v>1014</v>
      </c>
      <c r="D24" s="393">
        <v>1000</v>
      </c>
      <c r="E24" s="393">
        <v>190</v>
      </c>
      <c r="F24" s="393">
        <v>180</v>
      </c>
      <c r="G24" s="393">
        <v>56.24</v>
      </c>
      <c r="H24" s="393">
        <v>18</v>
      </c>
      <c r="I24" s="397">
        <v>5915</v>
      </c>
      <c r="J24" s="398">
        <f t="shared" ref="J24:J30" si="0">I24*0.65</f>
        <v>3844.75</v>
      </c>
    </row>
    <row r="25" spans="1:10" ht="13.5" customHeight="1" x14ac:dyDescent="0.2">
      <c r="A25" s="410" t="s">
        <v>1176</v>
      </c>
      <c r="B25" s="410" t="s">
        <v>1177</v>
      </c>
      <c r="C25" s="393" t="s">
        <v>1014</v>
      </c>
      <c r="D25" s="393">
        <v>1000</v>
      </c>
      <c r="E25" s="393">
        <v>190</v>
      </c>
      <c r="F25" s="393">
        <v>230</v>
      </c>
      <c r="G25" s="393">
        <v>64</v>
      </c>
      <c r="H25" s="393">
        <v>18</v>
      </c>
      <c r="I25" s="397">
        <v>6133</v>
      </c>
      <c r="J25" s="398">
        <f t="shared" si="0"/>
        <v>3986.4500000000003</v>
      </c>
    </row>
    <row r="26" spans="1:10" x14ac:dyDescent="0.2">
      <c r="A26" s="410" t="s">
        <v>1178</v>
      </c>
      <c r="B26" s="410" t="s">
        <v>1179</v>
      </c>
      <c r="C26" s="393" t="s">
        <v>1014</v>
      </c>
      <c r="D26" s="393">
        <v>500</v>
      </c>
      <c r="E26" s="393">
        <v>190</v>
      </c>
      <c r="F26" s="393">
        <v>500</v>
      </c>
      <c r="G26" s="393">
        <v>57.39</v>
      </c>
      <c r="H26" s="393">
        <v>12</v>
      </c>
      <c r="I26" s="397">
        <v>7383</v>
      </c>
      <c r="J26" s="398">
        <f t="shared" si="0"/>
        <v>4798.95</v>
      </c>
    </row>
    <row r="27" spans="1:10" x14ac:dyDescent="0.2">
      <c r="A27" s="410" t="s">
        <v>1180</v>
      </c>
      <c r="B27" s="410" t="s">
        <v>1181</v>
      </c>
      <c r="C27" s="393" t="s">
        <v>1014</v>
      </c>
      <c r="D27" s="393">
        <v>1000</v>
      </c>
      <c r="E27" s="393">
        <v>190</v>
      </c>
      <c r="F27" s="393">
        <v>130</v>
      </c>
      <c r="G27" s="393">
        <v>47.98</v>
      </c>
      <c r="H27" s="393">
        <v>18</v>
      </c>
      <c r="I27" s="397">
        <v>5758</v>
      </c>
      <c r="J27" s="398">
        <f t="shared" si="0"/>
        <v>3742.7000000000003</v>
      </c>
    </row>
    <row r="28" spans="1:10" x14ac:dyDescent="0.2">
      <c r="A28" s="410" t="s">
        <v>1182</v>
      </c>
      <c r="B28" s="410" t="s">
        <v>1183</v>
      </c>
      <c r="C28" s="393" t="s">
        <v>1014</v>
      </c>
      <c r="D28" s="393">
        <v>1000</v>
      </c>
      <c r="E28" s="393">
        <v>190</v>
      </c>
      <c r="F28" s="393">
        <v>180</v>
      </c>
      <c r="G28" s="393">
        <v>56.24</v>
      </c>
      <c r="H28" s="393">
        <v>18</v>
      </c>
      <c r="I28" s="397">
        <v>5967</v>
      </c>
      <c r="J28" s="398">
        <f t="shared" si="0"/>
        <v>3878.55</v>
      </c>
    </row>
    <row r="29" spans="1:10" x14ac:dyDescent="0.2">
      <c r="A29" s="410" t="s">
        <v>1184</v>
      </c>
      <c r="B29" s="410" t="s">
        <v>1185</v>
      </c>
      <c r="C29" s="393" t="s">
        <v>1014</v>
      </c>
      <c r="D29" s="393">
        <v>1000</v>
      </c>
      <c r="E29" s="393">
        <v>190</v>
      </c>
      <c r="F29" s="393">
        <v>230</v>
      </c>
      <c r="G29" s="393">
        <v>66</v>
      </c>
      <c r="H29" s="393">
        <v>18</v>
      </c>
      <c r="I29" s="397">
        <v>6183</v>
      </c>
      <c r="J29" s="398">
        <f t="shared" si="0"/>
        <v>4018.9500000000003</v>
      </c>
    </row>
    <row r="30" spans="1:10" x14ac:dyDescent="0.2">
      <c r="A30" s="410" t="s">
        <v>1186</v>
      </c>
      <c r="B30" s="410" t="s">
        <v>1187</v>
      </c>
      <c r="C30" s="393" t="s">
        <v>1014</v>
      </c>
      <c r="D30" s="393">
        <v>500</v>
      </c>
      <c r="E30" s="393">
        <v>190</v>
      </c>
      <c r="F30" s="393">
        <v>500</v>
      </c>
      <c r="G30" s="393">
        <v>59.81</v>
      </c>
      <c r="H30" s="393">
        <v>12</v>
      </c>
      <c r="I30" s="397">
        <v>6900.25</v>
      </c>
      <c r="J30" s="398">
        <f t="shared" si="0"/>
        <v>4485.1625000000004</v>
      </c>
    </row>
    <row r="31" spans="1:10" x14ac:dyDescent="0.2">
      <c r="A31" s="388" t="s">
        <v>1188</v>
      </c>
      <c r="B31" s="389"/>
      <c r="C31" s="389"/>
      <c r="D31" s="389"/>
      <c r="E31" s="389"/>
      <c r="F31" s="389"/>
      <c r="G31" s="389"/>
      <c r="H31" s="389"/>
      <c r="I31" s="390"/>
      <c r="J31" s="391" t="str">
        <f>IFERROR(I31/#REF!-1,"")</f>
        <v/>
      </c>
    </row>
    <row r="32" spans="1:10" x14ac:dyDescent="0.2">
      <c r="A32" s="410" t="s">
        <v>1189</v>
      </c>
      <c r="B32" s="472" t="s">
        <v>1190</v>
      </c>
      <c r="C32" s="393" t="s">
        <v>1028</v>
      </c>
      <c r="D32" s="393">
        <v>1000</v>
      </c>
      <c r="E32" s="393">
        <v>190</v>
      </c>
      <c r="F32" s="393">
        <v>130</v>
      </c>
      <c r="G32" s="393">
        <v>47.4</v>
      </c>
      <c r="H32" s="393">
        <v>18</v>
      </c>
      <c r="I32" s="397">
        <v>6625</v>
      </c>
      <c r="J32" s="398">
        <f>I32*0.65</f>
        <v>4306.25</v>
      </c>
    </row>
    <row r="33" spans="1:10" x14ac:dyDescent="0.2">
      <c r="A33" s="410" t="s">
        <v>1191</v>
      </c>
      <c r="B33" s="410" t="s">
        <v>1192</v>
      </c>
      <c r="C33" s="393" t="s">
        <v>1028</v>
      </c>
      <c r="D33" s="393">
        <v>1000</v>
      </c>
      <c r="E33" s="393">
        <v>190</v>
      </c>
      <c r="F33" s="393">
        <v>180</v>
      </c>
      <c r="G33" s="393">
        <v>56.8</v>
      </c>
      <c r="H33" s="393">
        <v>18</v>
      </c>
      <c r="I33" s="397">
        <v>6833</v>
      </c>
      <c r="J33" s="398">
        <f t="shared" ref="J33:J39" si="1">I33*0.65</f>
        <v>4441.45</v>
      </c>
    </row>
    <row r="34" spans="1:10" x14ac:dyDescent="0.2">
      <c r="A34" s="410" t="s">
        <v>1193</v>
      </c>
      <c r="B34" s="410" t="s">
        <v>1194</v>
      </c>
      <c r="C34" s="393" t="s">
        <v>1028</v>
      </c>
      <c r="D34" s="393">
        <v>1000</v>
      </c>
      <c r="E34" s="393">
        <v>190</v>
      </c>
      <c r="F34" s="393">
        <v>230</v>
      </c>
      <c r="G34" s="393">
        <v>66.599999999999994</v>
      </c>
      <c r="H34" s="393">
        <v>18</v>
      </c>
      <c r="I34" s="397">
        <v>7050</v>
      </c>
      <c r="J34" s="398">
        <f t="shared" si="1"/>
        <v>4582.5</v>
      </c>
    </row>
    <row r="35" spans="1:10" x14ac:dyDescent="0.2">
      <c r="A35" s="410" t="s">
        <v>1195</v>
      </c>
      <c r="B35" s="410" t="s">
        <v>1196</v>
      </c>
      <c r="C35" s="393" t="s">
        <v>1028</v>
      </c>
      <c r="D35" s="393">
        <v>500</v>
      </c>
      <c r="E35" s="393">
        <v>190</v>
      </c>
      <c r="F35" s="393">
        <v>500</v>
      </c>
      <c r="G35" s="393">
        <v>64.400000000000006</v>
      </c>
      <c r="H35" s="393">
        <v>12</v>
      </c>
      <c r="I35" s="397">
        <v>7808</v>
      </c>
      <c r="J35" s="398">
        <f t="shared" si="1"/>
        <v>5075.2</v>
      </c>
    </row>
    <row r="36" spans="1:10" x14ac:dyDescent="0.2">
      <c r="A36" s="410" t="s">
        <v>1197</v>
      </c>
      <c r="B36" s="410" t="s">
        <v>1198</v>
      </c>
      <c r="C36" s="393" t="s">
        <v>1028</v>
      </c>
      <c r="D36" s="393">
        <v>1000</v>
      </c>
      <c r="E36" s="393">
        <v>190</v>
      </c>
      <c r="F36" s="393">
        <v>130</v>
      </c>
      <c r="G36" s="393">
        <v>50</v>
      </c>
      <c r="H36" s="393">
        <v>18</v>
      </c>
      <c r="I36" s="397">
        <v>6708</v>
      </c>
      <c r="J36" s="398">
        <f t="shared" si="1"/>
        <v>4360.2</v>
      </c>
    </row>
    <row r="37" spans="1:10" x14ac:dyDescent="0.2">
      <c r="A37" s="410" t="s">
        <v>1199</v>
      </c>
      <c r="B37" s="410" t="s">
        <v>1200</v>
      </c>
      <c r="C37" s="393" t="s">
        <v>1028</v>
      </c>
      <c r="D37" s="393">
        <v>1000</v>
      </c>
      <c r="E37" s="393">
        <v>190</v>
      </c>
      <c r="F37" s="393">
        <v>180</v>
      </c>
      <c r="G37" s="393">
        <v>59.4</v>
      </c>
      <c r="H37" s="393">
        <v>18</v>
      </c>
      <c r="I37" s="397">
        <v>6917</v>
      </c>
      <c r="J37" s="398">
        <f t="shared" si="1"/>
        <v>4496.05</v>
      </c>
    </row>
    <row r="38" spans="1:10" x14ac:dyDescent="0.2">
      <c r="A38" s="410" t="s">
        <v>1201</v>
      </c>
      <c r="B38" s="410" t="s">
        <v>1202</v>
      </c>
      <c r="C38" s="393" t="s">
        <v>1028</v>
      </c>
      <c r="D38" s="393">
        <v>1000</v>
      </c>
      <c r="E38" s="393">
        <v>190</v>
      </c>
      <c r="F38" s="393">
        <v>230</v>
      </c>
      <c r="G38" s="393">
        <v>68.599999999999994</v>
      </c>
      <c r="H38" s="393">
        <v>18</v>
      </c>
      <c r="I38" s="397">
        <v>7133</v>
      </c>
      <c r="J38" s="398">
        <f t="shared" si="1"/>
        <v>4636.45</v>
      </c>
    </row>
    <row r="39" spans="1:10" x14ac:dyDescent="0.2">
      <c r="A39" s="410" t="s">
        <v>1203</v>
      </c>
      <c r="B39" s="410" t="s">
        <v>1204</v>
      </c>
      <c r="C39" s="393" t="s">
        <v>1028</v>
      </c>
      <c r="D39" s="393">
        <v>500</v>
      </c>
      <c r="E39" s="393">
        <v>190</v>
      </c>
      <c r="F39" s="393">
        <v>500</v>
      </c>
      <c r="G39" s="393">
        <v>67</v>
      </c>
      <c r="H39" s="393">
        <v>12</v>
      </c>
      <c r="I39" s="397">
        <v>7850</v>
      </c>
      <c r="J39" s="398">
        <f t="shared" si="1"/>
        <v>5102.5</v>
      </c>
    </row>
    <row r="40" spans="1:10" x14ac:dyDescent="0.2">
      <c r="A40" s="384" t="s">
        <v>1205</v>
      </c>
      <c r="B40" s="385"/>
      <c r="C40" s="385"/>
      <c r="D40" s="385"/>
      <c r="E40" s="385"/>
      <c r="F40" s="385"/>
      <c r="G40" s="385"/>
      <c r="H40" s="385"/>
      <c r="I40" s="386"/>
      <c r="J40" s="387" t="str">
        <f>IFERROR(I40/#REF!-1,"")</f>
        <v/>
      </c>
    </row>
    <row r="41" spans="1:10" x14ac:dyDescent="0.2">
      <c r="A41" s="388" t="s">
        <v>1206</v>
      </c>
      <c r="B41" s="389"/>
      <c r="C41" s="389"/>
      <c r="D41" s="389"/>
      <c r="E41" s="389"/>
      <c r="F41" s="389"/>
      <c r="G41" s="389"/>
      <c r="H41" s="389"/>
      <c r="I41" s="390"/>
      <c r="J41" s="391" t="str">
        <f>IFERROR(I41/#REF!-1,"")</f>
        <v/>
      </c>
    </row>
    <row r="42" spans="1:10" x14ac:dyDescent="0.2">
      <c r="A42" s="472" t="s">
        <v>1207</v>
      </c>
      <c r="B42" s="410" t="s">
        <v>1208</v>
      </c>
      <c r="C42" s="393" t="s">
        <v>1028</v>
      </c>
      <c r="D42" s="393">
        <v>1000</v>
      </c>
      <c r="E42" s="393">
        <v>250</v>
      </c>
      <c r="F42" s="393">
        <v>210</v>
      </c>
      <c r="G42" s="393">
        <v>66.7</v>
      </c>
      <c r="H42" s="393">
        <v>15</v>
      </c>
      <c r="I42" s="394">
        <v>3758</v>
      </c>
      <c r="J42" s="395">
        <f>I42*0.65</f>
        <v>2442.7000000000003</v>
      </c>
    </row>
    <row r="43" spans="1:10" x14ac:dyDescent="0.2">
      <c r="A43" s="472" t="s">
        <v>1209</v>
      </c>
      <c r="B43" s="410" t="s">
        <v>1210</v>
      </c>
      <c r="C43" s="393" t="s">
        <v>1028</v>
      </c>
      <c r="D43" s="393">
        <v>1000</v>
      </c>
      <c r="E43" s="393">
        <v>250</v>
      </c>
      <c r="F43" s="393">
        <v>260</v>
      </c>
      <c r="G43" s="393">
        <v>76.900000000000006</v>
      </c>
      <c r="H43" s="393">
        <v>10</v>
      </c>
      <c r="I43" s="394">
        <v>3925</v>
      </c>
      <c r="J43" s="395">
        <f>I43*0.65</f>
        <v>2551.25</v>
      </c>
    </row>
    <row r="44" spans="1:10" x14ac:dyDescent="0.2">
      <c r="A44" s="472" t="s">
        <v>1211</v>
      </c>
      <c r="B44" s="410" t="s">
        <v>1212</v>
      </c>
      <c r="C44" s="393" t="s">
        <v>1028</v>
      </c>
      <c r="D44" s="393">
        <v>1000</v>
      </c>
      <c r="E44" s="393">
        <v>250</v>
      </c>
      <c r="F44" s="393">
        <v>310</v>
      </c>
      <c r="G44" s="393">
        <v>86.7</v>
      </c>
      <c r="H44" s="393">
        <v>10</v>
      </c>
      <c r="I44" s="394">
        <v>4092</v>
      </c>
      <c r="J44" s="395">
        <f>I44*0.65</f>
        <v>2659.8</v>
      </c>
    </row>
    <row r="45" spans="1:10" x14ac:dyDescent="0.2">
      <c r="A45" s="472" t="s">
        <v>1213</v>
      </c>
      <c r="B45" s="410" t="s">
        <v>1214</v>
      </c>
      <c r="C45" s="393" t="s">
        <v>1028</v>
      </c>
      <c r="D45" s="393">
        <v>500</v>
      </c>
      <c r="E45" s="393">
        <v>250</v>
      </c>
      <c r="F45" s="393">
        <v>600</v>
      </c>
      <c r="G45" s="393">
        <v>73.8</v>
      </c>
      <c r="H45" s="393">
        <v>10</v>
      </c>
      <c r="I45" s="394">
        <v>7792</v>
      </c>
      <c r="J45" s="395">
        <f>I45*0.65</f>
        <v>5064.8</v>
      </c>
    </row>
    <row r="46" spans="1:10" x14ac:dyDescent="0.2">
      <c r="A46" s="388" t="s">
        <v>1215</v>
      </c>
      <c r="B46" s="389"/>
      <c r="C46" s="389"/>
      <c r="D46" s="389"/>
      <c r="E46" s="389"/>
      <c r="F46" s="389"/>
      <c r="G46" s="389"/>
      <c r="H46" s="389"/>
      <c r="I46" s="390"/>
      <c r="J46" s="391" t="str">
        <f>IFERROR(I46/#REF!-1,"")</f>
        <v/>
      </c>
    </row>
    <row r="47" spans="1:10" x14ac:dyDescent="0.2">
      <c r="A47" s="418" t="s">
        <v>1216</v>
      </c>
      <c r="B47" s="419" t="s">
        <v>1217</v>
      </c>
      <c r="C47" s="475" t="s">
        <v>1028</v>
      </c>
      <c r="D47" s="476">
        <v>498</v>
      </c>
      <c r="E47" s="477">
        <v>230</v>
      </c>
      <c r="F47" s="476">
        <v>48</v>
      </c>
      <c r="G47" s="476">
        <v>8.8000000000000007</v>
      </c>
      <c r="H47" s="476">
        <v>98</v>
      </c>
      <c r="I47" s="397">
        <v>2650</v>
      </c>
      <c r="J47" s="398">
        <f>I47*0.65</f>
        <v>1722.5</v>
      </c>
    </row>
    <row r="48" spans="1:10" x14ac:dyDescent="0.2">
      <c r="A48" s="388" t="s">
        <v>1218</v>
      </c>
      <c r="B48" s="389"/>
      <c r="C48" s="389"/>
      <c r="D48" s="389"/>
      <c r="E48" s="389"/>
      <c r="F48" s="389"/>
      <c r="G48" s="389"/>
      <c r="H48" s="389"/>
      <c r="I48" s="390"/>
      <c r="J48" s="391" t="str">
        <f>IFERROR(I48/#REF!-1,"")</f>
        <v/>
      </c>
    </row>
    <row r="49" spans="1:10" x14ac:dyDescent="0.2">
      <c r="A49" s="473" t="s">
        <v>1219</v>
      </c>
      <c r="B49" s="420" t="s">
        <v>1220</v>
      </c>
      <c r="C49" s="393"/>
      <c r="D49" s="393"/>
      <c r="E49" s="393"/>
      <c r="F49" s="393"/>
      <c r="G49" s="393"/>
      <c r="H49" s="393"/>
      <c r="I49" s="399">
        <v>17</v>
      </c>
      <c r="J49" s="400">
        <f>I49*0.75</f>
        <v>12.75</v>
      </c>
    </row>
    <row r="50" spans="1:10" x14ac:dyDescent="0.2">
      <c r="A50" s="473" t="s">
        <v>1164</v>
      </c>
      <c r="B50" s="420" t="s">
        <v>1221</v>
      </c>
      <c r="C50" s="393"/>
      <c r="D50" s="393"/>
      <c r="E50" s="393"/>
      <c r="F50" s="393"/>
      <c r="G50" s="393"/>
      <c r="H50" s="393"/>
      <c r="I50" s="399">
        <v>17</v>
      </c>
      <c r="J50" s="400">
        <f>I50*0.75</f>
        <v>12.75</v>
      </c>
    </row>
    <row r="51" spans="1:10" x14ac:dyDescent="0.2">
      <c r="A51" s="388" t="s">
        <v>1222</v>
      </c>
      <c r="B51" s="389"/>
      <c r="C51" s="389"/>
      <c r="D51" s="389"/>
      <c r="E51" s="389"/>
      <c r="F51" s="389"/>
      <c r="G51" s="389"/>
      <c r="H51" s="389"/>
      <c r="I51" s="390"/>
      <c r="J51" s="391" t="str">
        <f>IFERROR(I51/#REF!-1,"")</f>
        <v/>
      </c>
    </row>
    <row r="52" spans="1:10" s="404" customFormat="1" ht="25.5" x14ac:dyDescent="0.2">
      <c r="A52" s="401"/>
      <c r="B52" s="402" t="s">
        <v>1223</v>
      </c>
      <c r="C52" s="403"/>
      <c r="D52" s="403"/>
      <c r="E52" s="403"/>
      <c r="F52" s="403"/>
      <c r="G52" s="403"/>
      <c r="H52" s="403"/>
      <c r="I52" s="394">
        <v>746.66666666666674</v>
      </c>
      <c r="J52" s="395">
        <v>747</v>
      </c>
    </row>
    <row r="53" spans="1:10" x14ac:dyDescent="0.2">
      <c r="A53" s="388" t="s">
        <v>1224</v>
      </c>
      <c r="B53" s="389"/>
      <c r="C53" s="389"/>
      <c r="D53" s="389"/>
      <c r="E53" s="389"/>
      <c r="F53" s="389"/>
      <c r="G53" s="389"/>
      <c r="H53" s="389"/>
      <c r="I53" s="390"/>
      <c r="J53" s="391" t="str">
        <f>IFERROR(I53/#REF!-1,"")</f>
        <v/>
      </c>
    </row>
    <row r="54" spans="1:10" x14ac:dyDescent="0.2">
      <c r="A54" s="422" t="s">
        <v>1225</v>
      </c>
      <c r="B54" s="422" t="s">
        <v>1226</v>
      </c>
      <c r="C54" s="393"/>
      <c r="D54" s="393"/>
      <c r="E54" s="393"/>
      <c r="F54" s="393"/>
      <c r="G54" s="393"/>
      <c r="H54" s="393"/>
      <c r="I54" s="399">
        <v>1650</v>
      </c>
      <c r="J54" s="400">
        <f>I54*0.8</f>
        <v>1320</v>
      </c>
    </row>
    <row r="55" spans="1:10" x14ac:dyDescent="0.2">
      <c r="A55" s="384" t="s">
        <v>1227</v>
      </c>
      <c r="B55" s="385"/>
      <c r="C55" s="385"/>
      <c r="D55" s="385"/>
      <c r="E55" s="385"/>
      <c r="F55" s="385"/>
      <c r="G55" s="385"/>
      <c r="H55" s="385"/>
      <c r="I55" s="386"/>
      <c r="J55" s="387" t="str">
        <f>IFERROR(I55/#REF!-1,"")</f>
        <v/>
      </c>
    </row>
    <row r="56" spans="1:10" x14ac:dyDescent="0.2">
      <c r="A56" s="388" t="s">
        <v>1228</v>
      </c>
      <c r="B56" s="389"/>
      <c r="C56" s="389"/>
      <c r="D56" s="389"/>
      <c r="E56" s="389"/>
      <c r="F56" s="389"/>
      <c r="G56" s="389"/>
      <c r="H56" s="389"/>
      <c r="I56" s="390"/>
      <c r="J56" s="391" t="str">
        <f>IFERROR(I56/#REF!-1,"")</f>
        <v/>
      </c>
    </row>
    <row r="57" spans="1:10" x14ac:dyDescent="0.2">
      <c r="A57" s="425" t="s">
        <v>1229</v>
      </c>
      <c r="B57" s="425" t="s">
        <v>1230</v>
      </c>
      <c r="C57" s="415" t="s">
        <v>1028</v>
      </c>
      <c r="D57" s="415">
        <v>1000</v>
      </c>
      <c r="E57" s="415">
        <v>250</v>
      </c>
      <c r="F57" s="415">
        <v>210</v>
      </c>
      <c r="G57" s="415">
        <v>84.3</v>
      </c>
      <c r="H57" s="415">
        <v>15</v>
      </c>
      <c r="I57" s="397">
        <v>9458</v>
      </c>
      <c r="J57" s="398">
        <f>I57*0.65</f>
        <v>6147.7</v>
      </c>
    </row>
    <row r="58" spans="1:10" x14ac:dyDescent="0.2">
      <c r="A58" s="425" t="s">
        <v>1231</v>
      </c>
      <c r="B58" s="425" t="s">
        <v>1232</v>
      </c>
      <c r="C58" s="415" t="s">
        <v>1028</v>
      </c>
      <c r="D58" s="415">
        <v>1000</v>
      </c>
      <c r="E58" s="415">
        <v>250</v>
      </c>
      <c r="F58" s="415">
        <v>260</v>
      </c>
      <c r="G58" s="415">
        <v>94.5</v>
      </c>
      <c r="H58" s="415">
        <v>10</v>
      </c>
      <c r="I58" s="397">
        <v>9625</v>
      </c>
      <c r="J58" s="398">
        <f>I58*0.65</f>
        <v>6256.25</v>
      </c>
    </row>
    <row r="59" spans="1:10" x14ac:dyDescent="0.2">
      <c r="A59" s="425" t="s">
        <v>1233</v>
      </c>
      <c r="B59" s="425" t="s">
        <v>1234</v>
      </c>
      <c r="C59" s="415" t="s">
        <v>1028</v>
      </c>
      <c r="D59" s="415">
        <v>1000</v>
      </c>
      <c r="E59" s="415">
        <v>250</v>
      </c>
      <c r="F59" s="415">
        <v>310</v>
      </c>
      <c r="G59" s="415">
        <v>104.3</v>
      </c>
      <c r="H59" s="415">
        <v>10</v>
      </c>
      <c r="I59" s="397">
        <v>9792</v>
      </c>
      <c r="J59" s="398">
        <f>I59*0.65</f>
        <v>6364.8</v>
      </c>
    </row>
    <row r="60" spans="1:10" x14ac:dyDescent="0.2">
      <c r="A60" s="425" t="s">
        <v>1235</v>
      </c>
      <c r="B60" s="425" t="s">
        <v>1236</v>
      </c>
      <c r="C60" s="415" t="s">
        <v>1028</v>
      </c>
      <c r="D60" s="415">
        <v>500</v>
      </c>
      <c r="E60" s="415">
        <v>250</v>
      </c>
      <c r="F60" s="415">
        <v>600</v>
      </c>
      <c r="G60" s="415">
        <v>85.04</v>
      </c>
      <c r="H60" s="415">
        <v>10</v>
      </c>
      <c r="I60" s="397">
        <v>10733</v>
      </c>
      <c r="J60" s="398">
        <f>I60*0.65</f>
        <v>6976.45</v>
      </c>
    </row>
    <row r="61" spans="1:10" x14ac:dyDescent="0.2">
      <c r="A61" s="384" t="s">
        <v>1237</v>
      </c>
      <c r="B61" s="385"/>
      <c r="C61" s="385"/>
      <c r="D61" s="385"/>
      <c r="E61" s="385"/>
      <c r="F61" s="385"/>
      <c r="G61" s="385"/>
      <c r="H61" s="385"/>
      <c r="I61" s="386"/>
      <c r="J61" s="387" t="str">
        <f>IFERROR(I61/#REF!-1,"")</f>
        <v/>
      </c>
    </row>
    <row r="62" spans="1:10" x14ac:dyDescent="0.2">
      <c r="A62" s="388" t="s">
        <v>1238</v>
      </c>
      <c r="B62" s="389"/>
      <c r="C62" s="389"/>
      <c r="D62" s="389"/>
      <c r="E62" s="389"/>
      <c r="F62" s="389"/>
      <c r="G62" s="389"/>
      <c r="H62" s="389"/>
      <c r="I62" s="390"/>
      <c r="J62" s="391" t="str">
        <f>IFERROR(I62/#REF!-1,"")</f>
        <v/>
      </c>
    </row>
    <row r="63" spans="1:10" x14ac:dyDescent="0.2">
      <c r="A63" s="472" t="s">
        <v>1239</v>
      </c>
      <c r="B63" s="410" t="s">
        <v>1240</v>
      </c>
      <c r="C63" s="393" t="s">
        <v>1241</v>
      </c>
      <c r="D63" s="393">
        <v>1000</v>
      </c>
      <c r="E63" s="393">
        <v>290</v>
      </c>
      <c r="F63" s="393">
        <v>230</v>
      </c>
      <c r="G63" s="393">
        <v>82.5</v>
      </c>
      <c r="H63" s="393">
        <v>12</v>
      </c>
      <c r="I63" s="399">
        <v>4667</v>
      </c>
      <c r="J63" s="400">
        <f>I63*0.65</f>
        <v>3033.55</v>
      </c>
    </row>
    <row r="64" spans="1:10" x14ac:dyDescent="0.2">
      <c r="A64" s="472" t="s">
        <v>1242</v>
      </c>
      <c r="B64" s="410" t="s">
        <v>1243</v>
      </c>
      <c r="C64" s="393" t="s">
        <v>1241</v>
      </c>
      <c r="D64" s="393">
        <v>1000</v>
      </c>
      <c r="E64" s="393">
        <v>290</v>
      </c>
      <c r="F64" s="393">
        <v>280</v>
      </c>
      <c r="G64" s="393">
        <v>89.82</v>
      </c>
      <c r="H64" s="393">
        <v>8</v>
      </c>
      <c r="I64" s="399">
        <v>4825</v>
      </c>
      <c r="J64" s="400">
        <f t="shared" ref="J64:J70" si="2">I64*0.65</f>
        <v>3136.25</v>
      </c>
    </row>
    <row r="65" spans="1:10" x14ac:dyDescent="0.2">
      <c r="A65" s="472" t="s">
        <v>1244</v>
      </c>
      <c r="B65" s="410" t="s">
        <v>1245</v>
      </c>
      <c r="C65" s="393" t="s">
        <v>1241</v>
      </c>
      <c r="D65" s="393">
        <v>1000</v>
      </c>
      <c r="E65" s="393">
        <v>290</v>
      </c>
      <c r="F65" s="393">
        <v>330</v>
      </c>
      <c r="G65" s="393">
        <v>102.5</v>
      </c>
      <c r="H65" s="393">
        <v>8</v>
      </c>
      <c r="I65" s="399">
        <v>5058</v>
      </c>
      <c r="J65" s="400">
        <f t="shared" si="2"/>
        <v>3287.7000000000003</v>
      </c>
    </row>
    <row r="66" spans="1:10" x14ac:dyDescent="0.2">
      <c r="A66" s="472" t="s">
        <v>1246</v>
      </c>
      <c r="B66" s="410" t="s">
        <v>1247</v>
      </c>
      <c r="C66" s="393" t="s">
        <v>1241</v>
      </c>
      <c r="D66" s="393">
        <v>1000</v>
      </c>
      <c r="E66" s="393">
        <v>290</v>
      </c>
      <c r="F66" s="393">
        <v>430</v>
      </c>
      <c r="G66" s="393">
        <v>121.75</v>
      </c>
      <c r="H66" s="393">
        <v>8</v>
      </c>
      <c r="I66" s="399">
        <v>5483</v>
      </c>
      <c r="J66" s="400">
        <f t="shared" si="2"/>
        <v>3563.9500000000003</v>
      </c>
    </row>
    <row r="67" spans="1:10" x14ac:dyDescent="0.2">
      <c r="A67" s="472" t="s">
        <v>1248</v>
      </c>
      <c r="B67" s="410" t="s">
        <v>1249</v>
      </c>
      <c r="C67" s="393" t="s">
        <v>1241</v>
      </c>
      <c r="D67" s="393">
        <v>500</v>
      </c>
      <c r="E67" s="393">
        <v>290</v>
      </c>
      <c r="F67" s="393">
        <v>600</v>
      </c>
      <c r="G67" s="393">
        <v>81.900000000000006</v>
      </c>
      <c r="H67" s="393">
        <v>8</v>
      </c>
      <c r="I67" s="399">
        <v>11300</v>
      </c>
      <c r="J67" s="400">
        <f t="shared" si="2"/>
        <v>7345</v>
      </c>
    </row>
    <row r="68" spans="1:10" x14ac:dyDescent="0.2">
      <c r="A68" s="472" t="s">
        <v>1250</v>
      </c>
      <c r="B68" s="410" t="s">
        <v>1251</v>
      </c>
      <c r="C68" s="393" t="s">
        <v>1241</v>
      </c>
      <c r="D68" s="393">
        <v>500</v>
      </c>
      <c r="E68" s="393">
        <v>290</v>
      </c>
      <c r="F68" s="393">
        <v>600</v>
      </c>
      <c r="G68" s="393">
        <v>77.5</v>
      </c>
      <c r="H68" s="393">
        <v>8</v>
      </c>
      <c r="I68" s="399">
        <v>10150</v>
      </c>
      <c r="J68" s="400">
        <f t="shared" si="2"/>
        <v>6597.5</v>
      </c>
    </row>
    <row r="69" spans="1:10" x14ac:dyDescent="0.2">
      <c r="A69" s="472" t="s">
        <v>1252</v>
      </c>
      <c r="B69" s="410" t="s">
        <v>1253</v>
      </c>
      <c r="C69" s="393" t="s">
        <v>1241</v>
      </c>
      <c r="D69" s="393">
        <v>500</v>
      </c>
      <c r="E69" s="393">
        <v>290</v>
      </c>
      <c r="F69" s="393">
        <v>600</v>
      </c>
      <c r="G69" s="393">
        <v>82.18</v>
      </c>
      <c r="H69" s="393">
        <v>8</v>
      </c>
      <c r="I69" s="399">
        <v>5092</v>
      </c>
      <c r="J69" s="400">
        <f t="shared" si="2"/>
        <v>3309.8</v>
      </c>
    </row>
    <row r="70" spans="1:10" x14ac:dyDescent="0.2">
      <c r="A70" s="472" t="s">
        <v>1254</v>
      </c>
      <c r="B70" s="410" t="s">
        <v>1255</v>
      </c>
      <c r="C70" s="393" t="s">
        <v>1241</v>
      </c>
      <c r="D70" s="393">
        <v>500</v>
      </c>
      <c r="E70" s="393">
        <v>290</v>
      </c>
      <c r="F70" s="393">
        <v>600</v>
      </c>
      <c r="G70" s="393">
        <v>92.68</v>
      </c>
      <c r="H70" s="393">
        <v>8</v>
      </c>
      <c r="I70" s="399">
        <v>5667</v>
      </c>
      <c r="J70" s="400">
        <f t="shared" si="2"/>
        <v>3683.55</v>
      </c>
    </row>
    <row r="71" spans="1:10" x14ac:dyDescent="0.2">
      <c r="A71" s="388" t="s">
        <v>1256</v>
      </c>
      <c r="B71" s="389"/>
      <c r="C71" s="389"/>
      <c r="D71" s="389"/>
      <c r="E71" s="389"/>
      <c r="F71" s="389"/>
      <c r="G71" s="389"/>
      <c r="H71" s="389"/>
      <c r="I71" s="390"/>
      <c r="J71" s="391" t="str">
        <f>IFERROR(I71/#REF!-1,"")</f>
        <v/>
      </c>
    </row>
    <row r="72" spans="1:10" x14ac:dyDescent="0.2">
      <c r="A72" s="474" t="s">
        <v>1257</v>
      </c>
      <c r="B72" s="420" t="s">
        <v>1258</v>
      </c>
      <c r="C72" s="393" t="s">
        <v>1014</v>
      </c>
      <c r="D72" s="393">
        <v>498</v>
      </c>
      <c r="E72" s="393">
        <v>272</v>
      </c>
      <c r="F72" s="393">
        <v>36</v>
      </c>
      <c r="G72" s="393">
        <v>11.86</v>
      </c>
      <c r="H72" s="393">
        <v>84</v>
      </c>
      <c r="I72" s="397">
        <v>2683</v>
      </c>
      <c r="J72" s="398">
        <f>I72*0.65</f>
        <v>1743.95</v>
      </c>
    </row>
    <row r="73" spans="1:10" x14ac:dyDescent="0.2">
      <c r="A73" s="474" t="s">
        <v>1259</v>
      </c>
      <c r="B73" s="420" t="s">
        <v>1260</v>
      </c>
      <c r="C73" s="393" t="s">
        <v>1028</v>
      </c>
      <c r="D73" s="393">
        <v>498</v>
      </c>
      <c r="E73" s="393">
        <v>272</v>
      </c>
      <c r="F73" s="393">
        <v>53</v>
      </c>
      <c r="G73" s="393">
        <v>10.3</v>
      </c>
      <c r="H73" s="393">
        <v>84</v>
      </c>
      <c r="I73" s="397">
        <v>3100</v>
      </c>
      <c r="J73" s="398">
        <f>I73*0.65</f>
        <v>2015</v>
      </c>
    </row>
    <row r="74" spans="1:10" x14ac:dyDescent="0.2">
      <c r="A74" s="388" t="s">
        <v>1261</v>
      </c>
      <c r="B74" s="389"/>
      <c r="C74" s="389"/>
      <c r="D74" s="389"/>
      <c r="E74" s="389"/>
      <c r="F74" s="389"/>
      <c r="G74" s="389"/>
      <c r="H74" s="389"/>
      <c r="I74" s="390"/>
      <c r="J74" s="391" t="str">
        <f>IFERROR(I74/#REF!-1,"")</f>
        <v/>
      </c>
    </row>
    <row r="75" spans="1:10" x14ac:dyDescent="0.2">
      <c r="A75" s="416" t="s">
        <v>1262</v>
      </c>
      <c r="B75" s="420" t="s">
        <v>1263</v>
      </c>
      <c r="C75" s="393"/>
      <c r="D75" s="393"/>
      <c r="E75" s="393"/>
      <c r="F75" s="393"/>
      <c r="G75" s="393"/>
      <c r="H75" s="393"/>
      <c r="I75" s="399">
        <v>17</v>
      </c>
      <c r="J75" s="400">
        <f>I75*0.75</f>
        <v>12.75</v>
      </c>
    </row>
    <row r="76" spans="1:10" x14ac:dyDescent="0.2">
      <c r="A76" s="416" t="s">
        <v>1264</v>
      </c>
      <c r="B76" s="420" t="s">
        <v>1221</v>
      </c>
      <c r="C76" s="393"/>
      <c r="D76" s="393"/>
      <c r="E76" s="393"/>
      <c r="F76" s="393"/>
      <c r="G76" s="393"/>
      <c r="H76" s="393"/>
      <c r="I76" s="399">
        <v>17</v>
      </c>
      <c r="J76" s="400">
        <f>I76*0.75</f>
        <v>12.75</v>
      </c>
    </row>
    <row r="77" spans="1:10" x14ac:dyDescent="0.2">
      <c r="A77" s="388" t="s">
        <v>1265</v>
      </c>
      <c r="B77" s="389"/>
      <c r="C77" s="389"/>
      <c r="D77" s="389"/>
      <c r="E77" s="389"/>
      <c r="F77" s="389"/>
      <c r="G77" s="389"/>
      <c r="H77" s="389"/>
      <c r="I77" s="390"/>
      <c r="J77" s="391" t="str">
        <f>IFERROR(I77/#REF!-1,"")</f>
        <v/>
      </c>
    </row>
    <row r="78" spans="1:10" s="404" customFormat="1" ht="25.5" x14ac:dyDescent="0.2">
      <c r="A78" s="401"/>
      <c r="B78" s="402" t="s">
        <v>1266</v>
      </c>
      <c r="C78" s="403"/>
      <c r="D78" s="403"/>
      <c r="E78" s="403"/>
      <c r="F78" s="403"/>
      <c r="G78" s="403"/>
      <c r="H78" s="403"/>
      <c r="I78" s="394">
        <v>784.00000000000011</v>
      </c>
      <c r="J78" s="395">
        <v>784</v>
      </c>
    </row>
    <row r="79" spans="1:10" x14ac:dyDescent="0.2">
      <c r="A79" s="388" t="s">
        <v>1267</v>
      </c>
      <c r="B79" s="389"/>
      <c r="C79" s="389"/>
      <c r="D79" s="389"/>
      <c r="E79" s="389"/>
      <c r="F79" s="389"/>
      <c r="G79" s="389"/>
      <c r="H79" s="389"/>
      <c r="I79" s="390"/>
      <c r="J79" s="391" t="str">
        <f>IFERROR(I79/#REF!-1,"")</f>
        <v/>
      </c>
    </row>
    <row r="80" spans="1:10" x14ac:dyDescent="0.2">
      <c r="A80" s="421" t="s">
        <v>1268</v>
      </c>
      <c r="B80" s="422" t="s">
        <v>1269</v>
      </c>
      <c r="C80" s="393"/>
      <c r="D80" s="393"/>
      <c r="E80" s="393"/>
      <c r="F80" s="393"/>
      <c r="G80" s="393"/>
      <c r="H80" s="393"/>
      <c r="I80" s="399">
        <v>2200</v>
      </c>
      <c r="J80" s="400">
        <f>I80*0.8</f>
        <v>1760</v>
      </c>
    </row>
    <row r="81" spans="1:10" x14ac:dyDescent="0.2">
      <c r="A81" s="384" t="s">
        <v>1270</v>
      </c>
      <c r="B81" s="385"/>
      <c r="C81" s="385"/>
      <c r="D81" s="385"/>
      <c r="E81" s="385"/>
      <c r="F81" s="385"/>
      <c r="G81" s="385"/>
      <c r="H81" s="385"/>
      <c r="I81" s="386"/>
      <c r="J81" s="387" t="str">
        <f>IFERROR(I81/#REF!-1,"")</f>
        <v/>
      </c>
    </row>
    <row r="82" spans="1:10" x14ac:dyDescent="0.2">
      <c r="A82" s="388" t="s">
        <v>1271</v>
      </c>
      <c r="B82" s="389"/>
      <c r="C82" s="389"/>
      <c r="D82" s="389"/>
      <c r="E82" s="389"/>
      <c r="F82" s="389"/>
      <c r="G82" s="389"/>
      <c r="H82" s="389"/>
      <c r="I82" s="390"/>
      <c r="J82" s="391" t="str">
        <f>IFERROR(I82/#REF!-1,"")</f>
        <v/>
      </c>
    </row>
    <row r="83" spans="1:10" x14ac:dyDescent="0.2">
      <c r="A83" s="478" t="s">
        <v>1272</v>
      </c>
      <c r="B83" s="478" t="s">
        <v>1273</v>
      </c>
      <c r="C83" s="393" t="s">
        <v>1014</v>
      </c>
      <c r="D83" s="393">
        <v>1000</v>
      </c>
      <c r="E83" s="393">
        <v>290</v>
      </c>
      <c r="F83" s="393">
        <v>230</v>
      </c>
      <c r="G83" s="393">
        <v>103.1</v>
      </c>
      <c r="H83" s="393">
        <v>12</v>
      </c>
      <c r="I83" s="397">
        <v>10450</v>
      </c>
      <c r="J83" s="398">
        <f>I83*0.65</f>
        <v>6792.5</v>
      </c>
    </row>
    <row r="84" spans="1:10" x14ac:dyDescent="0.2">
      <c r="A84" s="478" t="s">
        <v>1274</v>
      </c>
      <c r="B84" s="478" t="s">
        <v>1275</v>
      </c>
      <c r="C84" s="393" t="s">
        <v>1014</v>
      </c>
      <c r="D84" s="393">
        <v>1000</v>
      </c>
      <c r="E84" s="393">
        <v>290</v>
      </c>
      <c r="F84" s="393">
        <v>280</v>
      </c>
      <c r="G84" s="393">
        <v>113.3</v>
      </c>
      <c r="H84" s="393">
        <v>8</v>
      </c>
      <c r="I84" s="397">
        <v>10608</v>
      </c>
      <c r="J84" s="398">
        <f>I84*0.65</f>
        <v>6895.2</v>
      </c>
    </row>
    <row r="85" spans="1:10" x14ac:dyDescent="0.2">
      <c r="A85" s="478" t="s">
        <v>1276</v>
      </c>
      <c r="B85" s="478" t="s">
        <v>1277</v>
      </c>
      <c r="C85" s="393" t="s">
        <v>1014</v>
      </c>
      <c r="D85" s="393">
        <v>1000</v>
      </c>
      <c r="E85" s="393">
        <v>290</v>
      </c>
      <c r="F85" s="393">
        <v>330</v>
      </c>
      <c r="G85" s="393">
        <v>123.1</v>
      </c>
      <c r="H85" s="393">
        <v>8</v>
      </c>
      <c r="I85" s="397">
        <v>10842</v>
      </c>
      <c r="J85" s="398">
        <f>I85*0.65</f>
        <v>7047.3</v>
      </c>
    </row>
    <row r="86" spans="1:10" x14ac:dyDescent="0.2">
      <c r="A86" s="478" t="s">
        <v>1278</v>
      </c>
      <c r="B86" s="478" t="s">
        <v>1279</v>
      </c>
      <c r="C86" s="393" t="s">
        <v>1014</v>
      </c>
      <c r="D86" s="393">
        <v>1000</v>
      </c>
      <c r="E86" s="393">
        <v>290</v>
      </c>
      <c r="F86" s="393">
        <v>430</v>
      </c>
      <c r="G86" s="393">
        <v>142.35</v>
      </c>
      <c r="H86" s="393">
        <v>8</v>
      </c>
      <c r="I86" s="397">
        <v>11267</v>
      </c>
      <c r="J86" s="398">
        <f>I86*0.65</f>
        <v>7323.55</v>
      </c>
    </row>
    <row r="87" spans="1:10" s="404" customFormat="1" x14ac:dyDescent="0.2">
      <c r="A87" s="479" t="s">
        <v>1280</v>
      </c>
      <c r="B87" s="479" t="s">
        <v>1281</v>
      </c>
      <c r="C87" s="403" t="s">
        <v>1014</v>
      </c>
      <c r="D87" s="403">
        <v>500</v>
      </c>
      <c r="E87" s="403">
        <v>290</v>
      </c>
      <c r="F87" s="403">
        <v>600</v>
      </c>
      <c r="G87" s="403">
        <v>92</v>
      </c>
      <c r="H87" s="403">
        <v>8</v>
      </c>
      <c r="I87" s="423">
        <v>14292</v>
      </c>
      <c r="J87" s="447">
        <f>I87*0.65</f>
        <v>9289.8000000000011</v>
      </c>
    </row>
    <row r="88" spans="1:10" x14ac:dyDescent="0.2">
      <c r="A88" s="388" t="s">
        <v>1282</v>
      </c>
      <c r="B88" s="389"/>
      <c r="C88" s="389"/>
      <c r="D88" s="389"/>
      <c r="E88" s="389"/>
      <c r="F88" s="389"/>
      <c r="G88" s="389"/>
      <c r="H88" s="389"/>
      <c r="I88" s="390"/>
      <c r="J88" s="391" t="str">
        <f>IFERROR(I88/#REF!-1,"")</f>
        <v/>
      </c>
    </row>
    <row r="89" spans="1:10" x14ac:dyDescent="0.2">
      <c r="A89" s="478" t="s">
        <v>1283</v>
      </c>
      <c r="B89" s="478" t="s">
        <v>1284</v>
      </c>
      <c r="C89" s="393" t="s">
        <v>1028</v>
      </c>
      <c r="D89" s="393">
        <v>1000</v>
      </c>
      <c r="E89" s="393">
        <v>290</v>
      </c>
      <c r="F89" s="393">
        <v>230</v>
      </c>
      <c r="G89" s="393">
        <v>103.26</v>
      </c>
      <c r="H89" s="393">
        <v>12</v>
      </c>
      <c r="I89" s="397">
        <v>11283</v>
      </c>
      <c r="J89" s="398">
        <f>I89*0.65</f>
        <v>7333.95</v>
      </c>
    </row>
    <row r="90" spans="1:10" x14ac:dyDescent="0.2">
      <c r="A90" s="478" t="s">
        <v>1285</v>
      </c>
      <c r="B90" s="478" t="s">
        <v>1286</v>
      </c>
      <c r="C90" s="393" t="s">
        <v>1028</v>
      </c>
      <c r="D90" s="393">
        <v>1000</v>
      </c>
      <c r="E90" s="393">
        <v>290</v>
      </c>
      <c r="F90" s="393">
        <v>280</v>
      </c>
      <c r="G90" s="393">
        <v>110.58</v>
      </c>
      <c r="H90" s="393">
        <v>8</v>
      </c>
      <c r="I90" s="397">
        <v>11442</v>
      </c>
      <c r="J90" s="398">
        <f>I90*0.65</f>
        <v>7437.3</v>
      </c>
    </row>
    <row r="91" spans="1:10" x14ac:dyDescent="0.2">
      <c r="A91" s="478" t="s">
        <v>1287</v>
      </c>
      <c r="B91" s="478" t="s">
        <v>1288</v>
      </c>
      <c r="C91" s="393" t="s">
        <v>1028</v>
      </c>
      <c r="D91" s="393">
        <v>1000</v>
      </c>
      <c r="E91" s="393">
        <v>290</v>
      </c>
      <c r="F91" s="393">
        <v>330</v>
      </c>
      <c r="G91" s="393">
        <v>123.26</v>
      </c>
      <c r="H91" s="393">
        <v>8</v>
      </c>
      <c r="I91" s="397">
        <v>11675</v>
      </c>
      <c r="J91" s="398">
        <f>I91*0.65</f>
        <v>7588.75</v>
      </c>
    </row>
    <row r="92" spans="1:10" x14ac:dyDescent="0.2">
      <c r="A92" s="478" t="s">
        <v>1289</v>
      </c>
      <c r="B92" s="478" t="s">
        <v>1290</v>
      </c>
      <c r="C92" s="393" t="s">
        <v>1028</v>
      </c>
      <c r="D92" s="393">
        <v>1000</v>
      </c>
      <c r="E92" s="393">
        <v>290</v>
      </c>
      <c r="F92" s="393">
        <v>430</v>
      </c>
      <c r="G92" s="393">
        <v>142.51</v>
      </c>
      <c r="H92" s="393">
        <v>8</v>
      </c>
      <c r="I92" s="397">
        <v>12100</v>
      </c>
      <c r="J92" s="398">
        <f>I92*0.65</f>
        <v>7865</v>
      </c>
    </row>
    <row r="93" spans="1:10" x14ac:dyDescent="0.2">
      <c r="A93" s="478" t="s">
        <v>1291</v>
      </c>
      <c r="B93" s="478" t="s">
        <v>1292</v>
      </c>
      <c r="C93" s="393" t="s">
        <v>1028</v>
      </c>
      <c r="D93" s="393">
        <v>500</v>
      </c>
      <c r="E93" s="393">
        <v>290</v>
      </c>
      <c r="F93" s="393">
        <v>600</v>
      </c>
      <c r="G93" s="393">
        <v>93.3</v>
      </c>
      <c r="H93" s="393">
        <v>8</v>
      </c>
      <c r="I93" s="397">
        <v>14708</v>
      </c>
      <c r="J93" s="398">
        <f>I93*0.65</f>
        <v>9560.2000000000007</v>
      </c>
    </row>
    <row r="94" spans="1:10" x14ac:dyDescent="0.2">
      <c r="A94" s="384" t="s">
        <v>1293</v>
      </c>
      <c r="B94" s="385"/>
      <c r="C94" s="385"/>
      <c r="D94" s="385"/>
      <c r="E94" s="385"/>
      <c r="F94" s="385"/>
      <c r="G94" s="385"/>
      <c r="H94" s="385"/>
      <c r="I94" s="386"/>
      <c r="J94" s="387" t="str">
        <f>IFERROR(I94/#REF!-1,"")</f>
        <v/>
      </c>
    </row>
    <row r="95" spans="1:10" x14ac:dyDescent="0.2">
      <c r="A95" s="388" t="s">
        <v>1294</v>
      </c>
      <c r="B95" s="389"/>
      <c r="C95" s="389"/>
      <c r="D95" s="389"/>
      <c r="E95" s="389"/>
      <c r="F95" s="389"/>
      <c r="G95" s="389"/>
      <c r="H95" s="389"/>
      <c r="I95" s="390"/>
      <c r="J95" s="391" t="str">
        <f>IFERROR(I95/#REF!-1,"")</f>
        <v/>
      </c>
    </row>
    <row r="96" spans="1:10" x14ac:dyDescent="0.2">
      <c r="A96" s="479" t="s">
        <v>1295</v>
      </c>
      <c r="B96" s="478" t="s">
        <v>1296</v>
      </c>
      <c r="C96" s="393" t="s">
        <v>1241</v>
      </c>
      <c r="D96" s="393">
        <v>1000</v>
      </c>
      <c r="E96" s="393">
        <v>380</v>
      </c>
      <c r="F96" s="393">
        <v>310</v>
      </c>
      <c r="G96" s="393">
        <v>131.69999999999999</v>
      </c>
      <c r="H96" s="393">
        <v>6</v>
      </c>
      <c r="I96" s="399">
        <v>5717</v>
      </c>
      <c r="J96" s="400">
        <f>I96*0.65</f>
        <v>3716.05</v>
      </c>
    </row>
    <row r="97" spans="1:10" x14ac:dyDescent="0.2">
      <c r="A97" s="479" t="s">
        <v>1297</v>
      </c>
      <c r="B97" s="478" t="s">
        <v>1298</v>
      </c>
      <c r="C97" s="393" t="s">
        <v>1241</v>
      </c>
      <c r="D97" s="393">
        <v>1000</v>
      </c>
      <c r="E97" s="393">
        <v>380</v>
      </c>
      <c r="F97" s="393">
        <v>360</v>
      </c>
      <c r="G97" s="393">
        <v>140.80000000000001</v>
      </c>
      <c r="H97" s="393">
        <v>6</v>
      </c>
      <c r="I97" s="399">
        <v>6000</v>
      </c>
      <c r="J97" s="400">
        <f t="shared" ref="J97:J105" si="3">I97*0.65</f>
        <v>3900</v>
      </c>
    </row>
    <row r="98" spans="1:10" x14ac:dyDescent="0.2">
      <c r="A98" s="479" t="s">
        <v>1299</v>
      </c>
      <c r="B98" s="478" t="s">
        <v>1300</v>
      </c>
      <c r="C98" s="393" t="s">
        <v>1241</v>
      </c>
      <c r="D98" s="393">
        <v>1000</v>
      </c>
      <c r="E98" s="393">
        <v>380</v>
      </c>
      <c r="F98" s="393">
        <v>410</v>
      </c>
      <c r="G98" s="393">
        <v>151.80000000000001</v>
      </c>
      <c r="H98" s="393">
        <v>6</v>
      </c>
      <c r="I98" s="399">
        <v>6333</v>
      </c>
      <c r="J98" s="400">
        <f t="shared" si="3"/>
        <v>4116.45</v>
      </c>
    </row>
    <row r="99" spans="1:10" x14ac:dyDescent="0.2">
      <c r="A99" s="479" t="s">
        <v>1301</v>
      </c>
      <c r="B99" s="478" t="s">
        <v>1302</v>
      </c>
      <c r="C99" s="393" t="s">
        <v>1241</v>
      </c>
      <c r="D99" s="393">
        <v>1000</v>
      </c>
      <c r="E99" s="393">
        <v>380</v>
      </c>
      <c r="F99" s="393">
        <v>610</v>
      </c>
      <c r="G99" s="393">
        <v>190</v>
      </c>
      <c r="H99" s="393">
        <v>6</v>
      </c>
      <c r="I99" s="399">
        <v>7475</v>
      </c>
      <c r="J99" s="400">
        <f t="shared" si="3"/>
        <v>4858.75</v>
      </c>
    </row>
    <row r="100" spans="1:10" x14ac:dyDescent="0.2">
      <c r="A100" s="479" t="s">
        <v>1303</v>
      </c>
      <c r="B100" s="478" t="s">
        <v>1304</v>
      </c>
      <c r="C100" s="393" t="s">
        <v>1241</v>
      </c>
      <c r="D100" s="393">
        <v>500</v>
      </c>
      <c r="E100" s="393">
        <v>380</v>
      </c>
      <c r="F100" s="393">
        <v>440</v>
      </c>
      <c r="G100" s="393">
        <v>79.5</v>
      </c>
      <c r="H100" s="393">
        <v>10</v>
      </c>
      <c r="I100" s="399">
        <v>8983</v>
      </c>
      <c r="J100" s="400">
        <f t="shared" si="3"/>
        <v>5838.95</v>
      </c>
    </row>
    <row r="101" spans="1:10" x14ac:dyDescent="0.2">
      <c r="A101" s="479" t="s">
        <v>1305</v>
      </c>
      <c r="B101" s="478" t="s">
        <v>1306</v>
      </c>
      <c r="C101" s="393" t="s">
        <v>1241</v>
      </c>
      <c r="D101" s="393">
        <v>500</v>
      </c>
      <c r="E101" s="393">
        <v>380</v>
      </c>
      <c r="F101" s="393">
        <v>440</v>
      </c>
      <c r="G101" s="393">
        <v>74.5</v>
      </c>
      <c r="H101" s="393">
        <v>10</v>
      </c>
      <c r="I101" s="399">
        <v>5442</v>
      </c>
      <c r="J101" s="400">
        <f t="shared" si="3"/>
        <v>3537.3</v>
      </c>
    </row>
    <row r="102" spans="1:10" x14ac:dyDescent="0.2">
      <c r="A102" s="479" t="s">
        <v>1307</v>
      </c>
      <c r="B102" s="478" t="s">
        <v>1308</v>
      </c>
      <c r="C102" s="393" t="s">
        <v>1241</v>
      </c>
      <c r="D102" s="393">
        <v>500</v>
      </c>
      <c r="E102" s="393">
        <v>380</v>
      </c>
      <c r="F102" s="393">
        <v>440</v>
      </c>
      <c r="G102" s="393">
        <v>89.5</v>
      </c>
      <c r="H102" s="393">
        <v>10</v>
      </c>
      <c r="I102" s="399">
        <v>5583</v>
      </c>
      <c r="J102" s="400">
        <f t="shared" si="3"/>
        <v>3628.9500000000003</v>
      </c>
    </row>
    <row r="103" spans="1:10" x14ac:dyDescent="0.2">
      <c r="A103" s="479" t="s">
        <v>1309</v>
      </c>
      <c r="B103" s="478" t="s">
        <v>1310</v>
      </c>
      <c r="C103" s="393" t="s">
        <v>1241</v>
      </c>
      <c r="D103" s="393">
        <v>500</v>
      </c>
      <c r="E103" s="393">
        <v>390</v>
      </c>
      <c r="F103" s="393">
        <v>950</v>
      </c>
      <c r="G103" s="393">
        <v>199.1</v>
      </c>
      <c r="H103" s="393">
        <v>6</v>
      </c>
      <c r="I103" s="399">
        <v>15567</v>
      </c>
      <c r="J103" s="400">
        <f t="shared" si="3"/>
        <v>10118.550000000001</v>
      </c>
    </row>
    <row r="104" spans="1:10" x14ac:dyDescent="0.2">
      <c r="A104" s="479" t="s">
        <v>1311</v>
      </c>
      <c r="B104" s="478" t="s">
        <v>1312</v>
      </c>
      <c r="C104" s="393" t="s">
        <v>1241</v>
      </c>
      <c r="D104" s="393">
        <v>500</v>
      </c>
      <c r="E104" s="393">
        <v>390</v>
      </c>
      <c r="F104" s="393">
        <v>950</v>
      </c>
      <c r="G104" s="393">
        <v>159.80000000000001</v>
      </c>
      <c r="H104" s="393">
        <v>6</v>
      </c>
      <c r="I104" s="399">
        <v>13858</v>
      </c>
      <c r="J104" s="400">
        <f t="shared" si="3"/>
        <v>9007.7000000000007</v>
      </c>
    </row>
    <row r="105" spans="1:10" x14ac:dyDescent="0.2">
      <c r="A105" s="479" t="s">
        <v>1313</v>
      </c>
      <c r="B105" s="478" t="s">
        <v>1314</v>
      </c>
      <c r="C105" s="393" t="s">
        <v>1241</v>
      </c>
      <c r="D105" s="393">
        <v>500</v>
      </c>
      <c r="E105" s="393">
        <v>390</v>
      </c>
      <c r="F105" s="393">
        <v>950</v>
      </c>
      <c r="G105" s="393">
        <v>199.1</v>
      </c>
      <c r="H105" s="393">
        <v>6</v>
      </c>
      <c r="I105" s="399">
        <v>10325</v>
      </c>
      <c r="J105" s="400">
        <f t="shared" si="3"/>
        <v>6711.25</v>
      </c>
    </row>
    <row r="106" spans="1:10" x14ac:dyDescent="0.2">
      <c r="A106" s="388" t="s">
        <v>1315</v>
      </c>
      <c r="B106" s="389"/>
      <c r="C106" s="389"/>
      <c r="D106" s="389"/>
      <c r="E106" s="389"/>
      <c r="F106" s="389"/>
      <c r="G106" s="389"/>
      <c r="H106" s="389"/>
      <c r="I106" s="390"/>
      <c r="J106" s="391" t="str">
        <f>IFERROR(I106/#REF!-1,"")</f>
        <v/>
      </c>
    </row>
    <row r="107" spans="1:10" x14ac:dyDescent="0.2">
      <c r="A107" s="416" t="s">
        <v>1316</v>
      </c>
      <c r="B107" s="420" t="s">
        <v>1317</v>
      </c>
      <c r="C107" s="480" t="s">
        <v>1028</v>
      </c>
      <c r="D107" s="481">
        <v>498</v>
      </c>
      <c r="E107" s="482">
        <v>372</v>
      </c>
      <c r="F107" s="482">
        <v>65</v>
      </c>
      <c r="G107" s="483">
        <v>22</v>
      </c>
      <c r="H107" s="483">
        <v>50</v>
      </c>
      <c r="I107" s="397">
        <v>6050</v>
      </c>
      <c r="J107" s="398">
        <f>I107*0.65</f>
        <v>3932.5</v>
      </c>
    </row>
    <row r="108" spans="1:10" x14ac:dyDescent="0.2">
      <c r="A108" s="416" t="s">
        <v>1318</v>
      </c>
      <c r="B108" s="420" t="s">
        <v>1319</v>
      </c>
      <c r="C108" s="480" t="s">
        <v>1014</v>
      </c>
      <c r="D108" s="481">
        <v>498</v>
      </c>
      <c r="E108" s="482">
        <v>372</v>
      </c>
      <c r="F108" s="482">
        <v>65</v>
      </c>
      <c r="G108" s="483">
        <v>15.56</v>
      </c>
      <c r="H108" s="483">
        <v>60</v>
      </c>
      <c r="I108" s="397">
        <v>4500</v>
      </c>
      <c r="J108" s="398">
        <f>I108*0.65</f>
        <v>2925</v>
      </c>
    </row>
    <row r="109" spans="1:10" x14ac:dyDescent="0.2">
      <c r="A109" s="388" t="s">
        <v>1320</v>
      </c>
      <c r="B109" s="389"/>
      <c r="C109" s="389"/>
      <c r="D109" s="389"/>
      <c r="E109" s="389"/>
      <c r="F109" s="389"/>
      <c r="G109" s="389"/>
      <c r="H109" s="389"/>
      <c r="I109" s="390"/>
      <c r="J109" s="391" t="str">
        <f>IFERROR(I109/#REF!-1,"")</f>
        <v/>
      </c>
    </row>
    <row r="110" spans="1:10" x14ac:dyDescent="0.2">
      <c r="A110" s="473" t="s">
        <v>1262</v>
      </c>
      <c r="B110" s="420" t="s">
        <v>1263</v>
      </c>
      <c r="C110" s="393"/>
      <c r="D110" s="393"/>
      <c r="E110" s="393"/>
      <c r="F110" s="393"/>
      <c r="G110" s="393"/>
      <c r="H110" s="393"/>
      <c r="I110" s="399">
        <v>17</v>
      </c>
      <c r="J110" s="400">
        <f>I110*0.75</f>
        <v>12.75</v>
      </c>
    </row>
    <row r="111" spans="1:10" x14ac:dyDescent="0.2">
      <c r="A111" s="473" t="s">
        <v>1264</v>
      </c>
      <c r="B111" s="420" t="s">
        <v>1221</v>
      </c>
      <c r="C111" s="393"/>
      <c r="D111" s="393"/>
      <c r="E111" s="393"/>
      <c r="F111" s="393"/>
      <c r="G111" s="393"/>
      <c r="H111" s="393"/>
      <c r="I111" s="399">
        <v>17</v>
      </c>
      <c r="J111" s="400">
        <f>I111*0.75</f>
        <v>12.75</v>
      </c>
    </row>
    <row r="112" spans="1:10" x14ac:dyDescent="0.2">
      <c r="A112" s="388" t="s">
        <v>1321</v>
      </c>
      <c r="B112" s="389"/>
      <c r="C112" s="389"/>
      <c r="D112" s="389"/>
      <c r="E112" s="389"/>
      <c r="F112" s="389"/>
      <c r="G112" s="389"/>
      <c r="H112" s="389"/>
      <c r="I112" s="390"/>
      <c r="J112" s="391" t="str">
        <f>IFERROR(I112/#REF!-1,"")</f>
        <v/>
      </c>
    </row>
    <row r="113" spans="1:10" s="404" customFormat="1" ht="25.5" x14ac:dyDescent="0.2">
      <c r="A113" s="401"/>
      <c r="B113" s="402" t="s">
        <v>1322</v>
      </c>
      <c r="C113" s="403"/>
      <c r="D113" s="403"/>
      <c r="E113" s="403"/>
      <c r="F113" s="403"/>
      <c r="G113" s="403"/>
      <c r="H113" s="403"/>
      <c r="I113" s="394">
        <v>840.00000000000011</v>
      </c>
      <c r="J113" s="395">
        <v>840</v>
      </c>
    </row>
    <row r="114" spans="1:10" x14ac:dyDescent="0.2">
      <c r="A114" s="388" t="s">
        <v>1323</v>
      </c>
      <c r="B114" s="389"/>
      <c r="C114" s="389"/>
      <c r="D114" s="389"/>
      <c r="E114" s="389"/>
      <c r="F114" s="389"/>
      <c r="G114" s="389"/>
      <c r="H114" s="389"/>
      <c r="I114" s="390"/>
      <c r="J114" s="391" t="str">
        <f>IFERROR(I114/#REF!-1,"")</f>
        <v/>
      </c>
    </row>
    <row r="115" spans="1:10" x14ac:dyDescent="0.2">
      <c r="A115" s="421" t="s">
        <v>1324</v>
      </c>
      <c r="B115" s="422" t="s">
        <v>1325</v>
      </c>
      <c r="C115" s="393"/>
      <c r="D115" s="393"/>
      <c r="E115" s="393"/>
      <c r="F115" s="393"/>
      <c r="G115" s="393"/>
      <c r="H115" s="393"/>
      <c r="I115" s="399">
        <v>2292</v>
      </c>
      <c r="J115" s="400">
        <f>I115*0.8</f>
        <v>1833.6000000000001</v>
      </c>
    </row>
    <row r="116" spans="1:10" x14ac:dyDescent="0.2">
      <c r="A116" s="384" t="s">
        <v>1326</v>
      </c>
      <c r="B116" s="385"/>
      <c r="C116" s="385"/>
      <c r="D116" s="385"/>
      <c r="E116" s="385"/>
      <c r="F116" s="385"/>
      <c r="G116" s="385"/>
      <c r="H116" s="385"/>
      <c r="I116" s="386"/>
      <c r="J116" s="387" t="str">
        <f>IFERROR(I116/#REF!-1,"")</f>
        <v/>
      </c>
    </row>
    <row r="117" spans="1:10" x14ac:dyDescent="0.2">
      <c r="A117" s="610" t="s">
        <v>1327</v>
      </c>
      <c r="B117" s="611"/>
      <c r="C117" s="611"/>
      <c r="D117" s="611"/>
      <c r="E117" s="611"/>
      <c r="F117" s="611"/>
      <c r="G117" s="611"/>
      <c r="H117" s="611"/>
      <c r="I117" s="611"/>
      <c r="J117" s="612"/>
    </row>
    <row r="118" spans="1:10" x14ac:dyDescent="0.2">
      <c r="A118" s="484">
        <v>47414</v>
      </c>
      <c r="B118" s="485" t="s">
        <v>1328</v>
      </c>
      <c r="C118" s="486" t="s">
        <v>1014</v>
      </c>
      <c r="D118" s="486">
        <v>1000</v>
      </c>
      <c r="E118" s="486">
        <v>380</v>
      </c>
      <c r="F118" s="486">
        <v>310</v>
      </c>
      <c r="G118" s="486">
        <v>160</v>
      </c>
      <c r="H118" s="486">
        <v>6</v>
      </c>
      <c r="I118" s="487">
        <v>15158</v>
      </c>
      <c r="J118" s="488">
        <f>I118*0.65</f>
        <v>9852.7000000000007</v>
      </c>
    </row>
    <row r="119" spans="1:10" x14ac:dyDescent="0.2">
      <c r="A119" s="484">
        <v>47514</v>
      </c>
      <c r="B119" s="485" t="s">
        <v>1329</v>
      </c>
      <c r="C119" s="486" t="s">
        <v>1014</v>
      </c>
      <c r="D119" s="486">
        <v>1000</v>
      </c>
      <c r="E119" s="486">
        <v>380</v>
      </c>
      <c r="F119" s="486">
        <v>360</v>
      </c>
      <c r="G119" s="486">
        <v>171</v>
      </c>
      <c r="H119" s="486">
        <v>6</v>
      </c>
      <c r="I119" s="487">
        <v>15442</v>
      </c>
      <c r="J119" s="488">
        <f t="shared" ref="J119:J124" si="4">I119*0.65</f>
        <v>10037.300000000001</v>
      </c>
    </row>
    <row r="120" spans="1:10" x14ac:dyDescent="0.2">
      <c r="A120" s="484">
        <v>47014</v>
      </c>
      <c r="B120" s="485" t="s">
        <v>1330</v>
      </c>
      <c r="C120" s="486" t="s">
        <v>1014</v>
      </c>
      <c r="D120" s="486">
        <v>1000</v>
      </c>
      <c r="E120" s="486">
        <v>380</v>
      </c>
      <c r="F120" s="486">
        <v>410</v>
      </c>
      <c r="G120" s="486">
        <v>182</v>
      </c>
      <c r="H120" s="486">
        <v>6</v>
      </c>
      <c r="I120" s="487">
        <v>15775</v>
      </c>
      <c r="J120" s="488">
        <f t="shared" si="4"/>
        <v>10253.75</v>
      </c>
    </row>
    <row r="121" spans="1:10" x14ac:dyDescent="0.2">
      <c r="A121" s="484">
        <v>47614</v>
      </c>
      <c r="B121" s="485" t="s">
        <v>1331</v>
      </c>
      <c r="C121" s="486" t="s">
        <v>1014</v>
      </c>
      <c r="D121" s="486">
        <v>1000</v>
      </c>
      <c r="E121" s="486">
        <v>380</v>
      </c>
      <c r="F121" s="486">
        <v>610</v>
      </c>
      <c r="G121" s="486">
        <v>220</v>
      </c>
      <c r="H121" s="486">
        <v>3</v>
      </c>
      <c r="I121" s="487">
        <v>16917</v>
      </c>
      <c r="J121" s="488">
        <f t="shared" si="4"/>
        <v>10996.050000000001</v>
      </c>
    </row>
    <row r="122" spans="1:10" x14ac:dyDescent="0.2">
      <c r="A122" s="484" t="s">
        <v>1332</v>
      </c>
      <c r="B122" s="485" t="s">
        <v>1333</v>
      </c>
      <c r="C122" s="486" t="s">
        <v>1014</v>
      </c>
      <c r="D122" s="486">
        <v>500</v>
      </c>
      <c r="E122" s="486">
        <v>380</v>
      </c>
      <c r="F122" s="486">
        <v>440</v>
      </c>
      <c r="G122" s="486">
        <v>95.06</v>
      </c>
      <c r="H122" s="486">
        <v>6</v>
      </c>
      <c r="I122" s="487">
        <v>13925</v>
      </c>
      <c r="J122" s="488">
        <f t="shared" si="4"/>
        <v>9051.25</v>
      </c>
    </row>
    <row r="123" spans="1:10" x14ac:dyDescent="0.2">
      <c r="A123" s="484">
        <v>47814</v>
      </c>
      <c r="B123" s="485" t="s">
        <v>1334</v>
      </c>
      <c r="C123" s="486" t="s">
        <v>1014</v>
      </c>
      <c r="D123" s="486">
        <v>500</v>
      </c>
      <c r="E123" s="486">
        <v>390</v>
      </c>
      <c r="F123" s="486">
        <v>950</v>
      </c>
      <c r="G123" s="486">
        <v>198.62</v>
      </c>
      <c r="H123" s="486">
        <v>6</v>
      </c>
      <c r="I123" s="487">
        <v>20508</v>
      </c>
      <c r="J123" s="488">
        <f t="shared" si="4"/>
        <v>13330.2</v>
      </c>
    </row>
    <row r="124" spans="1:10" x14ac:dyDescent="0.2">
      <c r="A124" s="484" t="s">
        <v>1335</v>
      </c>
      <c r="B124" s="485" t="s">
        <v>1336</v>
      </c>
      <c r="C124" s="486" t="s">
        <v>1014</v>
      </c>
      <c r="D124" s="486">
        <v>500</v>
      </c>
      <c r="E124" s="486">
        <v>390</v>
      </c>
      <c r="F124" s="486">
        <v>950</v>
      </c>
      <c r="G124" s="486">
        <v>178.66</v>
      </c>
      <c r="H124" s="486">
        <v>6</v>
      </c>
      <c r="I124" s="487">
        <v>18000</v>
      </c>
      <c r="J124" s="488">
        <f t="shared" si="4"/>
        <v>11700</v>
      </c>
    </row>
    <row r="125" spans="1:10" x14ac:dyDescent="0.2">
      <c r="A125" s="388" t="s">
        <v>1337</v>
      </c>
      <c r="B125" s="389"/>
      <c r="C125" s="389"/>
      <c r="D125" s="389"/>
      <c r="E125" s="389"/>
      <c r="F125" s="389"/>
      <c r="G125" s="389"/>
      <c r="H125" s="389"/>
      <c r="I125" s="390"/>
      <c r="J125" s="391" t="str">
        <f>IFERROR(I125/#REF!-1,"")</f>
        <v/>
      </c>
    </row>
    <row r="126" spans="1:10" x14ac:dyDescent="0.2">
      <c r="A126" s="413" t="s">
        <v>1338</v>
      </c>
      <c r="B126" s="413" t="s">
        <v>1339</v>
      </c>
      <c r="C126" s="480" t="s">
        <v>1028</v>
      </c>
      <c r="D126" s="393">
        <v>1000</v>
      </c>
      <c r="E126" s="393">
        <v>380</v>
      </c>
      <c r="F126" s="393">
        <v>310</v>
      </c>
      <c r="G126" s="393">
        <v>170.28</v>
      </c>
      <c r="H126" s="393">
        <v>6</v>
      </c>
      <c r="I126" s="397">
        <v>18258</v>
      </c>
      <c r="J126" s="398">
        <f>I126*0.65</f>
        <v>11867.7</v>
      </c>
    </row>
    <row r="127" spans="1:10" x14ac:dyDescent="0.2">
      <c r="A127" s="413" t="s">
        <v>1340</v>
      </c>
      <c r="B127" s="413" t="s">
        <v>1341</v>
      </c>
      <c r="C127" s="480" t="s">
        <v>1028</v>
      </c>
      <c r="D127" s="393">
        <v>1000</v>
      </c>
      <c r="E127" s="393">
        <v>380</v>
      </c>
      <c r="F127" s="393">
        <v>360</v>
      </c>
      <c r="G127" s="393">
        <v>179.38</v>
      </c>
      <c r="H127" s="393">
        <v>6</v>
      </c>
      <c r="I127" s="397">
        <v>18542</v>
      </c>
      <c r="J127" s="398">
        <f t="shared" ref="J127:J132" si="5">I127*0.65</f>
        <v>12052.300000000001</v>
      </c>
    </row>
    <row r="128" spans="1:10" x14ac:dyDescent="0.2">
      <c r="A128" s="413" t="s">
        <v>1342</v>
      </c>
      <c r="B128" s="413" t="s">
        <v>1343</v>
      </c>
      <c r="C128" s="480" t="s">
        <v>1028</v>
      </c>
      <c r="D128" s="393">
        <v>1000</v>
      </c>
      <c r="E128" s="393">
        <v>380</v>
      </c>
      <c r="F128" s="393">
        <v>410</v>
      </c>
      <c r="G128" s="393">
        <v>190.38</v>
      </c>
      <c r="H128" s="393">
        <v>6</v>
      </c>
      <c r="I128" s="397">
        <v>18875</v>
      </c>
      <c r="J128" s="398">
        <f t="shared" si="5"/>
        <v>12268.75</v>
      </c>
    </row>
    <row r="129" spans="1:10" x14ac:dyDescent="0.2">
      <c r="A129" s="413" t="s">
        <v>1344</v>
      </c>
      <c r="B129" s="413" t="s">
        <v>1345</v>
      </c>
      <c r="C129" s="480" t="s">
        <v>1028</v>
      </c>
      <c r="D129" s="393">
        <v>1000</v>
      </c>
      <c r="E129" s="393">
        <v>380</v>
      </c>
      <c r="F129" s="393">
        <v>610</v>
      </c>
      <c r="G129" s="393">
        <v>264.72000000000003</v>
      </c>
      <c r="H129" s="393">
        <v>6</v>
      </c>
      <c r="I129" s="397">
        <v>20017</v>
      </c>
      <c r="J129" s="398">
        <f t="shared" si="5"/>
        <v>13011.050000000001</v>
      </c>
    </row>
    <row r="130" spans="1:10" x14ac:dyDescent="0.2">
      <c r="A130" s="489" t="s">
        <v>1346</v>
      </c>
      <c r="B130" s="413" t="s">
        <v>1347</v>
      </c>
      <c r="C130" s="480" t="s">
        <v>1028</v>
      </c>
      <c r="D130" s="393">
        <v>500</v>
      </c>
      <c r="E130" s="393">
        <v>380</v>
      </c>
      <c r="F130" s="393">
        <v>440</v>
      </c>
      <c r="G130" s="393">
        <v>98.14</v>
      </c>
      <c r="H130" s="393">
        <v>10</v>
      </c>
      <c r="I130" s="397">
        <v>15367</v>
      </c>
      <c r="J130" s="398">
        <f t="shared" si="5"/>
        <v>9988.5500000000011</v>
      </c>
    </row>
    <row r="131" spans="1:10" x14ac:dyDescent="0.2">
      <c r="A131" s="489" t="s">
        <v>1348</v>
      </c>
      <c r="B131" s="413" t="s">
        <v>1349</v>
      </c>
      <c r="C131" s="480" t="s">
        <v>1028</v>
      </c>
      <c r="D131" s="393">
        <v>500</v>
      </c>
      <c r="E131" s="393">
        <v>380</v>
      </c>
      <c r="F131" s="393">
        <v>950</v>
      </c>
      <c r="G131" s="393">
        <v>221.11</v>
      </c>
      <c r="H131" s="393">
        <v>6</v>
      </c>
      <c r="I131" s="397">
        <v>21950</v>
      </c>
      <c r="J131" s="398">
        <f t="shared" si="5"/>
        <v>14267.5</v>
      </c>
    </row>
    <row r="132" spans="1:10" x14ac:dyDescent="0.2">
      <c r="A132" s="489" t="s">
        <v>1350</v>
      </c>
      <c r="B132" s="413" t="s">
        <v>1351</v>
      </c>
      <c r="C132" s="480" t="s">
        <v>1028</v>
      </c>
      <c r="D132" s="393">
        <v>500</v>
      </c>
      <c r="E132" s="393">
        <v>380</v>
      </c>
      <c r="F132" s="393">
        <v>950</v>
      </c>
      <c r="G132" s="393">
        <v>181.7</v>
      </c>
      <c r="H132" s="393">
        <v>6</v>
      </c>
      <c r="I132" s="397">
        <v>20242</v>
      </c>
      <c r="J132" s="398">
        <f t="shared" si="5"/>
        <v>13157.300000000001</v>
      </c>
    </row>
    <row r="133" spans="1:10" x14ac:dyDescent="0.2">
      <c r="A133" s="384" t="s">
        <v>1352</v>
      </c>
      <c r="B133" s="385"/>
      <c r="C133" s="385"/>
      <c r="D133" s="385"/>
      <c r="E133" s="385"/>
      <c r="F133" s="385"/>
      <c r="G133" s="385"/>
      <c r="H133" s="385"/>
      <c r="I133" s="386"/>
      <c r="J133" s="387" t="str">
        <f>IFERROR(I133/#REF!-1,"")</f>
        <v/>
      </c>
    </row>
    <row r="134" spans="1:10" x14ac:dyDescent="0.2">
      <c r="A134" s="388" t="s">
        <v>1353</v>
      </c>
      <c r="B134" s="389"/>
      <c r="C134" s="389"/>
      <c r="D134" s="389"/>
      <c r="E134" s="389"/>
      <c r="F134" s="389"/>
      <c r="G134" s="389"/>
      <c r="H134" s="389"/>
      <c r="I134" s="390"/>
      <c r="J134" s="391" t="str">
        <f>IFERROR(I134/#REF!-1,"")</f>
        <v/>
      </c>
    </row>
    <row r="135" spans="1:10" x14ac:dyDescent="0.2">
      <c r="A135" s="392" t="s">
        <v>1354</v>
      </c>
      <c r="B135" s="392" t="s">
        <v>1355</v>
      </c>
      <c r="C135" s="490" t="s">
        <v>1241</v>
      </c>
      <c r="D135" s="393">
        <v>1000</v>
      </c>
      <c r="E135" s="393">
        <v>520</v>
      </c>
      <c r="F135" s="393">
        <v>410</v>
      </c>
      <c r="G135" s="393">
        <v>228.38</v>
      </c>
      <c r="H135" s="393">
        <v>4</v>
      </c>
      <c r="I135" s="399">
        <v>11433</v>
      </c>
      <c r="J135" s="400">
        <f>I135*0.65</f>
        <v>7431.45</v>
      </c>
    </row>
    <row r="136" spans="1:10" s="404" customFormat="1" x14ac:dyDescent="0.2">
      <c r="A136" s="401" t="s">
        <v>1356</v>
      </c>
      <c r="B136" s="401" t="s">
        <v>1357</v>
      </c>
      <c r="C136" s="490" t="s">
        <v>1241</v>
      </c>
      <c r="D136" s="403">
        <v>1000</v>
      </c>
      <c r="E136" s="403">
        <v>520</v>
      </c>
      <c r="F136" s="403">
        <v>460</v>
      </c>
      <c r="G136" s="403">
        <v>242.82</v>
      </c>
      <c r="H136" s="403">
        <v>4</v>
      </c>
      <c r="I136" s="394">
        <v>11950</v>
      </c>
      <c r="J136" s="395">
        <f t="shared" ref="J136:J144" si="6">I136*0.65</f>
        <v>7767.5</v>
      </c>
    </row>
    <row r="137" spans="1:10" x14ac:dyDescent="0.2">
      <c r="A137" s="392" t="s">
        <v>1358</v>
      </c>
      <c r="B137" s="392" t="s">
        <v>1359</v>
      </c>
      <c r="C137" s="490" t="s">
        <v>1241</v>
      </c>
      <c r="D137" s="393">
        <v>1000</v>
      </c>
      <c r="E137" s="393">
        <v>520</v>
      </c>
      <c r="F137" s="393">
        <v>510</v>
      </c>
      <c r="G137" s="393">
        <v>256.75</v>
      </c>
      <c r="H137" s="393">
        <v>4</v>
      </c>
      <c r="I137" s="399">
        <v>12400</v>
      </c>
      <c r="J137" s="400">
        <f t="shared" si="6"/>
        <v>8060</v>
      </c>
    </row>
    <row r="138" spans="1:10" x14ac:dyDescent="0.2">
      <c r="A138" s="392" t="s">
        <v>1360</v>
      </c>
      <c r="B138" s="392" t="s">
        <v>1361</v>
      </c>
      <c r="C138" s="490" t="s">
        <v>1241</v>
      </c>
      <c r="D138" s="393">
        <v>1000</v>
      </c>
      <c r="E138" s="393">
        <v>520</v>
      </c>
      <c r="F138" s="393">
        <v>610</v>
      </c>
      <c r="G138" s="393">
        <v>269.41000000000003</v>
      </c>
      <c r="H138" s="393">
        <v>4</v>
      </c>
      <c r="I138" s="399">
        <v>12950</v>
      </c>
      <c r="J138" s="400">
        <f t="shared" si="6"/>
        <v>8417.5</v>
      </c>
    </row>
    <row r="139" spans="1:10" x14ac:dyDescent="0.2">
      <c r="A139" s="410" t="s">
        <v>1362</v>
      </c>
      <c r="B139" s="392" t="s">
        <v>1363</v>
      </c>
      <c r="C139" s="490" t="s">
        <v>1241</v>
      </c>
      <c r="D139" s="393">
        <v>1000</v>
      </c>
      <c r="E139" s="393">
        <v>520</v>
      </c>
      <c r="F139" s="393">
        <v>950</v>
      </c>
      <c r="G139" s="393">
        <v>824.59</v>
      </c>
      <c r="H139" s="393">
        <v>2</v>
      </c>
      <c r="I139" s="399">
        <v>13533</v>
      </c>
      <c r="J139" s="400">
        <f t="shared" si="6"/>
        <v>8796.4500000000007</v>
      </c>
    </row>
    <row r="140" spans="1:10" x14ac:dyDescent="0.2">
      <c r="A140" s="410" t="s">
        <v>1364</v>
      </c>
      <c r="B140" s="392" t="s">
        <v>1365</v>
      </c>
      <c r="C140" s="490" t="s">
        <v>1241</v>
      </c>
      <c r="D140" s="393">
        <v>1000</v>
      </c>
      <c r="E140" s="393">
        <v>520</v>
      </c>
      <c r="F140" s="393">
        <v>950</v>
      </c>
      <c r="G140" s="393">
        <v>362.6</v>
      </c>
      <c r="H140" s="393">
        <v>2</v>
      </c>
      <c r="I140" s="399">
        <v>11933</v>
      </c>
      <c r="J140" s="400">
        <f t="shared" si="6"/>
        <v>7756.45</v>
      </c>
    </row>
    <row r="141" spans="1:10" x14ac:dyDescent="0.2">
      <c r="A141" s="410" t="s">
        <v>1366</v>
      </c>
      <c r="B141" s="392" t="s">
        <v>1367</v>
      </c>
      <c r="C141" s="490" t="s">
        <v>1241</v>
      </c>
      <c r="D141" s="393">
        <v>1000</v>
      </c>
      <c r="E141" s="393">
        <v>520</v>
      </c>
      <c r="F141" s="393">
        <v>950</v>
      </c>
      <c r="G141" s="393">
        <v>462</v>
      </c>
      <c r="H141" s="393">
        <v>2</v>
      </c>
      <c r="I141" s="399">
        <v>7592</v>
      </c>
      <c r="J141" s="400">
        <f t="shared" si="6"/>
        <v>4934.8</v>
      </c>
    </row>
    <row r="142" spans="1:10" x14ac:dyDescent="0.2">
      <c r="A142" s="410" t="s">
        <v>1368</v>
      </c>
      <c r="B142" s="392" t="s">
        <v>1369</v>
      </c>
      <c r="C142" s="490" t="s">
        <v>1241</v>
      </c>
      <c r="D142" s="393">
        <v>1000</v>
      </c>
      <c r="E142" s="393">
        <v>520</v>
      </c>
      <c r="F142" s="393">
        <v>950</v>
      </c>
      <c r="G142" s="393">
        <v>473.6</v>
      </c>
      <c r="H142" s="393">
        <v>2</v>
      </c>
      <c r="I142" s="399">
        <v>11333</v>
      </c>
      <c r="J142" s="400">
        <f t="shared" si="6"/>
        <v>7366.45</v>
      </c>
    </row>
    <row r="143" spans="1:10" x14ac:dyDescent="0.2">
      <c r="A143" s="410" t="s">
        <v>1370</v>
      </c>
      <c r="B143" s="392" t="s">
        <v>1371</v>
      </c>
      <c r="C143" s="490" t="s">
        <v>1241</v>
      </c>
      <c r="D143" s="393">
        <v>1000</v>
      </c>
      <c r="E143" s="393">
        <v>520</v>
      </c>
      <c r="F143" s="393">
        <v>950</v>
      </c>
      <c r="G143" s="393">
        <v>421.5</v>
      </c>
      <c r="H143" s="393">
        <v>2</v>
      </c>
      <c r="I143" s="399">
        <v>10583</v>
      </c>
      <c r="J143" s="400">
        <f t="shared" si="6"/>
        <v>6878.95</v>
      </c>
    </row>
    <row r="144" spans="1:10" x14ac:dyDescent="0.2">
      <c r="A144" s="410" t="s">
        <v>1372</v>
      </c>
      <c r="B144" s="392" t="s">
        <v>1373</v>
      </c>
      <c r="C144" s="490" t="s">
        <v>1241</v>
      </c>
      <c r="D144" s="393">
        <v>1000</v>
      </c>
      <c r="E144" s="393">
        <v>520</v>
      </c>
      <c r="F144" s="393">
        <v>950</v>
      </c>
      <c r="G144" s="393">
        <v>462</v>
      </c>
      <c r="H144" s="393">
        <v>2</v>
      </c>
      <c r="I144" s="399">
        <v>7492</v>
      </c>
      <c r="J144" s="400">
        <f t="shared" si="6"/>
        <v>4869.8</v>
      </c>
    </row>
    <row r="145" spans="1:10" x14ac:dyDescent="0.2">
      <c r="A145" s="388" t="s">
        <v>1374</v>
      </c>
      <c r="B145" s="389"/>
      <c r="C145" s="389"/>
      <c r="D145" s="389"/>
      <c r="E145" s="389"/>
      <c r="F145" s="389"/>
      <c r="G145" s="389"/>
      <c r="H145" s="389"/>
      <c r="I145" s="390"/>
      <c r="J145" s="391" t="str">
        <f>IFERROR(I145/#REF!-1,"")</f>
        <v/>
      </c>
    </row>
    <row r="146" spans="1:10" x14ac:dyDescent="0.2">
      <c r="A146" s="418" t="s">
        <v>1375</v>
      </c>
      <c r="B146" s="420" t="s">
        <v>1376</v>
      </c>
      <c r="C146" s="491" t="s">
        <v>1377</v>
      </c>
      <c r="D146" s="393"/>
      <c r="E146" s="393"/>
      <c r="F146" s="393"/>
      <c r="G146" s="393">
        <v>30.3</v>
      </c>
      <c r="H146" s="393"/>
      <c r="I146" s="397">
        <v>7642</v>
      </c>
      <c r="J146" s="398">
        <f>I146*0.65</f>
        <v>4967.3</v>
      </c>
    </row>
    <row r="147" spans="1:10" x14ac:dyDescent="0.2">
      <c r="A147" s="388" t="s">
        <v>1378</v>
      </c>
      <c r="B147" s="389"/>
      <c r="C147" s="389"/>
      <c r="D147" s="389"/>
      <c r="E147" s="389"/>
      <c r="F147" s="389"/>
      <c r="G147" s="389"/>
      <c r="H147" s="389"/>
      <c r="I147" s="390"/>
      <c r="J147" s="391" t="str">
        <f>IFERROR(I147/#REF!-1,"")</f>
        <v/>
      </c>
    </row>
    <row r="148" spans="1:10" x14ac:dyDescent="0.2">
      <c r="A148" s="416" t="s">
        <v>1262</v>
      </c>
      <c r="B148" s="420" t="s">
        <v>1263</v>
      </c>
      <c r="C148" s="393"/>
      <c r="D148" s="393"/>
      <c r="E148" s="393"/>
      <c r="F148" s="393"/>
      <c r="G148" s="393"/>
      <c r="H148" s="393"/>
      <c r="I148" s="399">
        <v>17</v>
      </c>
      <c r="J148" s="400">
        <f>I148*0.75</f>
        <v>12.75</v>
      </c>
    </row>
    <row r="149" spans="1:10" x14ac:dyDescent="0.2">
      <c r="A149" s="416" t="s">
        <v>1264</v>
      </c>
      <c r="B149" s="420" t="s">
        <v>1221</v>
      </c>
      <c r="C149" s="393"/>
      <c r="D149" s="393"/>
      <c r="E149" s="393"/>
      <c r="F149" s="393"/>
      <c r="G149" s="393"/>
      <c r="H149" s="393"/>
      <c r="I149" s="399">
        <v>17</v>
      </c>
      <c r="J149" s="400">
        <f>I149*0.75</f>
        <v>12.75</v>
      </c>
    </row>
    <row r="150" spans="1:10" x14ac:dyDescent="0.2">
      <c r="A150" s="388" t="s">
        <v>1379</v>
      </c>
      <c r="B150" s="389"/>
      <c r="C150" s="389"/>
      <c r="D150" s="389"/>
      <c r="E150" s="389"/>
      <c r="F150" s="389"/>
      <c r="G150" s="389"/>
      <c r="H150" s="389"/>
      <c r="I150" s="390"/>
      <c r="J150" s="391" t="str">
        <f>IFERROR(I150/#REF!-1,"")</f>
        <v/>
      </c>
    </row>
    <row r="151" spans="1:10" s="404" customFormat="1" ht="25.5" x14ac:dyDescent="0.2">
      <c r="A151" s="401"/>
      <c r="B151" s="402" t="s">
        <v>1380</v>
      </c>
      <c r="C151" s="403"/>
      <c r="D151" s="403"/>
      <c r="E151" s="403"/>
      <c r="F151" s="403"/>
      <c r="G151" s="403"/>
      <c r="H151" s="403"/>
      <c r="I151" s="394">
        <v>877.33333333333348</v>
      </c>
      <c r="J151" s="395">
        <v>877</v>
      </c>
    </row>
    <row r="152" spans="1:10" x14ac:dyDescent="0.2">
      <c r="A152" s="388" t="s">
        <v>1381</v>
      </c>
      <c r="B152" s="389"/>
      <c r="C152" s="389"/>
      <c r="D152" s="389"/>
      <c r="E152" s="389"/>
      <c r="F152" s="389"/>
      <c r="G152" s="389"/>
      <c r="H152" s="389"/>
      <c r="I152" s="390"/>
      <c r="J152" s="391" t="str">
        <f>IFERROR(I152/#REF!-1,"")</f>
        <v/>
      </c>
    </row>
    <row r="153" spans="1:10" s="404" customFormat="1" x14ac:dyDescent="0.2">
      <c r="A153" s="405" t="s">
        <v>1382</v>
      </c>
      <c r="B153" s="406" t="s">
        <v>1383</v>
      </c>
      <c r="C153" s="403"/>
      <c r="D153" s="403"/>
      <c r="E153" s="403"/>
      <c r="F153" s="403"/>
      <c r="G153" s="403"/>
      <c r="H153" s="403"/>
      <c r="I153" s="394">
        <v>615</v>
      </c>
      <c r="J153" s="395">
        <f>I153*0.8</f>
        <v>492</v>
      </c>
    </row>
    <row r="154" spans="1:10" s="404" customFormat="1" x14ac:dyDescent="0.2">
      <c r="A154" s="405" t="s">
        <v>1384</v>
      </c>
      <c r="B154" s="406" t="s">
        <v>1385</v>
      </c>
      <c r="C154" s="403"/>
      <c r="D154" s="403"/>
      <c r="E154" s="403"/>
      <c r="F154" s="403"/>
      <c r="G154" s="403"/>
      <c r="H154" s="403"/>
      <c r="I154" s="394">
        <v>1627</v>
      </c>
      <c r="J154" s="395">
        <f t="shared" ref="J154:J160" si="7">I154*0.8</f>
        <v>1301.6000000000001</v>
      </c>
    </row>
    <row r="155" spans="1:10" s="404" customFormat="1" x14ac:dyDescent="0.2">
      <c r="A155" s="405" t="s">
        <v>1386</v>
      </c>
      <c r="B155" s="406" t="s">
        <v>1387</v>
      </c>
      <c r="C155" s="403"/>
      <c r="D155" s="403"/>
      <c r="E155" s="403"/>
      <c r="F155" s="403"/>
      <c r="G155" s="403"/>
      <c r="H155" s="403"/>
      <c r="I155" s="394">
        <v>698</v>
      </c>
      <c r="J155" s="395">
        <f t="shared" si="7"/>
        <v>558.4</v>
      </c>
    </row>
    <row r="156" spans="1:10" s="404" customFormat="1" x14ac:dyDescent="0.2">
      <c r="A156" s="405" t="s">
        <v>1388</v>
      </c>
      <c r="B156" s="406" t="s">
        <v>1389</v>
      </c>
      <c r="C156" s="403"/>
      <c r="D156" s="403"/>
      <c r="E156" s="403"/>
      <c r="F156" s="403"/>
      <c r="G156" s="403"/>
      <c r="H156" s="403"/>
      <c r="I156" s="394">
        <v>1755</v>
      </c>
      <c r="J156" s="395">
        <f t="shared" si="7"/>
        <v>1404</v>
      </c>
    </row>
    <row r="157" spans="1:10" s="404" customFormat="1" x14ac:dyDescent="0.2">
      <c r="A157" s="405" t="s">
        <v>1390</v>
      </c>
      <c r="B157" s="406" t="s">
        <v>1391</v>
      </c>
      <c r="C157" s="403"/>
      <c r="D157" s="403"/>
      <c r="E157" s="403"/>
      <c r="F157" s="403"/>
      <c r="G157" s="403"/>
      <c r="H157" s="403"/>
      <c r="I157" s="394">
        <v>782</v>
      </c>
      <c r="J157" s="395">
        <f t="shared" si="7"/>
        <v>625.6</v>
      </c>
    </row>
    <row r="158" spans="1:10" s="404" customFormat="1" x14ac:dyDescent="0.2">
      <c r="A158" s="405" t="s">
        <v>1392</v>
      </c>
      <c r="B158" s="406" t="s">
        <v>1393</v>
      </c>
      <c r="C158" s="403"/>
      <c r="D158" s="403"/>
      <c r="E158" s="403"/>
      <c r="F158" s="403"/>
      <c r="G158" s="403"/>
      <c r="H158" s="403"/>
      <c r="I158" s="394">
        <v>1887</v>
      </c>
      <c r="J158" s="395">
        <f t="shared" si="7"/>
        <v>1509.6000000000001</v>
      </c>
    </row>
    <row r="159" spans="1:10" s="404" customFormat="1" x14ac:dyDescent="0.2">
      <c r="A159" s="405" t="s">
        <v>1394</v>
      </c>
      <c r="B159" s="406" t="s">
        <v>1395</v>
      </c>
      <c r="C159" s="403"/>
      <c r="D159" s="403"/>
      <c r="E159" s="403"/>
      <c r="F159" s="403"/>
      <c r="G159" s="403"/>
      <c r="H159" s="403"/>
      <c r="I159" s="394">
        <v>935</v>
      </c>
      <c r="J159" s="395">
        <f t="shared" si="7"/>
        <v>748</v>
      </c>
    </row>
    <row r="160" spans="1:10" s="404" customFormat="1" x14ac:dyDescent="0.2">
      <c r="A160" s="405" t="s">
        <v>1396</v>
      </c>
      <c r="B160" s="406" t="s">
        <v>1397</v>
      </c>
      <c r="C160" s="403"/>
      <c r="D160" s="403"/>
      <c r="E160" s="403"/>
      <c r="F160" s="403"/>
      <c r="G160" s="403"/>
      <c r="H160" s="403"/>
      <c r="I160" s="394">
        <v>2127</v>
      </c>
      <c r="J160" s="395">
        <f t="shared" si="7"/>
        <v>1701.6000000000001</v>
      </c>
    </row>
    <row r="161" spans="1:10" x14ac:dyDescent="0.2">
      <c r="A161" s="384" t="s">
        <v>1398</v>
      </c>
      <c r="B161" s="385"/>
      <c r="C161" s="385"/>
      <c r="D161" s="385"/>
      <c r="E161" s="385"/>
      <c r="F161" s="385"/>
      <c r="G161" s="385"/>
      <c r="H161" s="385"/>
      <c r="I161" s="386"/>
      <c r="J161" s="387" t="str">
        <f>IFERROR(I161/#REF!-1,"")</f>
        <v/>
      </c>
    </row>
    <row r="162" spans="1:10" x14ac:dyDescent="0.2">
      <c r="A162" s="388" t="s">
        <v>1399</v>
      </c>
      <c r="B162" s="389"/>
      <c r="C162" s="389"/>
      <c r="D162" s="389"/>
      <c r="E162" s="389"/>
      <c r="F162" s="389"/>
      <c r="G162" s="389"/>
      <c r="H162" s="389"/>
      <c r="I162" s="390"/>
      <c r="J162" s="391" t="str">
        <f>IFERROR(I162/#REF!-1,"")</f>
        <v/>
      </c>
    </row>
    <row r="163" spans="1:10" x14ac:dyDescent="0.2">
      <c r="A163" s="410" t="s">
        <v>1400</v>
      </c>
      <c r="B163" s="410" t="s">
        <v>1401</v>
      </c>
      <c r="C163" s="491" t="s">
        <v>1377</v>
      </c>
      <c r="D163" s="393">
        <v>1000</v>
      </c>
      <c r="E163" s="393">
        <v>520</v>
      </c>
      <c r="F163" s="393">
        <v>410</v>
      </c>
      <c r="G163" s="393">
        <v>289.38</v>
      </c>
      <c r="H163" s="393">
        <v>4</v>
      </c>
      <c r="I163" s="397">
        <v>27500</v>
      </c>
      <c r="J163" s="398">
        <f>I163*0.65</f>
        <v>17875</v>
      </c>
    </row>
    <row r="164" spans="1:10" x14ac:dyDescent="0.2">
      <c r="A164" s="410" t="s">
        <v>1402</v>
      </c>
      <c r="B164" s="410" t="s">
        <v>1403</v>
      </c>
      <c r="C164" s="491" t="s">
        <v>1377</v>
      </c>
      <c r="D164" s="393">
        <v>1000</v>
      </c>
      <c r="E164" s="393">
        <v>520</v>
      </c>
      <c r="F164" s="393">
        <v>460</v>
      </c>
      <c r="G164" s="393">
        <v>303.82</v>
      </c>
      <c r="H164" s="393">
        <v>4</v>
      </c>
      <c r="I164" s="397">
        <v>28017</v>
      </c>
      <c r="J164" s="398">
        <f t="shared" ref="J164:J169" si="8">I164*0.65</f>
        <v>18211.05</v>
      </c>
    </row>
    <row r="165" spans="1:10" x14ac:dyDescent="0.2">
      <c r="A165" s="410" t="s">
        <v>1404</v>
      </c>
      <c r="B165" s="410" t="s">
        <v>1405</v>
      </c>
      <c r="C165" s="491" t="s">
        <v>1377</v>
      </c>
      <c r="D165" s="393">
        <v>1000</v>
      </c>
      <c r="E165" s="393">
        <v>520</v>
      </c>
      <c r="F165" s="393">
        <v>510</v>
      </c>
      <c r="G165" s="393">
        <v>317.75</v>
      </c>
      <c r="H165" s="393">
        <v>4</v>
      </c>
      <c r="I165" s="397">
        <v>28467</v>
      </c>
      <c r="J165" s="398">
        <f t="shared" si="8"/>
        <v>18503.55</v>
      </c>
    </row>
    <row r="166" spans="1:10" x14ac:dyDescent="0.2">
      <c r="A166" s="410" t="s">
        <v>1406</v>
      </c>
      <c r="B166" s="410" t="s">
        <v>1407</v>
      </c>
      <c r="C166" s="491" t="s">
        <v>1377</v>
      </c>
      <c r="D166" s="393">
        <v>1000</v>
      </c>
      <c r="E166" s="393">
        <v>520</v>
      </c>
      <c r="F166" s="393">
        <v>610</v>
      </c>
      <c r="G166" s="393">
        <v>345.15</v>
      </c>
      <c r="H166" s="393">
        <v>4</v>
      </c>
      <c r="I166" s="397">
        <v>29017</v>
      </c>
      <c r="J166" s="398">
        <f t="shared" si="8"/>
        <v>18861.05</v>
      </c>
    </row>
    <row r="167" spans="1:10" x14ac:dyDescent="0.2">
      <c r="A167" s="410" t="s">
        <v>1408</v>
      </c>
      <c r="B167" s="410" t="s">
        <v>1409</v>
      </c>
      <c r="C167" s="491" t="s">
        <v>1377</v>
      </c>
      <c r="D167" s="393">
        <v>500</v>
      </c>
      <c r="E167" s="393">
        <v>520</v>
      </c>
      <c r="F167" s="393">
        <v>950</v>
      </c>
      <c r="G167" s="393">
        <v>423.2</v>
      </c>
      <c r="H167" s="393">
        <v>2</v>
      </c>
      <c r="I167" s="397">
        <v>28000</v>
      </c>
      <c r="J167" s="398">
        <f t="shared" si="8"/>
        <v>18200</v>
      </c>
    </row>
    <row r="168" spans="1:10" x14ac:dyDescent="0.2">
      <c r="A168" s="410" t="s">
        <v>1410</v>
      </c>
      <c r="B168" s="410" t="s">
        <v>1411</v>
      </c>
      <c r="C168" s="491" t="s">
        <v>1377</v>
      </c>
      <c r="D168" s="393">
        <v>500</v>
      </c>
      <c r="E168" s="393">
        <v>520</v>
      </c>
      <c r="F168" s="393">
        <v>950</v>
      </c>
      <c r="G168" s="393">
        <v>541.4</v>
      </c>
      <c r="H168" s="393">
        <v>2</v>
      </c>
      <c r="I168" s="397">
        <v>27400</v>
      </c>
      <c r="J168" s="398">
        <f t="shared" si="8"/>
        <v>17810</v>
      </c>
    </row>
    <row r="169" spans="1:10" x14ac:dyDescent="0.2">
      <c r="A169" s="410" t="s">
        <v>1412</v>
      </c>
      <c r="B169" s="410" t="s">
        <v>1413</v>
      </c>
      <c r="C169" s="491" t="s">
        <v>1377</v>
      </c>
      <c r="D169" s="393">
        <v>500</v>
      </c>
      <c r="E169" s="393">
        <v>520</v>
      </c>
      <c r="F169" s="393">
        <v>950</v>
      </c>
      <c r="G169" s="393">
        <v>475.26</v>
      </c>
      <c r="H169" s="393">
        <v>2</v>
      </c>
      <c r="I169" s="397">
        <v>26650</v>
      </c>
      <c r="J169" s="398">
        <f t="shared" si="8"/>
        <v>17322.5</v>
      </c>
    </row>
    <row r="170" spans="1:10" x14ac:dyDescent="0.2">
      <c r="A170" s="384" t="s">
        <v>1414</v>
      </c>
      <c r="B170" s="385"/>
      <c r="C170" s="385"/>
      <c r="D170" s="385"/>
      <c r="E170" s="385"/>
      <c r="F170" s="385"/>
      <c r="G170" s="385"/>
      <c r="H170" s="385"/>
      <c r="I170" s="386"/>
      <c r="J170" s="387" t="str">
        <f>IFERROR(I170/#REF!-1,"")</f>
        <v/>
      </c>
    </row>
    <row r="171" spans="1:10" x14ac:dyDescent="0.2">
      <c r="A171" s="388" t="s">
        <v>1415</v>
      </c>
      <c r="B171" s="389"/>
      <c r="C171" s="389"/>
      <c r="D171" s="389"/>
      <c r="E171" s="389"/>
      <c r="F171" s="389"/>
      <c r="G171" s="389"/>
      <c r="H171" s="389"/>
      <c r="I171" s="390"/>
      <c r="J171" s="391" t="str">
        <f>IFERROR(I171/#REF!-1,"")</f>
        <v/>
      </c>
    </row>
    <row r="172" spans="1:10" x14ac:dyDescent="0.2">
      <c r="A172" s="410" t="s">
        <v>1416</v>
      </c>
      <c r="B172" s="410" t="s">
        <v>1417</v>
      </c>
      <c r="C172" s="491" t="s">
        <v>1241</v>
      </c>
      <c r="D172" s="393">
        <v>1000</v>
      </c>
      <c r="E172" s="393">
        <v>640</v>
      </c>
      <c r="F172" s="393">
        <v>510</v>
      </c>
      <c r="G172" s="393">
        <v>334.87</v>
      </c>
      <c r="H172" s="393">
        <v>2</v>
      </c>
      <c r="I172" s="399">
        <v>14725</v>
      </c>
      <c r="J172" s="400">
        <f t="shared" ref="J172:J177" si="9">I172*0.65</f>
        <v>9571.25</v>
      </c>
    </row>
    <row r="173" spans="1:10" x14ac:dyDescent="0.2">
      <c r="A173" s="410" t="s">
        <v>1418</v>
      </c>
      <c r="B173" s="410" t="s">
        <v>1419</v>
      </c>
      <c r="C173" s="491" t="s">
        <v>1241</v>
      </c>
      <c r="D173" s="393">
        <v>1000</v>
      </c>
      <c r="E173" s="393">
        <v>640</v>
      </c>
      <c r="F173" s="393">
        <v>560</v>
      </c>
      <c r="G173" s="393">
        <v>350.7</v>
      </c>
      <c r="H173" s="393">
        <v>2</v>
      </c>
      <c r="I173" s="399">
        <v>15142</v>
      </c>
      <c r="J173" s="400">
        <f t="shared" si="9"/>
        <v>9842.3000000000011</v>
      </c>
    </row>
    <row r="174" spans="1:10" x14ac:dyDescent="0.2">
      <c r="A174" s="410" t="s">
        <v>1420</v>
      </c>
      <c r="B174" s="410" t="s">
        <v>1421</v>
      </c>
      <c r="C174" s="491" t="s">
        <v>1241</v>
      </c>
      <c r="D174" s="393">
        <v>1000</v>
      </c>
      <c r="E174" s="393">
        <v>640</v>
      </c>
      <c r="F174" s="393">
        <v>610</v>
      </c>
      <c r="G174" s="393">
        <v>362</v>
      </c>
      <c r="H174" s="393">
        <v>2</v>
      </c>
      <c r="I174" s="399">
        <v>15583</v>
      </c>
      <c r="J174" s="400">
        <f t="shared" si="9"/>
        <v>10128.950000000001</v>
      </c>
    </row>
    <row r="175" spans="1:10" x14ac:dyDescent="0.2">
      <c r="A175" s="410" t="s">
        <v>1422</v>
      </c>
      <c r="B175" s="472" t="s">
        <v>1423</v>
      </c>
      <c r="C175" s="491" t="s">
        <v>1241</v>
      </c>
      <c r="D175" s="403">
        <v>500</v>
      </c>
      <c r="E175" s="393">
        <v>640</v>
      </c>
      <c r="F175" s="393">
        <v>650</v>
      </c>
      <c r="G175" s="393">
        <v>217</v>
      </c>
      <c r="H175" s="393">
        <v>4</v>
      </c>
      <c r="I175" s="399">
        <v>16375</v>
      </c>
      <c r="J175" s="400">
        <f t="shared" si="9"/>
        <v>10643.75</v>
      </c>
    </row>
    <row r="176" spans="1:10" x14ac:dyDescent="0.2">
      <c r="A176" s="410" t="s">
        <v>1424</v>
      </c>
      <c r="B176" s="472" t="s">
        <v>1425</v>
      </c>
      <c r="C176" s="491" t="s">
        <v>1241</v>
      </c>
      <c r="D176" s="403">
        <v>500</v>
      </c>
      <c r="E176" s="393">
        <v>640</v>
      </c>
      <c r="F176" s="393">
        <v>650</v>
      </c>
      <c r="G176" s="393">
        <v>212</v>
      </c>
      <c r="H176" s="393">
        <v>4</v>
      </c>
      <c r="I176" s="399">
        <v>14458</v>
      </c>
      <c r="J176" s="400">
        <f t="shared" si="9"/>
        <v>9397.7000000000007</v>
      </c>
    </row>
    <row r="177" spans="1:10" x14ac:dyDescent="0.2">
      <c r="A177" s="410" t="s">
        <v>1426</v>
      </c>
      <c r="B177" s="472" t="s">
        <v>1427</v>
      </c>
      <c r="C177" s="491" t="s">
        <v>1241</v>
      </c>
      <c r="D177" s="403">
        <v>500</v>
      </c>
      <c r="E177" s="393">
        <v>640</v>
      </c>
      <c r="F177" s="393">
        <v>650</v>
      </c>
      <c r="G177" s="393">
        <v>246.5</v>
      </c>
      <c r="H177" s="393">
        <v>4</v>
      </c>
      <c r="I177" s="399">
        <v>15724.666666666701</v>
      </c>
      <c r="J177" s="400">
        <f t="shared" si="9"/>
        <v>10221.033333333356</v>
      </c>
    </row>
    <row r="178" spans="1:10" x14ac:dyDescent="0.2">
      <c r="A178" s="388" t="s">
        <v>1428</v>
      </c>
      <c r="B178" s="389"/>
      <c r="C178" s="389"/>
      <c r="D178" s="389"/>
      <c r="E178" s="389"/>
      <c r="F178" s="389"/>
      <c r="G178" s="389"/>
      <c r="H178" s="389"/>
      <c r="I178" s="390"/>
      <c r="J178" s="391" t="str">
        <f>IFERROR(I178/#REF!-1,"")</f>
        <v/>
      </c>
    </row>
    <row r="179" spans="1:10" x14ac:dyDescent="0.2">
      <c r="A179" s="416" t="s">
        <v>1429</v>
      </c>
      <c r="B179" s="420" t="s">
        <v>1430</v>
      </c>
      <c r="C179" s="491" t="s">
        <v>1377</v>
      </c>
      <c r="D179" s="481">
        <v>498</v>
      </c>
      <c r="E179" s="482">
        <v>628</v>
      </c>
      <c r="F179" s="482">
        <v>85</v>
      </c>
      <c r="G179" s="483">
        <v>41.6</v>
      </c>
      <c r="H179" s="483">
        <v>28</v>
      </c>
      <c r="I179" s="397">
        <v>11010</v>
      </c>
      <c r="J179" s="398">
        <f>I179*0.65</f>
        <v>7156.5</v>
      </c>
    </row>
    <row r="180" spans="1:10" x14ac:dyDescent="0.2">
      <c r="A180" s="388" t="s">
        <v>1431</v>
      </c>
      <c r="B180" s="389"/>
      <c r="C180" s="389"/>
      <c r="D180" s="389"/>
      <c r="E180" s="389"/>
      <c r="F180" s="389"/>
      <c r="G180" s="389"/>
      <c r="H180" s="389"/>
      <c r="I180" s="390"/>
      <c r="J180" s="391" t="str">
        <f>IFERROR(I180/#REF!-1,"")</f>
        <v/>
      </c>
    </row>
    <row r="181" spans="1:10" x14ac:dyDescent="0.2">
      <c r="A181" s="473" t="s">
        <v>1432</v>
      </c>
      <c r="B181" s="420" t="s">
        <v>1433</v>
      </c>
      <c r="C181" s="393"/>
      <c r="D181" s="393"/>
      <c r="E181" s="393"/>
      <c r="F181" s="393"/>
      <c r="G181" s="393"/>
      <c r="H181" s="393"/>
      <c r="I181" s="399">
        <v>17</v>
      </c>
      <c r="J181" s="400">
        <f>I181*0.75</f>
        <v>12.75</v>
      </c>
    </row>
    <row r="182" spans="1:10" x14ac:dyDescent="0.2">
      <c r="A182" s="473" t="s">
        <v>1264</v>
      </c>
      <c r="B182" s="420" t="s">
        <v>1221</v>
      </c>
      <c r="C182" s="393"/>
      <c r="D182" s="393"/>
      <c r="E182" s="393"/>
      <c r="F182" s="393"/>
      <c r="G182" s="393"/>
      <c r="H182" s="393"/>
      <c r="I182" s="399">
        <v>17</v>
      </c>
      <c r="J182" s="400">
        <f>I182*0.75</f>
        <v>12.75</v>
      </c>
    </row>
    <row r="183" spans="1:10" x14ac:dyDescent="0.2">
      <c r="A183" s="388" t="s">
        <v>1434</v>
      </c>
      <c r="B183" s="389"/>
      <c r="C183" s="389"/>
      <c r="D183" s="389"/>
      <c r="E183" s="389"/>
      <c r="F183" s="389"/>
      <c r="G183" s="389"/>
      <c r="H183" s="389"/>
      <c r="I183" s="390"/>
      <c r="J183" s="391" t="str">
        <f>IFERROR(I183/#REF!-1,"")</f>
        <v/>
      </c>
    </row>
    <row r="184" spans="1:10" s="404" customFormat="1" ht="25.5" x14ac:dyDescent="0.2">
      <c r="A184" s="401"/>
      <c r="B184" s="402" t="s">
        <v>1435</v>
      </c>
      <c r="C184" s="403"/>
      <c r="D184" s="403"/>
      <c r="E184" s="403"/>
      <c r="F184" s="403"/>
      <c r="G184" s="403"/>
      <c r="H184" s="403"/>
      <c r="I184" s="394">
        <v>933.33333333333337</v>
      </c>
      <c r="J184" s="395">
        <v>933</v>
      </c>
    </row>
    <row r="185" spans="1:10" x14ac:dyDescent="0.2">
      <c r="A185" s="384" t="s">
        <v>1436</v>
      </c>
      <c r="B185" s="385"/>
      <c r="C185" s="385"/>
      <c r="D185" s="385"/>
      <c r="E185" s="385"/>
      <c r="F185" s="385"/>
      <c r="G185" s="385"/>
      <c r="H185" s="385"/>
      <c r="I185" s="386"/>
      <c r="J185" s="387" t="str">
        <f>IFERROR(I185/#REF!-1,"")</f>
        <v/>
      </c>
    </row>
    <row r="186" spans="1:10" x14ac:dyDescent="0.2">
      <c r="A186" s="388" t="s">
        <v>1437</v>
      </c>
      <c r="B186" s="389"/>
      <c r="C186" s="389"/>
      <c r="D186" s="389"/>
      <c r="E186" s="389"/>
      <c r="F186" s="389"/>
      <c r="G186" s="389"/>
      <c r="H186" s="389"/>
      <c r="I186" s="390"/>
      <c r="J186" s="391" t="str">
        <f>IFERROR(I186/#REF!-1,"")</f>
        <v/>
      </c>
    </row>
    <row r="187" spans="1:10" x14ac:dyDescent="0.2">
      <c r="A187" s="413" t="s">
        <v>1438</v>
      </c>
      <c r="B187" s="413" t="s">
        <v>1439</v>
      </c>
      <c r="C187" s="491" t="s">
        <v>1377</v>
      </c>
      <c r="D187" s="393">
        <v>1000</v>
      </c>
      <c r="E187" s="393">
        <v>640</v>
      </c>
      <c r="F187" s="393">
        <v>510</v>
      </c>
      <c r="G187" s="393">
        <v>423.63</v>
      </c>
      <c r="H187" s="393">
        <v>2</v>
      </c>
      <c r="I187" s="397">
        <v>37200</v>
      </c>
      <c r="J187" s="398">
        <f>I187*0.65</f>
        <v>24180</v>
      </c>
    </row>
    <row r="188" spans="1:10" x14ac:dyDescent="0.2">
      <c r="A188" s="413" t="s">
        <v>1440</v>
      </c>
      <c r="B188" s="413" t="s">
        <v>1441</v>
      </c>
      <c r="C188" s="491" t="s">
        <v>1377</v>
      </c>
      <c r="D188" s="393">
        <v>1000</v>
      </c>
      <c r="E188" s="393">
        <v>640</v>
      </c>
      <c r="F188" s="393">
        <v>560</v>
      </c>
      <c r="G188" s="393">
        <v>439.46</v>
      </c>
      <c r="H188" s="393">
        <v>2</v>
      </c>
      <c r="I188" s="397">
        <v>37617</v>
      </c>
      <c r="J188" s="398">
        <f>I188*0.65</f>
        <v>24451.05</v>
      </c>
    </row>
    <row r="189" spans="1:10" x14ac:dyDescent="0.2">
      <c r="A189" s="413" t="s">
        <v>1442</v>
      </c>
      <c r="B189" s="413" t="s">
        <v>1443</v>
      </c>
      <c r="C189" s="491" t="s">
        <v>1377</v>
      </c>
      <c r="D189" s="393">
        <v>1000</v>
      </c>
      <c r="E189" s="393">
        <v>640</v>
      </c>
      <c r="F189" s="393">
        <v>610</v>
      </c>
      <c r="G189" s="393">
        <v>455.36</v>
      </c>
      <c r="H189" s="393">
        <v>2</v>
      </c>
      <c r="I189" s="397">
        <v>38058</v>
      </c>
      <c r="J189" s="398">
        <f>I189*0.65</f>
        <v>24737.7</v>
      </c>
    </row>
    <row r="190" spans="1:10" x14ac:dyDescent="0.2">
      <c r="A190" s="489" t="s">
        <v>1444</v>
      </c>
      <c r="B190" s="413" t="s">
        <v>1445</v>
      </c>
      <c r="C190" s="491" t="s">
        <v>1377</v>
      </c>
      <c r="D190" s="393">
        <v>500</v>
      </c>
      <c r="E190" s="393">
        <v>640</v>
      </c>
      <c r="F190" s="393">
        <v>650</v>
      </c>
      <c r="G190" s="393">
        <v>278</v>
      </c>
      <c r="H190" s="393">
        <v>4</v>
      </c>
      <c r="I190" s="397">
        <v>27733</v>
      </c>
      <c r="J190" s="398">
        <f>I190*0.65</f>
        <v>18026.45</v>
      </c>
    </row>
    <row r="191" spans="1:10" ht="18.75" x14ac:dyDescent="0.3">
      <c r="A191" s="603" t="s">
        <v>1142</v>
      </c>
      <c r="B191" s="604"/>
      <c r="C191" s="604"/>
      <c r="D191" s="604"/>
      <c r="E191" s="604"/>
      <c r="F191" s="604"/>
      <c r="G191" s="604"/>
      <c r="H191" s="604"/>
      <c r="I191" s="604"/>
      <c r="J191" s="604"/>
    </row>
    <row r="192" spans="1:10" ht="15.75" x14ac:dyDescent="0.25">
      <c r="A192" s="601" t="s">
        <v>1446</v>
      </c>
      <c r="B192" s="602"/>
      <c r="C192" s="602"/>
      <c r="D192" s="602"/>
      <c r="E192" s="602"/>
      <c r="F192" s="602"/>
      <c r="G192" s="602"/>
      <c r="H192" s="602"/>
      <c r="I192" s="602"/>
      <c r="J192" s="602"/>
    </row>
    <row r="193" spans="1:10" ht="15" x14ac:dyDescent="0.2">
      <c r="A193" s="492" t="s">
        <v>1447</v>
      </c>
      <c r="B193" s="493" t="s">
        <v>1448</v>
      </c>
      <c r="C193" s="494" t="s">
        <v>880</v>
      </c>
      <c r="D193" s="494">
        <v>1000</v>
      </c>
      <c r="E193" s="494">
        <v>190</v>
      </c>
      <c r="F193" s="494">
        <v>230</v>
      </c>
      <c r="G193" s="494">
        <v>32.31</v>
      </c>
      <c r="H193" s="494">
        <v>18</v>
      </c>
      <c r="I193" s="495">
        <v>6608</v>
      </c>
      <c r="J193" s="496">
        <f>I193*0.7</f>
        <v>4625.5999999999995</v>
      </c>
    </row>
    <row r="194" spans="1:10" ht="15" x14ac:dyDescent="0.2">
      <c r="A194" s="492" t="s">
        <v>1449</v>
      </c>
      <c r="B194" s="493" t="s">
        <v>1450</v>
      </c>
      <c r="C194" s="494" t="s">
        <v>1451</v>
      </c>
      <c r="D194" s="494">
        <v>500</v>
      </c>
      <c r="E194" s="494">
        <v>190</v>
      </c>
      <c r="F194" s="494">
        <v>500</v>
      </c>
      <c r="G194" s="494">
        <v>32.36</v>
      </c>
      <c r="H194" s="494">
        <v>12</v>
      </c>
      <c r="I194" s="495">
        <v>6503</v>
      </c>
      <c r="J194" s="496">
        <f>I194*0.7</f>
        <v>4552.0999999999995</v>
      </c>
    </row>
    <row r="195" spans="1:10" ht="15.75" x14ac:dyDescent="0.25">
      <c r="A195" s="601" t="s">
        <v>1152</v>
      </c>
      <c r="B195" s="602"/>
      <c r="C195" s="602"/>
      <c r="D195" s="602"/>
      <c r="E195" s="602"/>
      <c r="F195" s="602"/>
      <c r="G195" s="602"/>
      <c r="H195" s="602"/>
      <c r="I195" s="602"/>
      <c r="J195" s="602"/>
    </row>
    <row r="196" spans="1:10" ht="15" x14ac:dyDescent="0.2">
      <c r="A196" s="497" t="s">
        <v>1153</v>
      </c>
      <c r="B196" s="498" t="s">
        <v>1154</v>
      </c>
      <c r="C196" s="494" t="s">
        <v>1014</v>
      </c>
      <c r="D196" s="494">
        <v>498</v>
      </c>
      <c r="E196" s="494">
        <v>172</v>
      </c>
      <c r="F196" s="494">
        <v>24</v>
      </c>
      <c r="G196" s="494">
        <v>5.19</v>
      </c>
      <c r="H196" s="494">
        <v>187</v>
      </c>
      <c r="I196" s="499">
        <v>1408</v>
      </c>
      <c r="J196" s="500">
        <f>I196*0.65</f>
        <v>915.2</v>
      </c>
    </row>
    <row r="197" spans="1:10" ht="15" x14ac:dyDescent="0.2">
      <c r="A197" s="497" t="s">
        <v>1155</v>
      </c>
      <c r="B197" s="501" t="s">
        <v>1156</v>
      </c>
      <c r="C197" s="502" t="s">
        <v>1014</v>
      </c>
      <c r="D197" s="502">
        <v>498</v>
      </c>
      <c r="E197" s="502">
        <v>172</v>
      </c>
      <c r="F197" s="502">
        <v>24</v>
      </c>
      <c r="G197" s="502">
        <v>5.79</v>
      </c>
      <c r="H197" s="502">
        <v>143</v>
      </c>
      <c r="I197" s="499">
        <v>1433</v>
      </c>
      <c r="J197" s="500">
        <f>I197*0.65</f>
        <v>931.45</v>
      </c>
    </row>
    <row r="198" spans="1:10" ht="15" x14ac:dyDescent="0.2">
      <c r="A198" s="497" t="s">
        <v>1157</v>
      </c>
      <c r="B198" s="501" t="s">
        <v>1158</v>
      </c>
      <c r="C198" s="502" t="s">
        <v>1028</v>
      </c>
      <c r="D198" s="502">
        <v>498</v>
      </c>
      <c r="E198" s="502">
        <v>172</v>
      </c>
      <c r="F198" s="502">
        <v>35</v>
      </c>
      <c r="G198" s="502">
        <v>5.5</v>
      </c>
      <c r="H198" s="502">
        <v>154</v>
      </c>
      <c r="I198" s="499">
        <v>1833</v>
      </c>
      <c r="J198" s="500">
        <f>I198*0.65</f>
        <v>1191.45</v>
      </c>
    </row>
    <row r="199" spans="1:10" ht="15" x14ac:dyDescent="0.2">
      <c r="A199" s="503" t="s">
        <v>1159</v>
      </c>
      <c r="B199" s="501" t="s">
        <v>1160</v>
      </c>
      <c r="C199" s="502" t="s">
        <v>1028</v>
      </c>
      <c r="D199" s="502">
        <v>498</v>
      </c>
      <c r="E199" s="502">
        <v>172</v>
      </c>
      <c r="F199" s="502">
        <v>30</v>
      </c>
      <c r="G199" s="502">
        <v>6.79</v>
      </c>
      <c r="H199" s="502">
        <v>143</v>
      </c>
      <c r="I199" s="499">
        <v>1875</v>
      </c>
      <c r="J199" s="500">
        <f>I199*0.65</f>
        <v>1218.75</v>
      </c>
    </row>
    <row r="200" spans="1:10" ht="15.75" x14ac:dyDescent="0.25">
      <c r="A200" s="601" t="s">
        <v>1161</v>
      </c>
      <c r="B200" s="602"/>
      <c r="C200" s="602"/>
      <c r="D200" s="602"/>
      <c r="E200" s="602"/>
      <c r="F200" s="602"/>
      <c r="G200" s="602"/>
      <c r="H200" s="602"/>
      <c r="I200" s="602"/>
      <c r="J200" s="602"/>
    </row>
    <row r="201" spans="1:10" ht="15" x14ac:dyDescent="0.2">
      <c r="A201" s="504" t="s">
        <v>1162</v>
      </c>
      <c r="B201" s="501" t="s">
        <v>1163</v>
      </c>
      <c r="C201" s="502"/>
      <c r="D201" s="502"/>
      <c r="E201" s="502"/>
      <c r="F201" s="502"/>
      <c r="G201" s="502"/>
      <c r="H201" s="502"/>
      <c r="I201" s="499">
        <v>17</v>
      </c>
      <c r="J201" s="500">
        <f>I201*0.8</f>
        <v>13.600000000000001</v>
      </c>
    </row>
    <row r="202" spans="1:10" ht="15" x14ac:dyDescent="0.2">
      <c r="A202" s="504" t="s">
        <v>1164</v>
      </c>
      <c r="B202" s="501" t="s">
        <v>1165</v>
      </c>
      <c r="C202" s="502"/>
      <c r="D202" s="502"/>
      <c r="E202" s="502"/>
      <c r="F202" s="502"/>
      <c r="G202" s="502"/>
      <c r="H202" s="502"/>
      <c r="I202" s="499">
        <v>17</v>
      </c>
      <c r="J202" s="500">
        <f>I202*0.8</f>
        <v>13.600000000000001</v>
      </c>
    </row>
    <row r="203" spans="1:10" ht="15" x14ac:dyDescent="0.25">
      <c r="A203" s="605" t="s">
        <v>1166</v>
      </c>
      <c r="B203" s="606"/>
      <c r="C203" s="606"/>
      <c r="D203" s="606"/>
      <c r="E203" s="606"/>
      <c r="F203" s="606"/>
      <c r="G203" s="606"/>
      <c r="H203" s="606"/>
      <c r="I203" s="606"/>
      <c r="J203" s="606"/>
    </row>
    <row r="204" spans="1:10" s="404" customFormat="1" ht="15" x14ac:dyDescent="0.25">
      <c r="A204" s="505"/>
      <c r="B204" s="498" t="s">
        <v>1452</v>
      </c>
      <c r="C204" s="494"/>
      <c r="D204" s="494"/>
      <c r="E204" s="494"/>
      <c r="F204" s="494"/>
      <c r="G204" s="494"/>
      <c r="H204" s="494"/>
      <c r="I204" s="499">
        <v>672.00000000000011</v>
      </c>
      <c r="J204" s="506">
        <v>672</v>
      </c>
    </row>
    <row r="205" spans="1:10" ht="15" x14ac:dyDescent="0.25">
      <c r="A205" s="605" t="s">
        <v>1167</v>
      </c>
      <c r="B205" s="606"/>
      <c r="C205" s="606"/>
      <c r="D205" s="606"/>
      <c r="E205" s="606"/>
      <c r="F205" s="606"/>
      <c r="G205" s="606"/>
      <c r="H205" s="606"/>
      <c r="I205" s="606"/>
      <c r="J205" s="606"/>
    </row>
    <row r="206" spans="1:10" s="404" customFormat="1" ht="15" x14ac:dyDescent="0.2">
      <c r="A206" s="507">
        <v>6711</v>
      </c>
      <c r="B206" s="508" t="s">
        <v>1453</v>
      </c>
      <c r="C206" s="494"/>
      <c r="D206" s="494"/>
      <c r="E206" s="494"/>
      <c r="F206" s="494"/>
      <c r="G206" s="494"/>
      <c r="H206" s="494"/>
      <c r="I206" s="509">
        <v>488</v>
      </c>
      <c r="J206" s="510">
        <f>I206*0.8</f>
        <v>390.40000000000003</v>
      </c>
    </row>
    <row r="207" spans="1:10" ht="18.75" x14ac:dyDescent="0.3">
      <c r="A207" s="603" t="s">
        <v>1170</v>
      </c>
      <c r="B207" s="604"/>
      <c r="C207" s="604"/>
      <c r="D207" s="604"/>
      <c r="E207" s="604"/>
      <c r="F207" s="604"/>
      <c r="G207" s="604"/>
      <c r="H207" s="604"/>
      <c r="I207" s="604"/>
      <c r="J207" s="604"/>
    </row>
    <row r="208" spans="1:10" ht="15.75" x14ac:dyDescent="0.25">
      <c r="A208" s="601" t="s">
        <v>1454</v>
      </c>
      <c r="B208" s="602"/>
      <c r="C208" s="602"/>
      <c r="D208" s="602"/>
      <c r="E208" s="602"/>
      <c r="F208" s="602"/>
      <c r="G208" s="602"/>
      <c r="H208" s="602"/>
      <c r="I208" s="602"/>
      <c r="J208" s="602"/>
    </row>
    <row r="209" spans="1:10" ht="15" x14ac:dyDescent="0.25">
      <c r="A209" s="511" t="s">
        <v>1455</v>
      </c>
      <c r="B209" s="512" t="s">
        <v>1456</v>
      </c>
      <c r="C209" s="502" t="s">
        <v>1014</v>
      </c>
      <c r="D209" s="502">
        <v>1000</v>
      </c>
      <c r="E209" s="502">
        <v>190</v>
      </c>
      <c r="F209" s="502">
        <v>230</v>
      </c>
      <c r="G209" s="502">
        <v>41.5</v>
      </c>
      <c r="H209" s="502">
        <v>18</v>
      </c>
      <c r="I209" s="495">
        <v>9502</v>
      </c>
      <c r="J209" s="496">
        <f>I209*0.7</f>
        <v>6651.4</v>
      </c>
    </row>
    <row r="210" spans="1:10" ht="15" x14ac:dyDescent="0.25">
      <c r="A210" s="511" t="s">
        <v>1457</v>
      </c>
      <c r="B210" s="512" t="s">
        <v>1458</v>
      </c>
      <c r="C210" s="502" t="s">
        <v>1014</v>
      </c>
      <c r="D210" s="502">
        <v>500</v>
      </c>
      <c r="E210" s="502">
        <v>190</v>
      </c>
      <c r="F210" s="502">
        <v>500</v>
      </c>
      <c r="G210" s="502">
        <v>37.56</v>
      </c>
      <c r="H210" s="502">
        <v>12</v>
      </c>
      <c r="I210" s="495">
        <v>8025</v>
      </c>
      <c r="J210" s="496">
        <f>I210*0.7</f>
        <v>5617.5</v>
      </c>
    </row>
    <row r="211" spans="1:10" ht="15.75" x14ac:dyDescent="0.25">
      <c r="A211" s="601" t="s">
        <v>1459</v>
      </c>
      <c r="B211" s="602"/>
      <c r="C211" s="602"/>
      <c r="D211" s="602"/>
      <c r="E211" s="602"/>
      <c r="F211" s="602"/>
      <c r="G211" s="602"/>
      <c r="H211" s="602"/>
      <c r="I211" s="602"/>
      <c r="J211" s="602"/>
    </row>
    <row r="212" spans="1:10" ht="15" x14ac:dyDescent="0.25">
      <c r="A212" s="511" t="s">
        <v>1460</v>
      </c>
      <c r="B212" s="512" t="s">
        <v>1461</v>
      </c>
      <c r="C212" s="502" t="s">
        <v>1028</v>
      </c>
      <c r="D212" s="502">
        <v>1000</v>
      </c>
      <c r="E212" s="502">
        <v>190</v>
      </c>
      <c r="F212" s="502">
        <v>230</v>
      </c>
      <c r="G212" s="502">
        <v>45.28</v>
      </c>
      <c r="H212" s="502">
        <v>18</v>
      </c>
      <c r="I212" s="495">
        <v>10287</v>
      </c>
      <c r="J212" s="496">
        <f>I212*0.7</f>
        <v>7200.9</v>
      </c>
    </row>
    <row r="213" spans="1:10" ht="15" x14ac:dyDescent="0.25">
      <c r="A213" s="511" t="s">
        <v>1462</v>
      </c>
      <c r="B213" s="512" t="s">
        <v>1463</v>
      </c>
      <c r="C213" s="502" t="s">
        <v>1028</v>
      </c>
      <c r="D213" s="502">
        <v>500</v>
      </c>
      <c r="E213" s="502">
        <v>190</v>
      </c>
      <c r="F213" s="502">
        <v>500</v>
      </c>
      <c r="G213" s="502">
        <v>39.14</v>
      </c>
      <c r="H213" s="502">
        <v>12</v>
      </c>
      <c r="I213" s="495">
        <v>8418</v>
      </c>
      <c r="J213" s="496">
        <f>I213*0.7</f>
        <v>5892.5999999999995</v>
      </c>
    </row>
    <row r="214" spans="1:10" ht="15" x14ac:dyDescent="0.25">
      <c r="A214" s="511" t="s">
        <v>1464</v>
      </c>
      <c r="B214" s="512" t="s">
        <v>1465</v>
      </c>
      <c r="C214" s="502" t="s">
        <v>1028</v>
      </c>
      <c r="D214" s="502">
        <v>1000</v>
      </c>
      <c r="E214" s="502">
        <v>190</v>
      </c>
      <c r="F214" s="502">
        <v>230</v>
      </c>
      <c r="G214" s="502">
        <v>45.31</v>
      </c>
      <c r="H214" s="502">
        <v>18</v>
      </c>
      <c r="I214" s="513">
        <v>9549</v>
      </c>
      <c r="J214" s="496">
        <f>I214*0.7</f>
        <v>6684.2999999999993</v>
      </c>
    </row>
    <row r="215" spans="1:10" ht="15" x14ac:dyDescent="0.25">
      <c r="A215" s="511" t="s">
        <v>1466</v>
      </c>
      <c r="B215" s="512" t="s">
        <v>1467</v>
      </c>
      <c r="C215" s="502" t="s">
        <v>1028</v>
      </c>
      <c r="D215" s="502">
        <v>500</v>
      </c>
      <c r="E215" s="502">
        <v>190</v>
      </c>
      <c r="F215" s="502">
        <v>500</v>
      </c>
      <c r="G215" s="502">
        <v>39.159999999999997</v>
      </c>
      <c r="H215" s="502">
        <v>12</v>
      </c>
      <c r="I215" s="513">
        <v>8048</v>
      </c>
      <c r="J215" s="496">
        <f>I215*0.7</f>
        <v>5633.5999999999995</v>
      </c>
    </row>
    <row r="216" spans="1:10" ht="18.75" x14ac:dyDescent="0.3">
      <c r="A216" s="603" t="s">
        <v>1205</v>
      </c>
      <c r="B216" s="604"/>
      <c r="C216" s="604"/>
      <c r="D216" s="604"/>
      <c r="E216" s="604"/>
      <c r="F216" s="604"/>
      <c r="G216" s="604"/>
      <c r="H216" s="604"/>
      <c r="I216" s="604"/>
      <c r="J216" s="604"/>
    </row>
    <row r="217" spans="1:10" ht="15.75" x14ac:dyDescent="0.25">
      <c r="A217" s="601" t="s">
        <v>1468</v>
      </c>
      <c r="B217" s="602"/>
      <c r="C217" s="602"/>
      <c r="D217" s="602"/>
      <c r="E217" s="602"/>
      <c r="F217" s="602"/>
      <c r="G217" s="602"/>
      <c r="H217" s="602"/>
      <c r="I217" s="602"/>
      <c r="J217" s="602"/>
    </row>
    <row r="218" spans="1:10" ht="15" x14ac:dyDescent="0.2">
      <c r="A218" s="492" t="s">
        <v>1469</v>
      </c>
      <c r="B218" s="514" t="s">
        <v>1470</v>
      </c>
      <c r="C218" s="502" t="s">
        <v>1028</v>
      </c>
      <c r="D218" s="502">
        <v>1000</v>
      </c>
      <c r="E218" s="502">
        <v>250</v>
      </c>
      <c r="F218" s="502">
        <v>310</v>
      </c>
      <c r="G218" s="502">
        <v>46.66</v>
      </c>
      <c r="H218" s="502">
        <v>10</v>
      </c>
      <c r="I218" s="495">
        <v>9257</v>
      </c>
      <c r="J218" s="496">
        <f>I218*0.7</f>
        <v>6479.9</v>
      </c>
    </row>
    <row r="219" spans="1:10" ht="15" x14ac:dyDescent="0.2">
      <c r="A219" s="515" t="s">
        <v>1471</v>
      </c>
      <c r="B219" s="514" t="s">
        <v>1472</v>
      </c>
      <c r="C219" s="502" t="s">
        <v>1028</v>
      </c>
      <c r="D219" s="502">
        <v>500</v>
      </c>
      <c r="E219" s="502">
        <v>250</v>
      </c>
      <c r="F219" s="502">
        <v>600</v>
      </c>
      <c r="G219" s="502">
        <v>46.48</v>
      </c>
      <c r="H219" s="502">
        <v>10</v>
      </c>
      <c r="I219" s="495">
        <v>10400</v>
      </c>
      <c r="J219" s="496">
        <f>I219*0.7</f>
        <v>7279.9999999999991</v>
      </c>
    </row>
    <row r="220" spans="1:10" ht="15.75" x14ac:dyDescent="0.25">
      <c r="A220" s="601" t="s">
        <v>1215</v>
      </c>
      <c r="B220" s="602"/>
      <c r="C220" s="602"/>
      <c r="D220" s="602"/>
      <c r="E220" s="602"/>
      <c r="F220" s="602"/>
      <c r="G220" s="602"/>
      <c r="H220" s="602"/>
      <c r="I220" s="602"/>
      <c r="J220" s="602"/>
    </row>
    <row r="221" spans="1:10" ht="15" x14ac:dyDescent="0.2">
      <c r="A221" s="516" t="s">
        <v>1216</v>
      </c>
      <c r="B221" s="501" t="s">
        <v>1473</v>
      </c>
      <c r="C221" s="517" t="s">
        <v>1028</v>
      </c>
      <c r="D221" s="518">
        <v>498</v>
      </c>
      <c r="E221" s="519">
        <v>230</v>
      </c>
      <c r="F221" s="518">
        <v>48</v>
      </c>
      <c r="G221" s="518">
        <v>8.8000000000000007</v>
      </c>
      <c r="H221" s="518">
        <v>98</v>
      </c>
      <c r="I221" s="499">
        <v>2650</v>
      </c>
      <c r="J221" s="500">
        <f>I221*0.65</f>
        <v>1722.5</v>
      </c>
    </row>
    <row r="222" spans="1:10" ht="15" x14ac:dyDescent="0.2">
      <c r="A222" s="516" t="s">
        <v>1474</v>
      </c>
      <c r="B222" s="501" t="s">
        <v>1475</v>
      </c>
      <c r="C222" s="520" t="s">
        <v>1241</v>
      </c>
      <c r="D222" s="518">
        <v>498</v>
      </c>
      <c r="E222" s="519">
        <v>230</v>
      </c>
      <c r="F222" s="521" t="s">
        <v>1476</v>
      </c>
      <c r="G222" s="521" t="s">
        <v>1477</v>
      </c>
      <c r="H222" s="521" t="s">
        <v>1478</v>
      </c>
      <c r="I222" s="499">
        <v>4000</v>
      </c>
      <c r="J222" s="500">
        <f>I222*0.65</f>
        <v>2600</v>
      </c>
    </row>
    <row r="223" spans="1:10" ht="15.75" x14ac:dyDescent="0.25">
      <c r="A223" s="601" t="s">
        <v>1218</v>
      </c>
      <c r="B223" s="602"/>
      <c r="C223" s="602"/>
      <c r="D223" s="602"/>
      <c r="E223" s="602"/>
      <c r="F223" s="602"/>
      <c r="G223" s="602"/>
      <c r="H223" s="602"/>
      <c r="I223" s="602"/>
      <c r="J223" s="602"/>
    </row>
    <row r="224" spans="1:10" ht="15" x14ac:dyDescent="0.2">
      <c r="A224" s="497" t="s">
        <v>1219</v>
      </c>
      <c r="B224" s="501" t="s">
        <v>1220</v>
      </c>
      <c r="C224" s="502"/>
      <c r="D224" s="502"/>
      <c r="E224" s="502"/>
      <c r="F224" s="502"/>
      <c r="G224" s="502"/>
      <c r="H224" s="502"/>
      <c r="I224" s="499">
        <v>17</v>
      </c>
      <c r="J224" s="500">
        <f>I224*0.8</f>
        <v>13.600000000000001</v>
      </c>
    </row>
    <row r="225" spans="1:10" ht="15" x14ac:dyDescent="0.2">
      <c r="A225" s="497" t="s">
        <v>1164</v>
      </c>
      <c r="B225" s="501" t="s">
        <v>1221</v>
      </c>
      <c r="C225" s="502"/>
      <c r="D225" s="502"/>
      <c r="E225" s="502"/>
      <c r="F225" s="502"/>
      <c r="G225" s="502"/>
      <c r="H225" s="502"/>
      <c r="I225" s="499">
        <v>17</v>
      </c>
      <c r="J225" s="500">
        <f>I225*0.8</f>
        <v>13.600000000000001</v>
      </c>
    </row>
    <row r="226" spans="1:10" ht="15.75" x14ac:dyDescent="0.25">
      <c r="A226" s="601" t="s">
        <v>1222</v>
      </c>
      <c r="B226" s="602"/>
      <c r="C226" s="602"/>
      <c r="D226" s="602"/>
      <c r="E226" s="602"/>
      <c r="F226" s="602"/>
      <c r="G226" s="602"/>
      <c r="H226" s="602"/>
      <c r="I226" s="602"/>
      <c r="J226" s="602"/>
    </row>
    <row r="227" spans="1:10" s="404" customFormat="1" ht="15" x14ac:dyDescent="0.25">
      <c r="A227" s="505"/>
      <c r="B227" s="498" t="s">
        <v>1479</v>
      </c>
      <c r="C227" s="494"/>
      <c r="D227" s="494"/>
      <c r="E227" s="494"/>
      <c r="F227" s="494"/>
      <c r="G227" s="494"/>
      <c r="H227" s="494"/>
      <c r="I227" s="499">
        <v>747</v>
      </c>
      <c r="J227" s="500">
        <f>I227*0.8</f>
        <v>597.6</v>
      </c>
    </row>
    <row r="228" spans="1:10" ht="15.75" x14ac:dyDescent="0.25">
      <c r="A228" s="601" t="s">
        <v>1480</v>
      </c>
      <c r="B228" s="602"/>
      <c r="C228" s="602"/>
      <c r="D228" s="602"/>
      <c r="E228" s="602"/>
      <c r="F228" s="602"/>
      <c r="G228" s="602"/>
      <c r="H228" s="602"/>
      <c r="I228" s="602"/>
      <c r="J228" s="602"/>
    </row>
    <row r="229" spans="1:10" ht="15" x14ac:dyDescent="0.2">
      <c r="A229" s="522">
        <v>6731</v>
      </c>
      <c r="B229" s="523" t="s">
        <v>1481</v>
      </c>
      <c r="C229" s="502"/>
      <c r="D229" s="502"/>
      <c r="E229" s="502"/>
      <c r="F229" s="502"/>
      <c r="G229" s="502"/>
      <c r="H229" s="502"/>
      <c r="I229" s="524">
        <v>835</v>
      </c>
      <c r="J229" s="525">
        <f>I229*0.8</f>
        <v>668</v>
      </c>
    </row>
    <row r="230" spans="1:10" ht="18.75" x14ac:dyDescent="0.3">
      <c r="A230" s="603" t="s">
        <v>1227</v>
      </c>
      <c r="B230" s="604"/>
      <c r="C230" s="604"/>
      <c r="D230" s="604"/>
      <c r="E230" s="604"/>
      <c r="F230" s="604"/>
      <c r="G230" s="604"/>
      <c r="H230" s="604"/>
      <c r="I230" s="604"/>
      <c r="J230" s="604"/>
    </row>
    <row r="231" spans="1:10" ht="15.75" x14ac:dyDescent="0.25">
      <c r="A231" s="601" t="s">
        <v>1482</v>
      </c>
      <c r="B231" s="602"/>
      <c r="C231" s="602"/>
      <c r="D231" s="602"/>
      <c r="E231" s="602"/>
      <c r="F231" s="602"/>
      <c r="G231" s="602"/>
      <c r="H231" s="602"/>
      <c r="I231" s="602"/>
      <c r="J231" s="602"/>
    </row>
    <row r="232" spans="1:10" ht="15" x14ac:dyDescent="0.25">
      <c r="A232" s="511" t="s">
        <v>1483</v>
      </c>
      <c r="B232" s="512" t="s">
        <v>1484</v>
      </c>
      <c r="C232" s="502" t="s">
        <v>1028</v>
      </c>
      <c r="D232" s="502">
        <v>1000</v>
      </c>
      <c r="E232" s="502">
        <v>250</v>
      </c>
      <c r="F232" s="502">
        <v>310</v>
      </c>
      <c r="G232" s="502">
        <v>68.16</v>
      </c>
      <c r="H232" s="502">
        <v>10</v>
      </c>
      <c r="I232" s="495">
        <v>14467</v>
      </c>
      <c r="J232" s="496">
        <f>I232*0.7</f>
        <v>10126.9</v>
      </c>
    </row>
    <row r="233" spans="1:10" ht="15" x14ac:dyDescent="0.25">
      <c r="A233" s="511" t="s">
        <v>1485</v>
      </c>
      <c r="B233" s="512" t="s">
        <v>1486</v>
      </c>
      <c r="C233" s="502" t="s">
        <v>1028</v>
      </c>
      <c r="D233" s="502">
        <v>1000</v>
      </c>
      <c r="E233" s="502">
        <v>250</v>
      </c>
      <c r="F233" s="502">
        <v>600</v>
      </c>
      <c r="G233" s="502">
        <v>46.48</v>
      </c>
      <c r="H233" s="502">
        <v>10</v>
      </c>
      <c r="I233" s="495">
        <v>13089</v>
      </c>
      <c r="J233" s="496">
        <f>I233*0.7</f>
        <v>9162.2999999999993</v>
      </c>
    </row>
    <row r="234" spans="1:10" ht="18.75" x14ac:dyDescent="0.3">
      <c r="A234" s="603" t="s">
        <v>1237</v>
      </c>
      <c r="B234" s="604"/>
      <c r="C234" s="604"/>
      <c r="D234" s="604"/>
      <c r="E234" s="604"/>
      <c r="F234" s="604"/>
      <c r="G234" s="604"/>
      <c r="H234" s="604"/>
      <c r="I234" s="604"/>
      <c r="J234" s="604"/>
    </row>
    <row r="235" spans="1:10" ht="15.75" x14ac:dyDescent="0.25">
      <c r="A235" s="601" t="s">
        <v>1487</v>
      </c>
      <c r="B235" s="602"/>
      <c r="C235" s="602"/>
      <c r="D235" s="602"/>
      <c r="E235" s="602"/>
      <c r="F235" s="602"/>
      <c r="G235" s="602"/>
      <c r="H235" s="602"/>
      <c r="I235" s="602"/>
      <c r="J235" s="602"/>
    </row>
    <row r="236" spans="1:10" ht="15" x14ac:dyDescent="0.2">
      <c r="A236" s="515" t="s">
        <v>1488</v>
      </c>
      <c r="B236" s="514" t="s">
        <v>1489</v>
      </c>
      <c r="C236" s="502" t="s">
        <v>1241</v>
      </c>
      <c r="D236" s="502">
        <v>1000</v>
      </c>
      <c r="E236" s="502">
        <v>290</v>
      </c>
      <c r="F236" s="502">
        <v>330</v>
      </c>
      <c r="G236" s="502">
        <v>57.17</v>
      </c>
      <c r="H236" s="502">
        <v>8</v>
      </c>
      <c r="I236" s="495">
        <v>11191</v>
      </c>
      <c r="J236" s="496">
        <f>I236*0.7</f>
        <v>7833.7</v>
      </c>
    </row>
    <row r="237" spans="1:10" ht="15" x14ac:dyDescent="0.2">
      <c r="A237" s="515" t="s">
        <v>1490</v>
      </c>
      <c r="B237" s="514" t="s">
        <v>1491</v>
      </c>
      <c r="C237" s="502" t="s">
        <v>1241</v>
      </c>
      <c r="D237" s="502">
        <v>500</v>
      </c>
      <c r="E237" s="502">
        <v>290</v>
      </c>
      <c r="F237" s="502">
        <v>600</v>
      </c>
      <c r="G237" s="502">
        <v>47.95</v>
      </c>
      <c r="H237" s="502">
        <v>8</v>
      </c>
      <c r="I237" s="495">
        <v>10229</v>
      </c>
      <c r="J237" s="496">
        <f>I237*0.7</f>
        <v>7160.2999999999993</v>
      </c>
    </row>
    <row r="238" spans="1:10" ht="15" x14ac:dyDescent="0.2">
      <c r="A238" s="515" t="s">
        <v>1492</v>
      </c>
      <c r="B238" s="514" t="s">
        <v>1493</v>
      </c>
      <c r="C238" s="502" t="s">
        <v>1241</v>
      </c>
      <c r="D238" s="502">
        <v>500</v>
      </c>
      <c r="E238" s="502">
        <v>290</v>
      </c>
      <c r="F238" s="502">
        <v>600</v>
      </c>
      <c r="G238" s="502">
        <v>43.62</v>
      </c>
      <c r="H238" s="502">
        <v>8</v>
      </c>
      <c r="I238" s="495">
        <v>9500</v>
      </c>
      <c r="J238" s="496">
        <f>I238*0.7</f>
        <v>6650</v>
      </c>
    </row>
    <row r="239" spans="1:10" ht="15" x14ac:dyDescent="0.2">
      <c r="A239" s="515" t="s">
        <v>1494</v>
      </c>
      <c r="B239" s="514" t="s">
        <v>1495</v>
      </c>
      <c r="C239" s="502" t="s">
        <v>1241</v>
      </c>
      <c r="D239" s="502">
        <v>500</v>
      </c>
      <c r="E239" s="502">
        <v>290</v>
      </c>
      <c r="F239" s="502">
        <v>600</v>
      </c>
      <c r="G239" s="502">
        <v>45.8</v>
      </c>
      <c r="H239" s="502">
        <v>8</v>
      </c>
      <c r="I239" s="495">
        <v>8488</v>
      </c>
      <c r="J239" s="496">
        <f>I239*0.7</f>
        <v>5941.5999999999995</v>
      </c>
    </row>
    <row r="240" spans="1:10" ht="15" x14ac:dyDescent="0.2">
      <c r="A240" s="515" t="s">
        <v>1496</v>
      </c>
      <c r="B240" s="514" t="s">
        <v>1497</v>
      </c>
      <c r="C240" s="502" t="s">
        <v>1241</v>
      </c>
      <c r="D240" s="502">
        <v>500</v>
      </c>
      <c r="E240" s="502">
        <v>290</v>
      </c>
      <c r="F240" s="502">
        <v>600</v>
      </c>
      <c r="G240" s="502">
        <v>51.9</v>
      </c>
      <c r="H240" s="502">
        <v>8</v>
      </c>
      <c r="I240" s="495">
        <v>9489</v>
      </c>
      <c r="J240" s="496">
        <f>I240*0.7</f>
        <v>6642.2999999999993</v>
      </c>
    </row>
    <row r="241" spans="1:10" ht="15.75" x14ac:dyDescent="0.25">
      <c r="A241" s="601" t="s">
        <v>1256</v>
      </c>
      <c r="B241" s="602"/>
      <c r="C241" s="602"/>
      <c r="D241" s="602"/>
      <c r="E241" s="602"/>
      <c r="F241" s="602"/>
      <c r="G241" s="602"/>
      <c r="H241" s="602"/>
      <c r="I241" s="602"/>
      <c r="J241" s="602"/>
    </row>
    <row r="242" spans="1:10" ht="15" x14ac:dyDescent="0.2">
      <c r="A242" s="503" t="s">
        <v>1498</v>
      </c>
      <c r="B242" s="503" t="s">
        <v>1499</v>
      </c>
      <c r="C242" s="526" t="s">
        <v>1014</v>
      </c>
      <c r="D242" s="526">
        <v>498</v>
      </c>
      <c r="E242" s="526">
        <v>272</v>
      </c>
      <c r="F242" s="526">
        <v>36</v>
      </c>
      <c r="G242" s="526">
        <v>8.6999999999999993</v>
      </c>
      <c r="H242" s="526">
        <v>84</v>
      </c>
      <c r="I242" s="495">
        <v>2558</v>
      </c>
      <c r="J242" s="527">
        <f>I242*0.65</f>
        <v>1662.7</v>
      </c>
    </row>
    <row r="243" spans="1:10" ht="15" x14ac:dyDescent="0.2">
      <c r="A243" s="503" t="s">
        <v>1257</v>
      </c>
      <c r="B243" s="501" t="s">
        <v>1258</v>
      </c>
      <c r="C243" s="502" t="s">
        <v>1014</v>
      </c>
      <c r="D243" s="502">
        <v>498</v>
      </c>
      <c r="E243" s="502">
        <v>272</v>
      </c>
      <c r="F243" s="502">
        <v>36</v>
      </c>
      <c r="G243" s="502">
        <v>11.86</v>
      </c>
      <c r="H243" s="502">
        <v>84</v>
      </c>
      <c r="I243" s="495">
        <v>2683</v>
      </c>
      <c r="J243" s="527">
        <f>I243*0.65</f>
        <v>1743.95</v>
      </c>
    </row>
    <row r="244" spans="1:10" ht="15" x14ac:dyDescent="0.2">
      <c r="A244" s="503" t="s">
        <v>1259</v>
      </c>
      <c r="B244" s="501" t="s">
        <v>1260</v>
      </c>
      <c r="C244" s="502" t="s">
        <v>1028</v>
      </c>
      <c r="D244" s="502">
        <v>498</v>
      </c>
      <c r="E244" s="502">
        <v>272</v>
      </c>
      <c r="F244" s="502">
        <v>53</v>
      </c>
      <c r="G244" s="502">
        <v>10.3</v>
      </c>
      <c r="H244" s="502">
        <v>84</v>
      </c>
      <c r="I244" s="495">
        <v>3100</v>
      </c>
      <c r="J244" s="527">
        <f>I244*0.65</f>
        <v>2015</v>
      </c>
    </row>
    <row r="245" spans="1:10" ht="15" x14ac:dyDescent="0.2">
      <c r="A245" s="503" t="s">
        <v>1500</v>
      </c>
      <c r="B245" s="501" t="s">
        <v>1501</v>
      </c>
      <c r="C245" s="502" t="s">
        <v>1028</v>
      </c>
      <c r="D245" s="502">
        <v>498</v>
      </c>
      <c r="E245" s="502">
        <v>272</v>
      </c>
      <c r="F245" s="502">
        <v>53</v>
      </c>
      <c r="G245" s="502">
        <v>9.82</v>
      </c>
      <c r="H245" s="502">
        <v>84</v>
      </c>
      <c r="I245" s="495">
        <v>2883</v>
      </c>
      <c r="J245" s="527">
        <f>I245*0.65</f>
        <v>1873.95</v>
      </c>
    </row>
    <row r="246" spans="1:10" ht="15.75" x14ac:dyDescent="0.25">
      <c r="A246" s="601" t="s">
        <v>1261</v>
      </c>
      <c r="B246" s="602"/>
      <c r="C246" s="602"/>
      <c r="D246" s="602"/>
      <c r="E246" s="602"/>
      <c r="F246" s="602"/>
      <c r="G246" s="602"/>
      <c r="H246" s="602"/>
      <c r="I246" s="602"/>
      <c r="J246" s="602"/>
    </row>
    <row r="247" spans="1:10" ht="15" x14ac:dyDescent="0.2">
      <c r="A247" s="516" t="s">
        <v>1262</v>
      </c>
      <c r="B247" s="501" t="s">
        <v>1263</v>
      </c>
      <c r="C247" s="502"/>
      <c r="D247" s="502"/>
      <c r="E247" s="502"/>
      <c r="F247" s="502"/>
      <c r="G247" s="502"/>
      <c r="H247" s="502"/>
      <c r="I247" s="499">
        <v>17</v>
      </c>
      <c r="J247" s="500">
        <f>I247*0.8</f>
        <v>13.600000000000001</v>
      </c>
    </row>
    <row r="248" spans="1:10" ht="15" x14ac:dyDescent="0.2">
      <c r="A248" s="516" t="s">
        <v>1264</v>
      </c>
      <c r="B248" s="501" t="s">
        <v>1221</v>
      </c>
      <c r="C248" s="502"/>
      <c r="D248" s="502"/>
      <c r="E248" s="502"/>
      <c r="F248" s="502"/>
      <c r="G248" s="502"/>
      <c r="H248" s="502"/>
      <c r="I248" s="499">
        <v>17</v>
      </c>
      <c r="J248" s="500">
        <f>I248*0.8</f>
        <v>13.600000000000001</v>
      </c>
    </row>
    <row r="249" spans="1:10" ht="15.75" x14ac:dyDescent="0.25">
      <c r="A249" s="601" t="s">
        <v>1265</v>
      </c>
      <c r="B249" s="602"/>
      <c r="C249" s="602"/>
      <c r="D249" s="602"/>
      <c r="E249" s="602"/>
      <c r="F249" s="602"/>
      <c r="G249" s="602"/>
      <c r="H249" s="602"/>
      <c r="I249" s="602"/>
      <c r="J249" s="602"/>
    </row>
    <row r="250" spans="1:10" s="404" customFormat="1" ht="15" x14ac:dyDescent="0.25">
      <c r="A250" s="505"/>
      <c r="B250" s="498" t="s">
        <v>1502</v>
      </c>
      <c r="C250" s="494"/>
      <c r="D250" s="494"/>
      <c r="E250" s="494"/>
      <c r="F250" s="494"/>
      <c r="G250" s="494"/>
      <c r="H250" s="494"/>
      <c r="I250" s="499">
        <v>784</v>
      </c>
      <c r="J250" s="500">
        <v>784</v>
      </c>
    </row>
    <row r="251" spans="1:10" ht="15.75" x14ac:dyDescent="0.25">
      <c r="A251" s="601" t="s">
        <v>1267</v>
      </c>
      <c r="B251" s="602"/>
      <c r="C251" s="602"/>
      <c r="D251" s="602"/>
      <c r="E251" s="602"/>
      <c r="F251" s="602"/>
      <c r="G251" s="602"/>
      <c r="H251" s="602"/>
      <c r="I251" s="602"/>
      <c r="J251" s="602"/>
    </row>
    <row r="252" spans="1:10" ht="15" x14ac:dyDescent="0.2">
      <c r="A252" s="522">
        <v>6751</v>
      </c>
      <c r="B252" s="523" t="s">
        <v>1503</v>
      </c>
      <c r="C252" s="502"/>
      <c r="D252" s="502"/>
      <c r="E252" s="502"/>
      <c r="F252" s="502"/>
      <c r="G252" s="502"/>
      <c r="H252" s="502"/>
      <c r="I252" s="524">
        <v>1032</v>
      </c>
      <c r="J252" s="525">
        <f>I252*0.8</f>
        <v>825.6</v>
      </c>
    </row>
    <row r="253" spans="1:10" ht="18.75" x14ac:dyDescent="0.3">
      <c r="A253" s="603" t="s">
        <v>1270</v>
      </c>
      <c r="B253" s="604"/>
      <c r="C253" s="604"/>
      <c r="D253" s="604"/>
      <c r="E253" s="604"/>
      <c r="F253" s="604"/>
      <c r="G253" s="604"/>
      <c r="H253" s="604"/>
      <c r="I253" s="604"/>
      <c r="J253" s="604"/>
    </row>
    <row r="254" spans="1:10" ht="15.75" x14ac:dyDescent="0.25">
      <c r="A254" s="601" t="s">
        <v>1504</v>
      </c>
      <c r="B254" s="602"/>
      <c r="C254" s="602"/>
      <c r="D254" s="602"/>
      <c r="E254" s="602"/>
      <c r="F254" s="602"/>
      <c r="G254" s="602"/>
      <c r="H254" s="602"/>
      <c r="I254" s="602"/>
      <c r="J254" s="602"/>
    </row>
    <row r="255" spans="1:10" ht="15" x14ac:dyDescent="0.2">
      <c r="A255" s="515" t="s">
        <v>1505</v>
      </c>
      <c r="B255" s="514" t="s">
        <v>1506</v>
      </c>
      <c r="C255" s="502" t="s">
        <v>1014</v>
      </c>
      <c r="D255" s="502">
        <v>1000</v>
      </c>
      <c r="E255" s="502">
        <v>290</v>
      </c>
      <c r="F255" s="502">
        <v>330</v>
      </c>
      <c r="G255" s="502">
        <v>80.92</v>
      </c>
      <c r="H255" s="502">
        <v>8</v>
      </c>
      <c r="I255" s="495">
        <v>16477</v>
      </c>
      <c r="J255" s="496">
        <f>I255*0.7</f>
        <v>11533.9</v>
      </c>
    </row>
    <row r="256" spans="1:10" ht="15" x14ac:dyDescent="0.2">
      <c r="A256" s="515" t="s">
        <v>1507</v>
      </c>
      <c r="B256" s="514" t="s">
        <v>1508</v>
      </c>
      <c r="C256" s="502" t="s">
        <v>1014</v>
      </c>
      <c r="D256" s="502">
        <v>500</v>
      </c>
      <c r="E256" s="502">
        <v>290</v>
      </c>
      <c r="F256" s="502">
        <v>600</v>
      </c>
      <c r="G256" s="502">
        <v>68.53</v>
      </c>
      <c r="H256" s="502">
        <v>8</v>
      </c>
      <c r="I256" s="495">
        <v>12964</v>
      </c>
      <c r="J256" s="496">
        <f>I256*0.7</f>
        <v>9074.7999999999993</v>
      </c>
    </row>
    <row r="257" spans="1:10" ht="15" x14ac:dyDescent="0.2">
      <c r="A257" s="515" t="s">
        <v>1509</v>
      </c>
      <c r="B257" s="514" t="s">
        <v>1510</v>
      </c>
      <c r="C257" s="502" t="s">
        <v>1014</v>
      </c>
      <c r="D257" s="502">
        <v>500</v>
      </c>
      <c r="E257" s="502">
        <v>290</v>
      </c>
      <c r="F257" s="502">
        <v>600</v>
      </c>
      <c r="G257" s="502">
        <v>64.22</v>
      </c>
      <c r="H257" s="502">
        <v>8</v>
      </c>
      <c r="I257" s="495">
        <v>12235</v>
      </c>
      <c r="J257" s="496">
        <f>I257*0.7</f>
        <v>8564.5</v>
      </c>
    </row>
    <row r="258" spans="1:10" ht="15.75" x14ac:dyDescent="0.25">
      <c r="A258" s="601" t="s">
        <v>1511</v>
      </c>
      <c r="B258" s="602"/>
      <c r="C258" s="602"/>
      <c r="D258" s="602"/>
      <c r="E258" s="602"/>
      <c r="F258" s="602"/>
      <c r="G258" s="602"/>
      <c r="H258" s="602"/>
      <c r="I258" s="602"/>
      <c r="J258" s="602"/>
    </row>
    <row r="259" spans="1:10" ht="15" x14ac:dyDescent="0.2">
      <c r="A259" s="515" t="s">
        <v>1512</v>
      </c>
      <c r="B259" s="514" t="s">
        <v>1513</v>
      </c>
      <c r="C259" s="502" t="s">
        <v>1028</v>
      </c>
      <c r="D259" s="502">
        <v>1000</v>
      </c>
      <c r="E259" s="502">
        <v>290</v>
      </c>
      <c r="F259" s="502">
        <v>330</v>
      </c>
      <c r="G259" s="502">
        <v>80.92</v>
      </c>
      <c r="H259" s="502">
        <v>8</v>
      </c>
      <c r="I259" s="495">
        <v>17247</v>
      </c>
      <c r="J259" s="496">
        <f>I259*0.7</f>
        <v>12072.9</v>
      </c>
    </row>
    <row r="260" spans="1:10" ht="15" x14ac:dyDescent="0.2">
      <c r="A260" s="515" t="s">
        <v>1514</v>
      </c>
      <c r="B260" s="514" t="s">
        <v>1515</v>
      </c>
      <c r="C260" s="502" t="s">
        <v>1028</v>
      </c>
      <c r="D260" s="502">
        <v>500</v>
      </c>
      <c r="E260" s="502">
        <v>290</v>
      </c>
      <c r="F260" s="502">
        <v>600</v>
      </c>
      <c r="G260" s="502">
        <v>68.69</v>
      </c>
      <c r="H260" s="502">
        <v>8</v>
      </c>
      <c r="I260" s="495">
        <v>13349</v>
      </c>
      <c r="J260" s="496">
        <f>I260*0.7</f>
        <v>9344.2999999999993</v>
      </c>
    </row>
    <row r="261" spans="1:10" ht="15" x14ac:dyDescent="0.2">
      <c r="A261" s="515" t="s">
        <v>1516</v>
      </c>
      <c r="B261" s="514" t="s">
        <v>1517</v>
      </c>
      <c r="C261" s="502" t="s">
        <v>1028</v>
      </c>
      <c r="D261" s="502">
        <v>500</v>
      </c>
      <c r="E261" s="502">
        <v>290</v>
      </c>
      <c r="F261" s="502">
        <v>600</v>
      </c>
      <c r="G261" s="502">
        <v>64.38</v>
      </c>
      <c r="H261" s="502">
        <v>8</v>
      </c>
      <c r="I261" s="495">
        <v>12620</v>
      </c>
      <c r="J261" s="496">
        <f>I261*0.7</f>
        <v>8834</v>
      </c>
    </row>
    <row r="262" spans="1:10" ht="18.75" x14ac:dyDescent="0.3">
      <c r="A262" s="603" t="s">
        <v>1293</v>
      </c>
      <c r="B262" s="604"/>
      <c r="C262" s="604"/>
      <c r="D262" s="604"/>
      <c r="E262" s="604"/>
      <c r="F262" s="604"/>
      <c r="G262" s="604"/>
      <c r="H262" s="604"/>
      <c r="I262" s="604"/>
      <c r="J262" s="604"/>
    </row>
    <row r="263" spans="1:10" ht="15.75" x14ac:dyDescent="0.25">
      <c r="A263" s="601" t="s">
        <v>1518</v>
      </c>
      <c r="B263" s="602"/>
      <c r="C263" s="602"/>
      <c r="D263" s="602"/>
      <c r="E263" s="602"/>
      <c r="F263" s="602"/>
      <c r="G263" s="602"/>
      <c r="H263" s="602"/>
      <c r="I263" s="602"/>
      <c r="J263" s="602"/>
    </row>
    <row r="264" spans="1:10" ht="15" x14ac:dyDescent="0.2">
      <c r="A264" s="515" t="s">
        <v>1519</v>
      </c>
      <c r="B264" s="514" t="s">
        <v>1520</v>
      </c>
      <c r="C264" s="502" t="s">
        <v>1241</v>
      </c>
      <c r="D264" s="502">
        <v>1000</v>
      </c>
      <c r="E264" s="502">
        <v>390</v>
      </c>
      <c r="F264" s="502">
        <v>410</v>
      </c>
      <c r="G264" s="502">
        <v>84.84</v>
      </c>
      <c r="H264" s="502">
        <v>6</v>
      </c>
      <c r="I264" s="495">
        <v>16052</v>
      </c>
      <c r="J264" s="496">
        <f>I264*0.7</f>
        <v>11236.4</v>
      </c>
    </row>
    <row r="265" spans="1:10" ht="15" x14ac:dyDescent="0.2">
      <c r="A265" s="515" t="s">
        <v>1521</v>
      </c>
      <c r="B265" s="514" t="s">
        <v>1522</v>
      </c>
      <c r="C265" s="502" t="s">
        <v>1241</v>
      </c>
      <c r="D265" s="502">
        <v>500</v>
      </c>
      <c r="E265" s="502">
        <v>390</v>
      </c>
      <c r="F265" s="502">
        <v>440</v>
      </c>
      <c r="G265" s="502">
        <v>57.38</v>
      </c>
      <c r="H265" s="502">
        <v>10</v>
      </c>
      <c r="I265" s="495">
        <v>12522</v>
      </c>
      <c r="J265" s="496">
        <f>I265*0.7</f>
        <v>8765.4</v>
      </c>
    </row>
    <row r="266" spans="1:10" ht="15" x14ac:dyDescent="0.2">
      <c r="A266" s="515" t="s">
        <v>1523</v>
      </c>
      <c r="B266" s="514" t="s">
        <v>1524</v>
      </c>
      <c r="C266" s="502" t="s">
        <v>1241</v>
      </c>
      <c r="D266" s="502">
        <v>500</v>
      </c>
      <c r="E266" s="502">
        <v>390</v>
      </c>
      <c r="F266" s="502">
        <v>440</v>
      </c>
      <c r="G266" s="502">
        <v>39.93</v>
      </c>
      <c r="H266" s="502">
        <v>10</v>
      </c>
      <c r="I266" s="495">
        <v>7600</v>
      </c>
      <c r="J266" s="496">
        <f>I266*0.7</f>
        <v>5320</v>
      </c>
    </row>
    <row r="267" spans="1:10" ht="15" x14ac:dyDescent="0.2">
      <c r="A267" s="515" t="s">
        <v>1525</v>
      </c>
      <c r="B267" s="514" t="s">
        <v>1526</v>
      </c>
      <c r="C267" s="502" t="s">
        <v>1241</v>
      </c>
      <c r="D267" s="502">
        <v>500</v>
      </c>
      <c r="E267" s="502">
        <v>390</v>
      </c>
      <c r="F267" s="502">
        <v>440</v>
      </c>
      <c r="G267" s="502">
        <v>50.07</v>
      </c>
      <c r="H267" s="502">
        <v>10</v>
      </c>
      <c r="I267" s="495">
        <v>9178</v>
      </c>
      <c r="J267" s="496">
        <f>I267*0.7</f>
        <v>6424.5999999999995</v>
      </c>
    </row>
    <row r="268" spans="1:10" ht="15.75" x14ac:dyDescent="0.25">
      <c r="A268" s="601" t="s">
        <v>1315</v>
      </c>
      <c r="B268" s="602"/>
      <c r="C268" s="602"/>
      <c r="D268" s="602"/>
      <c r="E268" s="602"/>
      <c r="F268" s="602"/>
      <c r="G268" s="602"/>
      <c r="H268" s="602"/>
      <c r="I268" s="602"/>
      <c r="J268" s="602"/>
    </row>
    <row r="269" spans="1:10" ht="15" x14ac:dyDescent="0.2">
      <c r="A269" s="516" t="s">
        <v>1318</v>
      </c>
      <c r="B269" s="498" t="s">
        <v>1527</v>
      </c>
      <c r="C269" s="528" t="s">
        <v>1014</v>
      </c>
      <c r="D269" s="518">
        <v>498</v>
      </c>
      <c r="E269" s="519">
        <v>372</v>
      </c>
      <c r="F269" s="519">
        <v>65</v>
      </c>
      <c r="G269" s="519">
        <v>15.56</v>
      </c>
      <c r="H269" s="519">
        <v>60</v>
      </c>
      <c r="I269" s="529">
        <v>4500</v>
      </c>
      <c r="J269" s="527">
        <f>I269*0.65</f>
        <v>2925</v>
      </c>
    </row>
    <row r="270" spans="1:10" ht="15" x14ac:dyDescent="0.2">
      <c r="A270" s="516" t="s">
        <v>1316</v>
      </c>
      <c r="B270" s="501" t="s">
        <v>1317</v>
      </c>
      <c r="C270" s="520" t="s">
        <v>1028</v>
      </c>
      <c r="D270" s="518">
        <v>498</v>
      </c>
      <c r="E270" s="519">
        <v>372</v>
      </c>
      <c r="F270" s="519">
        <v>65</v>
      </c>
      <c r="G270" s="530">
        <v>22</v>
      </c>
      <c r="H270" s="530">
        <v>50</v>
      </c>
      <c r="I270" s="499">
        <v>6050</v>
      </c>
      <c r="J270" s="527">
        <f>I270*0.65</f>
        <v>3932.5</v>
      </c>
    </row>
    <row r="271" spans="1:10" ht="15.75" x14ac:dyDescent="0.25">
      <c r="A271" s="601" t="s">
        <v>1320</v>
      </c>
      <c r="B271" s="602"/>
      <c r="C271" s="602"/>
      <c r="D271" s="602"/>
      <c r="E271" s="602"/>
      <c r="F271" s="602"/>
      <c r="G271" s="602"/>
      <c r="H271" s="602"/>
      <c r="I271" s="602"/>
      <c r="J271" s="602"/>
    </row>
    <row r="272" spans="1:10" ht="15" x14ac:dyDescent="0.2">
      <c r="A272" s="497" t="s">
        <v>1262</v>
      </c>
      <c r="B272" s="501" t="s">
        <v>1263</v>
      </c>
      <c r="C272" s="502"/>
      <c r="D272" s="502"/>
      <c r="E272" s="502"/>
      <c r="F272" s="502"/>
      <c r="G272" s="502"/>
      <c r="H272" s="502"/>
      <c r="I272" s="499">
        <v>17</v>
      </c>
      <c r="J272" s="500">
        <f>I272*0.8</f>
        <v>13.600000000000001</v>
      </c>
    </row>
    <row r="273" spans="1:10" ht="15" x14ac:dyDescent="0.2">
      <c r="A273" s="497" t="s">
        <v>1264</v>
      </c>
      <c r="B273" s="501" t="s">
        <v>1221</v>
      </c>
      <c r="C273" s="502"/>
      <c r="D273" s="502"/>
      <c r="E273" s="502"/>
      <c r="F273" s="502"/>
      <c r="G273" s="502"/>
      <c r="H273" s="502"/>
      <c r="I273" s="499">
        <v>17</v>
      </c>
      <c r="J273" s="500">
        <f>I273*0.8</f>
        <v>13.600000000000001</v>
      </c>
    </row>
    <row r="274" spans="1:10" ht="15.75" x14ac:dyDescent="0.25">
      <c r="A274" s="601" t="s">
        <v>1321</v>
      </c>
      <c r="B274" s="602"/>
      <c r="C274" s="602"/>
      <c r="D274" s="602"/>
      <c r="E274" s="602"/>
      <c r="F274" s="602"/>
      <c r="G274" s="602"/>
      <c r="H274" s="602"/>
      <c r="I274" s="602"/>
      <c r="J274" s="602"/>
    </row>
    <row r="275" spans="1:10" s="404" customFormat="1" ht="15" x14ac:dyDescent="0.25">
      <c r="A275" s="505"/>
      <c r="B275" s="498" t="s">
        <v>1528</v>
      </c>
      <c r="C275" s="494"/>
      <c r="D275" s="494"/>
      <c r="E275" s="494"/>
      <c r="F275" s="494"/>
      <c r="G275" s="494"/>
      <c r="H275" s="494"/>
      <c r="I275" s="499">
        <v>840</v>
      </c>
      <c r="J275" s="500">
        <v>840</v>
      </c>
    </row>
    <row r="276" spans="1:10" ht="15.75" x14ac:dyDescent="0.25">
      <c r="A276" s="601" t="s">
        <v>1323</v>
      </c>
      <c r="B276" s="602"/>
      <c r="C276" s="602"/>
      <c r="D276" s="602"/>
      <c r="E276" s="602"/>
      <c r="F276" s="602"/>
      <c r="G276" s="602"/>
      <c r="H276" s="602"/>
      <c r="I276" s="602"/>
      <c r="J276" s="602"/>
    </row>
    <row r="277" spans="1:10" ht="15" x14ac:dyDescent="0.2">
      <c r="A277" s="522">
        <v>6771</v>
      </c>
      <c r="B277" s="523" t="s">
        <v>1529</v>
      </c>
      <c r="C277" s="502"/>
      <c r="D277" s="502"/>
      <c r="E277" s="502"/>
      <c r="F277" s="502"/>
      <c r="G277" s="502"/>
      <c r="H277" s="502"/>
      <c r="I277" s="524">
        <v>2040</v>
      </c>
      <c r="J277" s="525">
        <f>I277*0.8</f>
        <v>1632</v>
      </c>
    </row>
    <row r="278" spans="1:10" ht="18.75" x14ac:dyDescent="0.3">
      <c r="A278" s="603" t="s">
        <v>1326</v>
      </c>
      <c r="B278" s="604"/>
      <c r="C278" s="604"/>
      <c r="D278" s="604"/>
      <c r="E278" s="604"/>
      <c r="F278" s="604"/>
      <c r="G278" s="604"/>
      <c r="H278" s="604"/>
      <c r="I278" s="604"/>
      <c r="J278" s="604"/>
    </row>
    <row r="279" spans="1:10" ht="15.75" x14ac:dyDescent="0.25">
      <c r="A279" s="601" t="s">
        <v>1530</v>
      </c>
      <c r="B279" s="602"/>
      <c r="C279" s="602"/>
      <c r="D279" s="602"/>
      <c r="E279" s="602"/>
      <c r="F279" s="602"/>
      <c r="G279" s="602"/>
      <c r="H279" s="602"/>
      <c r="I279" s="602"/>
      <c r="J279" s="602"/>
    </row>
    <row r="280" spans="1:10" ht="15" x14ac:dyDescent="0.25">
      <c r="A280" s="531" t="s">
        <v>1531</v>
      </c>
      <c r="B280" s="532" t="s">
        <v>1532</v>
      </c>
      <c r="C280" s="528" t="s">
        <v>1014</v>
      </c>
      <c r="D280" s="494">
        <v>1000</v>
      </c>
      <c r="E280" s="494">
        <v>380</v>
      </c>
      <c r="F280" s="494">
        <v>410</v>
      </c>
      <c r="G280" s="494">
        <v>115.96</v>
      </c>
      <c r="H280" s="494">
        <v>6</v>
      </c>
      <c r="I280" s="499">
        <v>24715</v>
      </c>
      <c r="J280" s="500">
        <f>I280*0.7</f>
        <v>17300.5</v>
      </c>
    </row>
    <row r="281" spans="1:10" s="404" customFormat="1" ht="15" x14ac:dyDescent="0.25">
      <c r="A281" s="531" t="s">
        <v>1533</v>
      </c>
      <c r="B281" s="532" t="s">
        <v>1534</v>
      </c>
      <c r="C281" s="528" t="s">
        <v>1014</v>
      </c>
      <c r="D281" s="494">
        <v>500</v>
      </c>
      <c r="E281" s="494">
        <v>380</v>
      </c>
      <c r="F281" s="494">
        <v>440</v>
      </c>
      <c r="G281" s="494">
        <v>70.650000000000006</v>
      </c>
      <c r="H281" s="494">
        <v>10</v>
      </c>
      <c r="I281" s="499">
        <v>17030</v>
      </c>
      <c r="J281" s="500">
        <f>I281*0.7</f>
        <v>11921</v>
      </c>
    </row>
    <row r="282" spans="1:10" ht="15.75" x14ac:dyDescent="0.25">
      <c r="A282" s="601" t="s">
        <v>1535</v>
      </c>
      <c r="B282" s="602"/>
      <c r="C282" s="602"/>
      <c r="D282" s="602"/>
      <c r="E282" s="602"/>
      <c r="F282" s="602"/>
      <c r="G282" s="602"/>
      <c r="H282" s="602"/>
      <c r="I282" s="602"/>
      <c r="J282" s="602"/>
    </row>
    <row r="283" spans="1:10" ht="15" x14ac:dyDescent="0.25">
      <c r="A283" s="531" t="s">
        <v>1536</v>
      </c>
      <c r="B283" s="532" t="s">
        <v>1537</v>
      </c>
      <c r="C283" s="528" t="s">
        <v>1028</v>
      </c>
      <c r="D283" s="494">
        <v>1000</v>
      </c>
      <c r="E283" s="494">
        <v>380</v>
      </c>
      <c r="F283" s="494">
        <v>410</v>
      </c>
      <c r="G283" s="494">
        <v>122.24</v>
      </c>
      <c r="H283" s="494">
        <v>6</v>
      </c>
      <c r="I283" s="499">
        <v>26808</v>
      </c>
      <c r="J283" s="500">
        <f>I283*0.7</f>
        <v>18765.599999999999</v>
      </c>
    </row>
    <row r="284" spans="1:10" s="404" customFormat="1" ht="15" x14ac:dyDescent="0.25">
      <c r="A284" s="531" t="s">
        <v>1538</v>
      </c>
      <c r="B284" s="532" t="s">
        <v>1539</v>
      </c>
      <c r="C284" s="528" t="s">
        <v>1028</v>
      </c>
      <c r="D284" s="494">
        <v>500</v>
      </c>
      <c r="E284" s="494">
        <v>380</v>
      </c>
      <c r="F284" s="494">
        <v>440</v>
      </c>
      <c r="G284" s="494">
        <v>73.790000000000006</v>
      </c>
      <c r="H284" s="494">
        <v>10</v>
      </c>
      <c r="I284" s="499">
        <v>18003</v>
      </c>
      <c r="J284" s="500">
        <f>I284*0.7</f>
        <v>12602.099999999999</v>
      </c>
    </row>
    <row r="285" spans="1:10" ht="15" x14ac:dyDescent="0.25">
      <c r="A285" s="511" t="s">
        <v>1540</v>
      </c>
      <c r="B285" s="512" t="s">
        <v>1541</v>
      </c>
      <c r="C285" s="520" t="s">
        <v>1028</v>
      </c>
      <c r="D285" s="502">
        <v>1000</v>
      </c>
      <c r="E285" s="502">
        <v>380</v>
      </c>
      <c r="F285" s="502">
        <v>410</v>
      </c>
      <c r="G285" s="502">
        <v>128.84</v>
      </c>
      <c r="H285" s="502">
        <v>6</v>
      </c>
      <c r="I285" s="495">
        <v>27577</v>
      </c>
      <c r="J285" s="500">
        <f>I285*0.7</f>
        <v>19303.899999999998</v>
      </c>
    </row>
    <row r="286" spans="1:10" ht="15" x14ac:dyDescent="0.25">
      <c r="A286" s="511" t="s">
        <v>1542</v>
      </c>
      <c r="B286" s="512" t="s">
        <v>1543</v>
      </c>
      <c r="C286" s="520" t="s">
        <v>1028</v>
      </c>
      <c r="D286" s="502">
        <v>500</v>
      </c>
      <c r="E286" s="502">
        <v>380</v>
      </c>
      <c r="F286" s="502">
        <v>440</v>
      </c>
      <c r="G286" s="502">
        <v>77.09</v>
      </c>
      <c r="H286" s="502">
        <v>10</v>
      </c>
      <c r="I286" s="495">
        <v>18387</v>
      </c>
      <c r="J286" s="500">
        <f>I286*0.7</f>
        <v>12870.9</v>
      </c>
    </row>
  </sheetData>
  <mergeCells count="37">
    <mergeCell ref="A200:J200"/>
    <mergeCell ref="A2:J2"/>
    <mergeCell ref="A117:J117"/>
    <mergeCell ref="A191:J191"/>
    <mergeCell ref="A192:J192"/>
    <mergeCell ref="A195:J195"/>
    <mergeCell ref="A230:J230"/>
    <mergeCell ref="A203:J203"/>
    <mergeCell ref="A205:J205"/>
    <mergeCell ref="A207:J207"/>
    <mergeCell ref="A208:J208"/>
    <mergeCell ref="A211:J211"/>
    <mergeCell ref="A216:J216"/>
    <mergeCell ref="A217:J217"/>
    <mergeCell ref="A220:J220"/>
    <mergeCell ref="A223:J223"/>
    <mergeCell ref="A226:J226"/>
    <mergeCell ref="A228:J228"/>
    <mergeCell ref="A263:J263"/>
    <mergeCell ref="A231:J231"/>
    <mergeCell ref="A234:J234"/>
    <mergeCell ref="A235:J235"/>
    <mergeCell ref="A241:J241"/>
    <mergeCell ref="A246:J246"/>
    <mergeCell ref="A249:J249"/>
    <mergeCell ref="A251:J251"/>
    <mergeCell ref="A253:J253"/>
    <mergeCell ref="A254:J254"/>
    <mergeCell ref="A258:J258"/>
    <mergeCell ref="A262:J262"/>
    <mergeCell ref="A282:J282"/>
    <mergeCell ref="A268:J268"/>
    <mergeCell ref="A271:J271"/>
    <mergeCell ref="A274:J274"/>
    <mergeCell ref="A276:J276"/>
    <mergeCell ref="A278:J278"/>
    <mergeCell ref="A279:J279"/>
  </mergeCells>
  <conditionalFormatting sqref="J271:J279 J191:J268">
    <cfRule type="cellIs" dxfId="70" priority="1" stopIfTrue="1" operator="between">
      <formula>0.0949</formula>
      <formula>0.1051</formula>
    </cfRule>
  </conditionalFormatting>
  <conditionalFormatting sqref="J282">
    <cfRule type="cellIs" dxfId="69" priority="5" stopIfTrue="1" operator="between">
      <formula>0.0949</formula>
      <formula>0.1051</formula>
    </cfRule>
  </conditionalFormatting>
  <conditionalFormatting sqref="J269:J270">
    <cfRule type="cellIs" dxfId="68" priority="4" stopIfTrue="1" operator="between">
      <formula>0.0949</formula>
      <formula>0.1051</formula>
    </cfRule>
  </conditionalFormatting>
  <conditionalFormatting sqref="J280:J281">
    <cfRule type="cellIs" dxfId="67" priority="3" stopIfTrue="1" operator="between">
      <formula>0.0949</formula>
      <formula>0.1051</formula>
    </cfRule>
  </conditionalFormatting>
  <conditionalFormatting sqref="J283:J286">
    <cfRule type="cellIs" dxfId="66" priority="2" stopIfTrue="1" operator="between">
      <formula>0.0949</formula>
      <formula>0.1051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8"/>
  <sheetViews>
    <sheetView workbookViewId="0">
      <selection activeCell="G13" sqref="G13"/>
    </sheetView>
  </sheetViews>
  <sheetFormatPr defaultRowHeight="15" x14ac:dyDescent="0.25"/>
  <cols>
    <col min="1" max="1" width="11.85546875" customWidth="1"/>
    <col min="2" max="2" width="17.85546875" customWidth="1"/>
    <col min="6" max="6" width="16.5703125" customWidth="1"/>
    <col min="7" max="7" width="20.42578125" customWidth="1"/>
  </cols>
  <sheetData>
    <row r="1" spans="1:9" x14ac:dyDescent="0.25">
      <c r="A1" s="58"/>
      <c r="B1" s="58"/>
    </row>
    <row r="2" spans="1:9" x14ac:dyDescent="0.25">
      <c r="A2" s="59">
        <v>1</v>
      </c>
      <c r="B2" s="60" t="s">
        <v>245</v>
      </c>
      <c r="G2" t="s">
        <v>267</v>
      </c>
    </row>
    <row r="3" spans="1:9" x14ac:dyDescent="0.25">
      <c r="A3" s="62">
        <v>2</v>
      </c>
      <c r="B3" s="63" t="s">
        <v>246</v>
      </c>
      <c r="H3" s="65">
        <v>1</v>
      </c>
      <c r="I3" s="65">
        <v>1</v>
      </c>
    </row>
    <row r="4" spans="1:9" x14ac:dyDescent="0.25">
      <c r="A4" s="59">
        <v>3</v>
      </c>
      <c r="B4" s="60" t="s">
        <v>247</v>
      </c>
      <c r="F4" s="64" t="s">
        <v>262</v>
      </c>
      <c r="H4" s="66">
        <v>2</v>
      </c>
      <c r="I4" s="66">
        <v>2</v>
      </c>
    </row>
    <row r="5" spans="1:9" x14ac:dyDescent="0.25">
      <c r="A5" s="62">
        <v>4</v>
      </c>
      <c r="B5" s="63" t="s">
        <v>248</v>
      </c>
      <c r="F5" s="61" t="s">
        <v>263</v>
      </c>
      <c r="H5" s="65">
        <v>3</v>
      </c>
      <c r="I5" s="65">
        <v>5</v>
      </c>
    </row>
    <row r="6" spans="1:9" x14ac:dyDescent="0.25">
      <c r="A6" s="59">
        <v>5</v>
      </c>
      <c r="B6" s="60" t="s">
        <v>249</v>
      </c>
      <c r="F6" s="67" t="s">
        <v>264</v>
      </c>
      <c r="H6" s="68">
        <v>4</v>
      </c>
      <c r="I6" s="68">
        <v>6</v>
      </c>
    </row>
    <row r="7" spans="1:9" x14ac:dyDescent="0.25">
      <c r="A7" s="62">
        <v>6</v>
      </c>
      <c r="B7" s="63" t="s">
        <v>250</v>
      </c>
      <c r="F7" s="61" t="s">
        <v>265</v>
      </c>
      <c r="H7" s="65">
        <v>6</v>
      </c>
      <c r="I7" s="65">
        <v>7</v>
      </c>
    </row>
    <row r="8" spans="1:9" x14ac:dyDescent="0.25">
      <c r="A8" s="59">
        <v>7</v>
      </c>
      <c r="B8" s="60" t="s">
        <v>251</v>
      </c>
      <c r="F8" s="64" t="s">
        <v>266</v>
      </c>
      <c r="H8" s="66">
        <v>7</v>
      </c>
      <c r="I8" s="66">
        <v>8</v>
      </c>
    </row>
    <row r="9" spans="1:9" x14ac:dyDescent="0.25">
      <c r="A9" s="62">
        <v>8</v>
      </c>
      <c r="B9" s="63" t="s">
        <v>252</v>
      </c>
    </row>
    <row r="10" spans="1:9" x14ac:dyDescent="0.25">
      <c r="A10" s="59">
        <v>9</v>
      </c>
      <c r="B10" s="60" t="s">
        <v>253</v>
      </c>
    </row>
    <row r="11" spans="1:9" x14ac:dyDescent="0.25">
      <c r="A11" s="62">
        <v>10</v>
      </c>
      <c r="B11" s="63" t="s">
        <v>254</v>
      </c>
    </row>
    <row r="12" spans="1:9" x14ac:dyDescent="0.25">
      <c r="A12" s="59">
        <v>11</v>
      </c>
      <c r="B12" s="60" t="s">
        <v>255</v>
      </c>
    </row>
    <row r="13" spans="1:9" x14ac:dyDescent="0.25">
      <c r="A13" s="62">
        <v>12</v>
      </c>
      <c r="B13" s="63" t="s">
        <v>256</v>
      </c>
    </row>
    <row r="14" spans="1:9" x14ac:dyDescent="0.25">
      <c r="A14" s="59">
        <v>13</v>
      </c>
      <c r="B14" s="60" t="s">
        <v>257</v>
      </c>
    </row>
    <row r="15" spans="1:9" x14ac:dyDescent="0.25">
      <c r="A15" s="62">
        <v>14</v>
      </c>
      <c r="B15" s="63" t="s">
        <v>258</v>
      </c>
    </row>
    <row r="16" spans="1:9" x14ac:dyDescent="0.25">
      <c r="A16" s="59">
        <v>15</v>
      </c>
      <c r="B16" s="60" t="s">
        <v>259</v>
      </c>
    </row>
    <row r="17" spans="1:2" x14ac:dyDescent="0.25">
      <c r="A17" s="62">
        <v>16</v>
      </c>
      <c r="B17" s="63" t="s">
        <v>260</v>
      </c>
    </row>
    <row r="18" spans="1:2" x14ac:dyDescent="0.25">
      <c r="A18" s="59">
        <v>17</v>
      </c>
      <c r="B18" s="60" t="s">
        <v>261</v>
      </c>
    </row>
  </sheetData>
  <pageMargins left="0.7" right="0.7" top="0.75" bottom="0.75" header="0.3" footer="0.3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ntrol 5">
          <controlPr defaultSiz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257175</xdr:colOff>
                <xdr:row>3</xdr:row>
                <xdr:rowOff>57150</xdr:rowOff>
              </to>
            </anchor>
          </controlPr>
        </control>
      </mc:Choice>
      <mc:Fallback>
        <control shapeId="3077" r:id="rId4" name="Control 5"/>
      </mc:Fallback>
    </mc:AlternateContent>
    <mc:AlternateContent xmlns:mc="http://schemas.openxmlformats.org/markup-compatibility/2006">
      <mc:Choice Requires="x14">
        <control shapeId="3081" r:id="rId6" name="Control 9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57150</xdr:rowOff>
              </to>
            </anchor>
          </controlPr>
        </control>
      </mc:Choice>
      <mc:Fallback>
        <control shapeId="3081" r:id="rId6" name="Control 9"/>
      </mc:Fallback>
    </mc:AlternateContent>
    <mc:AlternateContent xmlns:mc="http://schemas.openxmlformats.org/markup-compatibility/2006">
      <mc:Choice Requires="x14">
        <control shapeId="3085" r:id="rId7" name="Control 13">
          <controlPr defaultSize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257175</xdr:colOff>
                <xdr:row>5</xdr:row>
                <xdr:rowOff>57150</xdr:rowOff>
              </to>
            </anchor>
          </controlPr>
        </control>
      </mc:Choice>
      <mc:Fallback>
        <control shapeId="3085" r:id="rId7" name="Control 13"/>
      </mc:Fallback>
    </mc:AlternateContent>
    <mc:AlternateContent xmlns:mc="http://schemas.openxmlformats.org/markup-compatibility/2006">
      <mc:Choice Requires="x14">
        <control shapeId="3089" r:id="rId8" name="Control 17">
          <controlPr defaultSiz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257175</xdr:colOff>
                <xdr:row>6</xdr:row>
                <xdr:rowOff>57150</xdr:rowOff>
              </to>
            </anchor>
          </controlPr>
        </control>
      </mc:Choice>
      <mc:Fallback>
        <control shapeId="3089" r:id="rId8" name="Control 17"/>
      </mc:Fallback>
    </mc:AlternateContent>
    <mc:AlternateContent xmlns:mc="http://schemas.openxmlformats.org/markup-compatibility/2006">
      <mc:Choice Requires="x14">
        <control shapeId="3093" r:id="rId9" name="Control 21">
          <controlPr defaultSize="0" r:id="rId5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257175</xdr:colOff>
                <xdr:row>7</xdr:row>
                <xdr:rowOff>57150</xdr:rowOff>
              </to>
            </anchor>
          </controlPr>
        </control>
      </mc:Choice>
      <mc:Fallback>
        <control shapeId="3093" r:id="rId9" name="Control 21"/>
      </mc:Fallback>
    </mc:AlternateContent>
    <mc:AlternateContent xmlns:mc="http://schemas.openxmlformats.org/markup-compatibility/2006">
      <mc:Choice Requires="x14">
        <control shapeId="3097" r:id="rId10" name="Control 25">
          <controlPr defaultSize="0" r:id="rId5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257175</xdr:colOff>
                <xdr:row>8</xdr:row>
                <xdr:rowOff>57150</xdr:rowOff>
              </to>
            </anchor>
          </controlPr>
        </control>
      </mc:Choice>
      <mc:Fallback>
        <control shapeId="3097" r:id="rId10" name="Control 25"/>
      </mc:Fallback>
    </mc:AlternateContent>
    <mc:AlternateContent xmlns:mc="http://schemas.openxmlformats.org/markup-compatibility/2006">
      <mc:Choice Requires="x14">
        <control shapeId="3101" r:id="rId11" name="Control 29">
          <controlPr defaultSize="0" r:id="rId5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257175</xdr:colOff>
                <xdr:row>9</xdr:row>
                <xdr:rowOff>57150</xdr:rowOff>
              </to>
            </anchor>
          </controlPr>
        </control>
      </mc:Choice>
      <mc:Fallback>
        <control shapeId="3101" r:id="rId11" name="Control 29"/>
      </mc:Fallback>
    </mc:AlternateContent>
    <mc:AlternateContent xmlns:mc="http://schemas.openxmlformats.org/markup-compatibility/2006">
      <mc:Choice Requires="x14">
        <control shapeId="3105" r:id="rId12" name="Control 33">
          <controlPr defaultSize="0" r:id="rId5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3105" r:id="rId12" name="Control 33"/>
      </mc:Fallback>
    </mc:AlternateContent>
    <mc:AlternateContent xmlns:mc="http://schemas.openxmlformats.org/markup-compatibility/2006">
      <mc:Choice Requires="x14">
        <control shapeId="3109" r:id="rId13" name="Control 37">
          <controlPr defaultSize="0" r:id="rId5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109" r:id="rId13" name="Control 37"/>
      </mc:Fallback>
    </mc:AlternateContent>
    <mc:AlternateContent xmlns:mc="http://schemas.openxmlformats.org/markup-compatibility/2006">
      <mc:Choice Requires="x14">
        <control shapeId="3113" r:id="rId14" name="Control 41">
          <controlPr defaultSize="0" r:id="rId5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257175</xdr:colOff>
                <xdr:row>12</xdr:row>
                <xdr:rowOff>57150</xdr:rowOff>
              </to>
            </anchor>
          </controlPr>
        </control>
      </mc:Choice>
      <mc:Fallback>
        <control shapeId="3113" r:id="rId14" name="Control 41"/>
      </mc:Fallback>
    </mc:AlternateContent>
    <mc:AlternateContent xmlns:mc="http://schemas.openxmlformats.org/markup-compatibility/2006">
      <mc:Choice Requires="x14">
        <control shapeId="3117" r:id="rId15" name="Control 45">
          <controlPr defaultSize="0" r:id="rId5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257175</xdr:colOff>
                <xdr:row>13</xdr:row>
                <xdr:rowOff>57150</xdr:rowOff>
              </to>
            </anchor>
          </controlPr>
        </control>
      </mc:Choice>
      <mc:Fallback>
        <control shapeId="3117" r:id="rId15" name="Control 45"/>
      </mc:Fallback>
    </mc:AlternateContent>
    <mc:AlternateContent xmlns:mc="http://schemas.openxmlformats.org/markup-compatibility/2006">
      <mc:Choice Requires="x14">
        <control shapeId="3121" r:id="rId16" name="Control 49">
          <controlPr defaultSize="0" r:id="rId17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257175</xdr:colOff>
                <xdr:row>14</xdr:row>
                <xdr:rowOff>57150</xdr:rowOff>
              </to>
            </anchor>
          </controlPr>
        </control>
      </mc:Choice>
      <mc:Fallback>
        <control shapeId="3121" r:id="rId16" name="Control 49"/>
      </mc:Fallback>
    </mc:AlternateContent>
    <mc:AlternateContent xmlns:mc="http://schemas.openxmlformats.org/markup-compatibility/2006">
      <mc:Choice Requires="x14">
        <control shapeId="3125" r:id="rId18" name="Control 53">
          <controlPr defaultSize="0" r:id="rId17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257175</xdr:colOff>
                <xdr:row>15</xdr:row>
                <xdr:rowOff>57150</xdr:rowOff>
              </to>
            </anchor>
          </controlPr>
        </control>
      </mc:Choice>
      <mc:Fallback>
        <control shapeId="3125" r:id="rId18" name="Control 53"/>
      </mc:Fallback>
    </mc:AlternateContent>
    <mc:AlternateContent xmlns:mc="http://schemas.openxmlformats.org/markup-compatibility/2006">
      <mc:Choice Requires="x14">
        <control shapeId="3129" r:id="rId19" name="Control 57">
          <controlPr defaultSize="0" r:id="rId17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257175</xdr:colOff>
                <xdr:row>16</xdr:row>
                <xdr:rowOff>57150</xdr:rowOff>
              </to>
            </anchor>
          </controlPr>
        </control>
      </mc:Choice>
      <mc:Fallback>
        <control shapeId="3129" r:id="rId19" name="Control 57"/>
      </mc:Fallback>
    </mc:AlternateContent>
    <mc:AlternateContent xmlns:mc="http://schemas.openxmlformats.org/markup-compatibility/2006">
      <mc:Choice Requires="x14">
        <control shapeId="3133" r:id="rId20" name="Control 61">
          <controlPr defaultSize="0" r:id="rId17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257175</xdr:colOff>
                <xdr:row>17</xdr:row>
                <xdr:rowOff>57150</xdr:rowOff>
              </to>
            </anchor>
          </controlPr>
        </control>
      </mc:Choice>
      <mc:Fallback>
        <control shapeId="3133" r:id="rId20" name="Control 61"/>
      </mc:Fallback>
    </mc:AlternateContent>
    <mc:AlternateContent xmlns:mc="http://schemas.openxmlformats.org/markup-compatibility/2006">
      <mc:Choice Requires="x14">
        <control shapeId="3137" r:id="rId21" name="Control 65">
          <controlPr defaultSize="0" r:id="rId17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257175</xdr:colOff>
                <xdr:row>18</xdr:row>
                <xdr:rowOff>57150</xdr:rowOff>
              </to>
            </anchor>
          </controlPr>
        </control>
      </mc:Choice>
      <mc:Fallback>
        <control shapeId="3137" r:id="rId21" name="Control 65"/>
      </mc:Fallback>
    </mc:AlternateContent>
    <mc:AlternateContent xmlns:mc="http://schemas.openxmlformats.org/markup-compatibility/2006">
      <mc:Choice Requires="x14">
        <control shapeId="3143" r:id="rId22" name="Control 71">
          <controlPr defaultSize="0" r:id="rId23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3143" r:id="rId22" name="Control 71"/>
      </mc:Fallback>
    </mc:AlternateContent>
    <mc:AlternateContent xmlns:mc="http://schemas.openxmlformats.org/markup-compatibility/2006">
      <mc:Choice Requires="x14">
        <control shapeId="3147" r:id="rId24" name="Control 75">
          <controlPr defaultSize="0" r:id="rId23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257175</xdr:colOff>
                <xdr:row>5</xdr:row>
                <xdr:rowOff>76200</xdr:rowOff>
              </to>
            </anchor>
          </controlPr>
        </control>
      </mc:Choice>
      <mc:Fallback>
        <control shapeId="3147" r:id="rId24" name="Control 75"/>
      </mc:Fallback>
    </mc:AlternateContent>
    <mc:AlternateContent xmlns:mc="http://schemas.openxmlformats.org/markup-compatibility/2006">
      <mc:Choice Requires="x14">
        <control shapeId="3151" r:id="rId25" name="Control 79">
          <controlPr defaultSize="0" r:id="rId23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257175</xdr:colOff>
                <xdr:row>6</xdr:row>
                <xdr:rowOff>76200</xdr:rowOff>
              </to>
            </anchor>
          </controlPr>
        </control>
      </mc:Choice>
      <mc:Fallback>
        <control shapeId="3151" r:id="rId25" name="Control 79"/>
      </mc:Fallback>
    </mc:AlternateContent>
    <mc:AlternateContent xmlns:mc="http://schemas.openxmlformats.org/markup-compatibility/2006">
      <mc:Choice Requires="x14">
        <control shapeId="3155" r:id="rId26" name="Control 83">
          <controlPr defaultSize="0" r:id="rId23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257175</xdr:colOff>
                <xdr:row>7</xdr:row>
                <xdr:rowOff>76200</xdr:rowOff>
              </to>
            </anchor>
          </controlPr>
        </control>
      </mc:Choice>
      <mc:Fallback>
        <control shapeId="3155" r:id="rId26" name="Control 83"/>
      </mc:Fallback>
    </mc:AlternateContent>
    <mc:AlternateContent xmlns:mc="http://schemas.openxmlformats.org/markup-compatibility/2006">
      <mc:Choice Requires="x14">
        <control shapeId="3159" r:id="rId27" name="Control 87">
          <controlPr defaultSize="0" r:id="rId23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257175</xdr:colOff>
                <xdr:row>8</xdr:row>
                <xdr:rowOff>76200</xdr:rowOff>
              </to>
            </anchor>
          </controlPr>
        </control>
      </mc:Choice>
      <mc:Fallback>
        <control shapeId="3159" r:id="rId27" name="Control 8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Z371"/>
  <sheetViews>
    <sheetView topLeftCell="A365" workbookViewId="0">
      <selection activeCell="O385" sqref="O385"/>
    </sheetView>
  </sheetViews>
  <sheetFormatPr defaultColWidth="11.42578125" defaultRowHeight="15" outlineLevelCol="1" x14ac:dyDescent="0.25"/>
  <cols>
    <col min="1" max="1" width="11.42578125" style="7"/>
    <col min="2" max="2" width="12" style="1" customWidth="1"/>
    <col min="3" max="3" width="13.5703125" style="2" customWidth="1"/>
    <col min="4" max="4" width="10.28515625" style="2" customWidth="1" outlineLevel="1"/>
    <col min="5" max="5" width="47.85546875" style="3" customWidth="1" outlineLevel="1"/>
    <col min="6" max="7" width="8.140625" style="2" customWidth="1" outlineLevel="1"/>
    <col min="8" max="8" width="12.5703125" style="2" customWidth="1" outlineLevel="1"/>
    <col min="9" max="10" width="8.140625" style="2" customWidth="1" outlineLevel="1"/>
    <col min="11" max="12" width="10.7109375" style="4" customWidth="1"/>
    <col min="13" max="13" width="7.7109375" style="56" customWidth="1"/>
    <col min="14" max="14" width="10.7109375" style="5" customWidth="1"/>
    <col min="15" max="15" width="11.42578125" style="6"/>
    <col min="16" max="16384" width="11.42578125" style="7"/>
  </cols>
  <sheetData>
    <row r="1" spans="1:18" s="12" customFormat="1" ht="45" x14ac:dyDescent="0.25">
      <c r="B1" s="57"/>
      <c r="C1" s="8" t="s">
        <v>0</v>
      </c>
      <c r="D1" s="8" t="s">
        <v>1</v>
      </c>
      <c r="E1" s="8" t="s">
        <v>2</v>
      </c>
      <c r="F1" s="9"/>
      <c r="G1" s="8" t="s">
        <v>3</v>
      </c>
      <c r="H1" s="8" t="s">
        <v>4</v>
      </c>
      <c r="I1" s="8" t="s">
        <v>5</v>
      </c>
      <c r="J1" s="8" t="s">
        <v>6</v>
      </c>
      <c r="K1" s="10" t="s">
        <v>7</v>
      </c>
      <c r="L1" s="11" t="s">
        <v>8</v>
      </c>
      <c r="M1" s="55" t="s">
        <v>9</v>
      </c>
      <c r="N1" s="10" t="s">
        <v>10</v>
      </c>
      <c r="O1" s="11" t="s">
        <v>11</v>
      </c>
      <c r="P1" s="12" t="s">
        <v>268</v>
      </c>
      <c r="Q1" s="12" t="s">
        <v>269</v>
      </c>
      <c r="R1" s="12" t="s">
        <v>270</v>
      </c>
    </row>
    <row r="2" spans="1:18" s="20" customFormat="1" ht="50.1" customHeight="1" x14ac:dyDescent="0.25">
      <c r="A2" s="74"/>
      <c r="B2" s="74"/>
      <c r="C2" s="15" t="s">
        <v>12</v>
      </c>
      <c r="D2" s="16" t="s">
        <v>271</v>
      </c>
      <c r="E2" s="17" t="s">
        <v>272</v>
      </c>
      <c r="F2" s="18" t="s">
        <v>13</v>
      </c>
      <c r="G2" s="19">
        <v>1000</v>
      </c>
      <c r="H2" s="19">
        <v>114.5</v>
      </c>
      <c r="I2" s="16">
        <v>58</v>
      </c>
      <c r="J2" s="16">
        <v>1.82</v>
      </c>
      <c r="K2" s="75">
        <v>663.75</v>
      </c>
      <c r="L2" s="75">
        <f>K2/1.2</f>
        <v>553.125</v>
      </c>
      <c r="M2" s="76">
        <v>0.5</v>
      </c>
      <c r="N2" s="77">
        <f t="shared" ref="N2:N19" si="0">K2-(K2*M2)</f>
        <v>331.875</v>
      </c>
      <c r="O2" s="77">
        <f>N2/1.2</f>
        <v>276.5625</v>
      </c>
    </row>
    <row r="3" spans="1:18" s="20" customFormat="1" ht="50.1" customHeight="1" x14ac:dyDescent="0.25">
      <c r="A3" s="14"/>
      <c r="B3" s="14"/>
      <c r="C3" s="15" t="s">
        <v>14</v>
      </c>
      <c r="D3" s="16" t="s">
        <v>271</v>
      </c>
      <c r="E3" s="17" t="s">
        <v>273</v>
      </c>
      <c r="F3" s="18" t="s">
        <v>13</v>
      </c>
      <c r="G3" s="19">
        <v>1000</v>
      </c>
      <c r="H3" s="19">
        <v>114.5</v>
      </c>
      <c r="I3" s="16">
        <v>58</v>
      </c>
      <c r="J3" s="16">
        <v>1.22</v>
      </c>
      <c r="K3" s="73">
        <v>495</v>
      </c>
      <c r="L3" s="75">
        <f t="shared" ref="L3:L19" si="1">K3/1.2</f>
        <v>412.5</v>
      </c>
      <c r="M3" s="76">
        <v>0.55000000000000004</v>
      </c>
      <c r="N3" s="77">
        <f t="shared" si="0"/>
        <v>222.75</v>
      </c>
      <c r="O3" s="77">
        <f t="shared" ref="O3:O19" si="2">N3/1.2</f>
        <v>185.625</v>
      </c>
    </row>
    <row r="4" spans="1:18" s="20" customFormat="1" ht="50.1" customHeight="1" x14ac:dyDescent="0.25">
      <c r="A4" s="14"/>
      <c r="B4" s="14"/>
      <c r="C4" s="15" t="s">
        <v>15</v>
      </c>
      <c r="D4" s="16" t="s">
        <v>271</v>
      </c>
      <c r="E4" s="17" t="s">
        <v>274</v>
      </c>
      <c r="F4" s="18" t="s">
        <v>13</v>
      </c>
      <c r="G4" s="19">
        <v>1000</v>
      </c>
      <c r="H4" s="19">
        <v>114.5</v>
      </c>
      <c r="I4" s="16">
        <v>58</v>
      </c>
      <c r="J4" s="16">
        <v>1.6</v>
      </c>
      <c r="K4" s="73">
        <v>693.6</v>
      </c>
      <c r="L4" s="75">
        <f t="shared" si="1"/>
        <v>578</v>
      </c>
      <c r="M4" s="76">
        <v>0.5</v>
      </c>
      <c r="N4" s="77">
        <f t="shared" si="0"/>
        <v>346.8</v>
      </c>
      <c r="O4" s="77">
        <f t="shared" si="2"/>
        <v>289</v>
      </c>
    </row>
    <row r="5" spans="1:18" s="20" customFormat="1" ht="50.1" customHeight="1" x14ac:dyDescent="0.25">
      <c r="A5" s="14"/>
      <c r="B5" s="14"/>
      <c r="C5" s="15" t="s">
        <v>16</v>
      </c>
      <c r="D5" s="16" t="s">
        <v>275</v>
      </c>
      <c r="E5" s="17" t="s">
        <v>276</v>
      </c>
      <c r="F5" s="18" t="s">
        <v>13</v>
      </c>
      <c r="G5" s="19">
        <v>1000</v>
      </c>
      <c r="H5" s="19">
        <v>114.5</v>
      </c>
      <c r="I5" s="16">
        <v>58</v>
      </c>
      <c r="J5" s="16">
        <v>1.6</v>
      </c>
      <c r="K5" s="73">
        <v>700</v>
      </c>
      <c r="L5" s="75">
        <f t="shared" si="1"/>
        <v>583.33333333333337</v>
      </c>
      <c r="M5" s="76">
        <v>0.5</v>
      </c>
      <c r="N5" s="77">
        <f t="shared" si="0"/>
        <v>350</v>
      </c>
      <c r="O5" s="77">
        <f t="shared" si="2"/>
        <v>291.66666666666669</v>
      </c>
    </row>
    <row r="6" spans="1:18" s="20" customFormat="1" ht="50.1" customHeight="1" x14ac:dyDescent="0.25">
      <c r="A6" s="14"/>
      <c r="B6" s="14"/>
      <c r="C6" s="15" t="s">
        <v>17</v>
      </c>
      <c r="D6" s="16" t="s">
        <v>271</v>
      </c>
      <c r="E6" s="17" t="s">
        <v>277</v>
      </c>
      <c r="F6" s="18" t="s">
        <v>13</v>
      </c>
      <c r="G6" s="19">
        <v>1000</v>
      </c>
      <c r="H6" s="19">
        <v>114.5</v>
      </c>
      <c r="I6" s="16">
        <v>58</v>
      </c>
      <c r="J6" s="16">
        <v>1.1499999999999999</v>
      </c>
      <c r="K6" s="73">
        <v>510</v>
      </c>
      <c r="L6" s="75">
        <f t="shared" si="1"/>
        <v>425</v>
      </c>
      <c r="M6" s="76">
        <v>0.55000000000000004</v>
      </c>
      <c r="N6" s="77">
        <f t="shared" si="0"/>
        <v>229.5</v>
      </c>
      <c r="O6" s="77">
        <f t="shared" si="2"/>
        <v>191.25</v>
      </c>
    </row>
    <row r="7" spans="1:18" s="20" customFormat="1" ht="50.1" customHeight="1" x14ac:dyDescent="0.25">
      <c r="A7" s="14"/>
      <c r="B7" s="14"/>
      <c r="C7" s="15" t="s">
        <v>18</v>
      </c>
      <c r="D7" s="16" t="s">
        <v>271</v>
      </c>
      <c r="E7" s="17" t="s">
        <v>278</v>
      </c>
      <c r="F7" s="18" t="s">
        <v>13</v>
      </c>
      <c r="G7" s="19">
        <v>1000</v>
      </c>
      <c r="H7" s="19">
        <v>116</v>
      </c>
      <c r="I7" s="16">
        <v>96</v>
      </c>
      <c r="J7" s="16">
        <v>1.44</v>
      </c>
      <c r="K7" s="73">
        <v>588</v>
      </c>
      <c r="L7" s="75">
        <f t="shared" si="1"/>
        <v>490</v>
      </c>
      <c r="M7" s="76">
        <v>0.55000000000000004</v>
      </c>
      <c r="N7" s="77">
        <f t="shared" si="0"/>
        <v>264.59999999999997</v>
      </c>
      <c r="O7" s="77">
        <f t="shared" si="2"/>
        <v>220.49999999999997</v>
      </c>
    </row>
    <row r="8" spans="1:18" s="20" customFormat="1" ht="50.1" customHeight="1" x14ac:dyDescent="0.25">
      <c r="A8" s="71"/>
      <c r="B8" s="71"/>
      <c r="C8" s="21" t="s">
        <v>19</v>
      </c>
      <c r="D8" s="16" t="s">
        <v>271</v>
      </c>
      <c r="E8" s="22" t="s">
        <v>20</v>
      </c>
      <c r="F8" s="18" t="s">
        <v>13</v>
      </c>
      <c r="G8" s="23">
        <v>1000</v>
      </c>
      <c r="H8" s="23">
        <v>115</v>
      </c>
      <c r="I8" s="23">
        <v>96</v>
      </c>
      <c r="J8" s="24">
        <v>1.43</v>
      </c>
      <c r="K8" s="73">
        <v>598</v>
      </c>
      <c r="L8" s="75">
        <f t="shared" si="1"/>
        <v>498.33333333333337</v>
      </c>
      <c r="M8" s="76">
        <v>0.55000000000000004</v>
      </c>
      <c r="N8" s="77">
        <f t="shared" si="0"/>
        <v>269.09999999999997</v>
      </c>
      <c r="O8" s="77">
        <f t="shared" si="2"/>
        <v>224.24999999999997</v>
      </c>
    </row>
    <row r="9" spans="1:18" s="20" customFormat="1" ht="50.1" customHeight="1" x14ac:dyDescent="0.25">
      <c r="A9" s="78"/>
      <c r="B9" s="78"/>
      <c r="C9" s="15" t="s">
        <v>21</v>
      </c>
      <c r="D9" s="16" t="s">
        <v>271</v>
      </c>
      <c r="E9" s="17" t="s">
        <v>279</v>
      </c>
      <c r="F9" s="18" t="s">
        <v>13</v>
      </c>
      <c r="G9" s="19">
        <v>1000</v>
      </c>
      <c r="H9" s="16">
        <v>116</v>
      </c>
      <c r="I9" s="16">
        <v>96</v>
      </c>
      <c r="J9" s="16">
        <v>2.15</v>
      </c>
      <c r="K9" s="73">
        <v>786.6</v>
      </c>
      <c r="L9" s="75">
        <f t="shared" si="1"/>
        <v>655.5</v>
      </c>
      <c r="M9" s="76">
        <v>0.55000000000000004</v>
      </c>
      <c r="N9" s="77">
        <f t="shared" si="0"/>
        <v>353.96999999999997</v>
      </c>
      <c r="O9" s="77">
        <f t="shared" si="2"/>
        <v>294.97499999999997</v>
      </c>
    </row>
    <row r="10" spans="1:18" s="20" customFormat="1" ht="50.1" customHeight="1" x14ac:dyDescent="0.25">
      <c r="A10" s="78"/>
      <c r="B10" s="78"/>
      <c r="C10" s="21" t="s">
        <v>22</v>
      </c>
      <c r="D10" s="16" t="s">
        <v>271</v>
      </c>
      <c r="E10" s="22" t="s">
        <v>23</v>
      </c>
      <c r="F10" s="18" t="s">
        <v>13</v>
      </c>
      <c r="G10" s="23">
        <v>1000</v>
      </c>
      <c r="H10" s="23">
        <v>115</v>
      </c>
      <c r="I10" s="23">
        <v>96</v>
      </c>
      <c r="J10" s="24">
        <v>2</v>
      </c>
      <c r="K10" s="73">
        <v>786.6</v>
      </c>
      <c r="L10" s="75">
        <f t="shared" si="1"/>
        <v>655.5</v>
      </c>
      <c r="M10" s="76">
        <v>0.55000000000000004</v>
      </c>
      <c r="N10" s="77">
        <f t="shared" si="0"/>
        <v>353.96999999999997</v>
      </c>
      <c r="O10" s="77">
        <f t="shared" si="2"/>
        <v>294.97499999999997</v>
      </c>
    </row>
    <row r="11" spans="1:18" s="12" customFormat="1" ht="50.1" customHeight="1" x14ac:dyDescent="0.25">
      <c r="A11" s="72"/>
      <c r="B11" s="72"/>
      <c r="C11" s="15" t="s">
        <v>24</v>
      </c>
      <c r="D11" s="16" t="s">
        <v>271</v>
      </c>
      <c r="E11" s="17" t="s">
        <v>280</v>
      </c>
      <c r="F11" s="18" t="s">
        <v>13</v>
      </c>
      <c r="G11" s="19">
        <v>1000</v>
      </c>
      <c r="H11" s="16">
        <v>116</v>
      </c>
      <c r="I11" s="16">
        <v>96</v>
      </c>
      <c r="J11" s="16">
        <v>1.45</v>
      </c>
      <c r="K11" s="73">
        <v>609</v>
      </c>
      <c r="L11" s="75">
        <f t="shared" si="1"/>
        <v>507.5</v>
      </c>
      <c r="M11" s="76">
        <v>0.55000000000000004</v>
      </c>
      <c r="N11" s="77">
        <f t="shared" si="0"/>
        <v>274.04999999999995</v>
      </c>
      <c r="O11" s="77">
        <f t="shared" si="2"/>
        <v>228.37499999999997</v>
      </c>
    </row>
    <row r="12" spans="1:18" s="12" customFormat="1" ht="50.1" customHeight="1" x14ac:dyDescent="0.25">
      <c r="A12" s="71"/>
      <c r="B12" s="71"/>
      <c r="C12" s="21" t="s">
        <v>25</v>
      </c>
      <c r="D12" s="16" t="s">
        <v>271</v>
      </c>
      <c r="E12" s="22" t="s">
        <v>26</v>
      </c>
      <c r="F12" s="18" t="s">
        <v>13</v>
      </c>
      <c r="G12" s="23">
        <v>1000</v>
      </c>
      <c r="H12" s="23">
        <v>115</v>
      </c>
      <c r="I12" s="23">
        <v>96</v>
      </c>
      <c r="J12" s="24">
        <v>1.55</v>
      </c>
      <c r="K12" s="73">
        <v>609</v>
      </c>
      <c r="L12" s="75">
        <f t="shared" si="1"/>
        <v>507.5</v>
      </c>
      <c r="M12" s="76">
        <v>0.55000000000000004</v>
      </c>
      <c r="N12" s="77">
        <f t="shared" si="0"/>
        <v>274.04999999999995</v>
      </c>
      <c r="O12" s="77">
        <f t="shared" si="2"/>
        <v>228.37499999999997</v>
      </c>
    </row>
    <row r="13" spans="1:18" s="12" customFormat="1" ht="50.1" customHeight="1" x14ac:dyDescent="0.25">
      <c r="A13" s="14"/>
      <c r="B13" s="14"/>
      <c r="C13" s="15" t="s">
        <v>27</v>
      </c>
      <c r="D13" s="16" t="s">
        <v>271</v>
      </c>
      <c r="E13" s="17" t="s">
        <v>281</v>
      </c>
      <c r="F13" s="18" t="s">
        <v>13</v>
      </c>
      <c r="G13" s="19">
        <v>1000</v>
      </c>
      <c r="H13" s="16">
        <v>116</v>
      </c>
      <c r="I13" s="16">
        <v>96</v>
      </c>
      <c r="J13" s="16">
        <v>1.45</v>
      </c>
      <c r="K13" s="73">
        <v>720</v>
      </c>
      <c r="L13" s="75">
        <f t="shared" si="1"/>
        <v>600</v>
      </c>
      <c r="M13" s="76">
        <v>0.5</v>
      </c>
      <c r="N13" s="77">
        <f t="shared" si="0"/>
        <v>360</v>
      </c>
      <c r="O13" s="77">
        <f t="shared" si="2"/>
        <v>300</v>
      </c>
    </row>
    <row r="14" spans="1:18" s="12" customFormat="1" ht="50.1" customHeight="1" x14ac:dyDescent="0.25">
      <c r="A14" s="14"/>
      <c r="B14" s="14"/>
      <c r="C14" s="15" t="s">
        <v>28</v>
      </c>
      <c r="D14" s="16" t="s">
        <v>275</v>
      </c>
      <c r="E14" s="17" t="s">
        <v>282</v>
      </c>
      <c r="F14" s="18" t="s">
        <v>13</v>
      </c>
      <c r="G14" s="19">
        <v>1000</v>
      </c>
      <c r="H14" s="16">
        <v>116</v>
      </c>
      <c r="I14" s="16">
        <v>96</v>
      </c>
      <c r="J14" s="16">
        <v>1.45</v>
      </c>
      <c r="K14" s="73">
        <v>750</v>
      </c>
      <c r="L14" s="75">
        <f t="shared" si="1"/>
        <v>625</v>
      </c>
      <c r="M14" s="76">
        <v>0.5</v>
      </c>
      <c r="N14" s="77">
        <f t="shared" si="0"/>
        <v>375</v>
      </c>
      <c r="O14" s="77">
        <f t="shared" si="2"/>
        <v>312.5</v>
      </c>
    </row>
    <row r="15" spans="1:18" s="12" customFormat="1" ht="50.1" customHeight="1" x14ac:dyDescent="0.25">
      <c r="A15" s="71"/>
      <c r="B15" s="71"/>
      <c r="C15" s="21" t="s">
        <v>29</v>
      </c>
      <c r="D15" s="16" t="s">
        <v>275</v>
      </c>
      <c r="E15" s="22" t="s">
        <v>30</v>
      </c>
      <c r="F15" s="18" t="s">
        <v>13</v>
      </c>
      <c r="G15" s="23">
        <v>1000</v>
      </c>
      <c r="H15" s="23">
        <v>115</v>
      </c>
      <c r="I15" s="23">
        <v>96</v>
      </c>
      <c r="J15" s="24">
        <v>1.72</v>
      </c>
      <c r="K15" s="73">
        <v>750</v>
      </c>
      <c r="L15" s="75">
        <f t="shared" si="1"/>
        <v>625</v>
      </c>
      <c r="M15" s="76">
        <v>0.5</v>
      </c>
      <c r="N15" s="77">
        <f t="shared" si="0"/>
        <v>375</v>
      </c>
      <c r="O15" s="77">
        <f t="shared" si="2"/>
        <v>312.5</v>
      </c>
    </row>
    <row r="16" spans="1:18" s="12" customFormat="1" ht="50.1" customHeight="1" x14ac:dyDescent="0.25">
      <c r="A16" s="14"/>
      <c r="B16" s="14"/>
      <c r="C16" s="15" t="s">
        <v>31</v>
      </c>
      <c r="D16" s="16" t="s">
        <v>275</v>
      </c>
      <c r="E16" s="17" t="s">
        <v>283</v>
      </c>
      <c r="F16" s="18" t="s">
        <v>13</v>
      </c>
      <c r="G16" s="19">
        <v>1000</v>
      </c>
      <c r="H16" s="16">
        <v>116</v>
      </c>
      <c r="I16" s="16">
        <v>96</v>
      </c>
      <c r="J16" s="16">
        <v>1.45</v>
      </c>
      <c r="K16" s="73">
        <v>810</v>
      </c>
      <c r="L16" s="75">
        <f t="shared" si="1"/>
        <v>675</v>
      </c>
      <c r="M16" s="76">
        <v>0.5</v>
      </c>
      <c r="N16" s="77">
        <f t="shared" si="0"/>
        <v>405</v>
      </c>
      <c r="O16" s="77">
        <f t="shared" si="2"/>
        <v>337.5</v>
      </c>
    </row>
    <row r="17" spans="1:26" s="12" customFormat="1" ht="50.1" customHeight="1" x14ac:dyDescent="0.25">
      <c r="A17" s="74"/>
      <c r="B17" s="74"/>
      <c r="C17" s="15" t="s">
        <v>32</v>
      </c>
      <c r="D17" s="16" t="s">
        <v>271</v>
      </c>
      <c r="E17" s="17" t="s">
        <v>33</v>
      </c>
      <c r="F17" s="18" t="s">
        <v>34</v>
      </c>
      <c r="G17" s="19">
        <v>1000</v>
      </c>
      <c r="H17" s="16">
        <v>380</v>
      </c>
      <c r="I17" s="16">
        <v>296</v>
      </c>
      <c r="J17" s="16">
        <v>14.62</v>
      </c>
      <c r="K17" s="73">
        <v>9777.2999999999993</v>
      </c>
      <c r="L17" s="75">
        <f t="shared" si="1"/>
        <v>8147.75</v>
      </c>
      <c r="M17" s="76">
        <v>0.55000000000000004</v>
      </c>
      <c r="N17" s="77">
        <f t="shared" si="0"/>
        <v>4399.7849999999989</v>
      </c>
      <c r="O17" s="77">
        <f t="shared" si="2"/>
        <v>3666.4874999999993</v>
      </c>
    </row>
    <row r="18" spans="1:26" s="12" customFormat="1" ht="50.1" customHeight="1" x14ac:dyDescent="0.25">
      <c r="A18" s="74"/>
      <c r="B18" s="74"/>
      <c r="C18" s="25" t="s">
        <v>35</v>
      </c>
      <c r="D18" s="16" t="s">
        <v>271</v>
      </c>
      <c r="E18" s="17" t="s">
        <v>36</v>
      </c>
      <c r="F18" s="18" t="s">
        <v>34</v>
      </c>
      <c r="G18" s="19">
        <v>1000</v>
      </c>
      <c r="H18" s="16">
        <v>380</v>
      </c>
      <c r="I18" s="16">
        <v>400</v>
      </c>
      <c r="J18" s="16">
        <v>15.2</v>
      </c>
      <c r="K18" s="73">
        <v>10060.645</v>
      </c>
      <c r="L18" s="75">
        <f t="shared" si="1"/>
        <v>8383.8708333333343</v>
      </c>
      <c r="M18" s="76">
        <v>0.55000000000000004</v>
      </c>
      <c r="N18" s="77">
        <f t="shared" si="0"/>
        <v>4527.29025</v>
      </c>
      <c r="O18" s="77">
        <f t="shared" si="2"/>
        <v>3772.7418750000002</v>
      </c>
    </row>
    <row r="19" spans="1:26" s="12" customFormat="1" ht="50.1" customHeight="1" x14ac:dyDescent="0.25">
      <c r="A19" s="74"/>
      <c r="B19" s="74"/>
      <c r="C19" s="15" t="s">
        <v>37</v>
      </c>
      <c r="D19" s="16" t="s">
        <v>271</v>
      </c>
      <c r="E19" s="17" t="s">
        <v>38</v>
      </c>
      <c r="F19" s="18" t="s">
        <v>34</v>
      </c>
      <c r="G19" s="19">
        <v>1000</v>
      </c>
      <c r="H19" s="16">
        <v>380</v>
      </c>
      <c r="I19" s="16">
        <v>496</v>
      </c>
      <c r="J19" s="16">
        <v>17.2</v>
      </c>
      <c r="K19" s="79">
        <v>9893.93</v>
      </c>
      <c r="L19" s="75">
        <f t="shared" si="1"/>
        <v>8244.9416666666675</v>
      </c>
      <c r="M19" s="76">
        <v>0.55000000000000004</v>
      </c>
      <c r="N19" s="77">
        <f t="shared" si="0"/>
        <v>4452.2685000000001</v>
      </c>
      <c r="O19" s="77">
        <f t="shared" si="2"/>
        <v>3710.2237500000001</v>
      </c>
    </row>
    <row r="20" spans="1:26" s="12" customFormat="1" x14ac:dyDescent="0.25">
      <c r="A20" s="80" t="s">
        <v>284</v>
      </c>
      <c r="B20" s="81"/>
      <c r="C20" s="82"/>
      <c r="D20" s="81"/>
      <c r="E20" s="83"/>
      <c r="F20" s="81"/>
      <c r="G20" s="81"/>
      <c r="H20" s="81"/>
      <c r="I20" s="81"/>
      <c r="J20" s="81"/>
      <c r="K20" s="84"/>
      <c r="L20" s="85"/>
      <c r="M20" s="86"/>
      <c r="N20" s="87"/>
      <c r="O20" s="87"/>
    </row>
    <row r="21" spans="1:26" s="12" customFormat="1" ht="50.1" customHeight="1" x14ac:dyDescent="0.25">
      <c r="A21" s="74"/>
      <c r="B21" s="74"/>
      <c r="C21" s="15" t="s">
        <v>39</v>
      </c>
      <c r="D21" s="16" t="s">
        <v>271</v>
      </c>
      <c r="E21" s="17" t="s">
        <v>40</v>
      </c>
      <c r="F21" s="18" t="s">
        <v>13</v>
      </c>
      <c r="G21" s="16">
        <v>500</v>
      </c>
      <c r="H21" s="16">
        <v>116</v>
      </c>
      <c r="I21" s="16">
        <v>320</v>
      </c>
      <c r="J21" s="16">
        <v>3.4</v>
      </c>
      <c r="K21" s="75">
        <v>1734.88</v>
      </c>
      <c r="L21" s="75">
        <f t="shared" ref="L21:L25" si="3">K21/1.2</f>
        <v>1445.7333333333336</v>
      </c>
      <c r="M21" s="76">
        <v>0.55000000000000004</v>
      </c>
      <c r="N21" s="77">
        <f>K21-(K21*M21)</f>
        <v>780.69600000000003</v>
      </c>
      <c r="O21" s="77">
        <f t="shared" ref="O21:O25" si="4">N21/1.2</f>
        <v>650.58000000000004</v>
      </c>
    </row>
    <row r="22" spans="1:26" s="12" customFormat="1" ht="50.1" customHeight="1" x14ac:dyDescent="0.25">
      <c r="A22" s="14"/>
      <c r="B22" s="14"/>
      <c r="C22" s="15" t="s">
        <v>41</v>
      </c>
      <c r="D22" s="16" t="s">
        <v>271</v>
      </c>
      <c r="E22" s="17" t="s">
        <v>42</v>
      </c>
      <c r="F22" s="18" t="s">
        <v>13</v>
      </c>
      <c r="G22" s="16">
        <v>500</v>
      </c>
      <c r="H22" s="16">
        <v>116</v>
      </c>
      <c r="I22" s="16">
        <v>320</v>
      </c>
      <c r="J22" s="16">
        <v>3.05</v>
      </c>
      <c r="K22" s="73">
        <v>1571.78</v>
      </c>
      <c r="L22" s="75">
        <f t="shared" si="3"/>
        <v>1309.8166666666666</v>
      </c>
      <c r="M22" s="76">
        <v>0.55000000000000004</v>
      </c>
      <c r="N22" s="77">
        <f>K22-(K22*M22)</f>
        <v>707.30099999999993</v>
      </c>
      <c r="O22" s="77">
        <f t="shared" si="4"/>
        <v>589.41750000000002</v>
      </c>
    </row>
    <row r="23" spans="1:26" s="12" customFormat="1" ht="50.1" customHeight="1" x14ac:dyDescent="0.25">
      <c r="A23" s="14"/>
      <c r="B23" s="14"/>
      <c r="C23" s="15" t="s">
        <v>43</v>
      </c>
      <c r="D23" s="16" t="s">
        <v>271</v>
      </c>
      <c r="E23" s="17" t="s">
        <v>44</v>
      </c>
      <c r="F23" s="18" t="s">
        <v>13</v>
      </c>
      <c r="G23" s="16">
        <v>500</v>
      </c>
      <c r="H23" s="16">
        <v>116</v>
      </c>
      <c r="I23" s="16">
        <v>320</v>
      </c>
      <c r="J23" s="16">
        <v>2.14</v>
      </c>
      <c r="K23" s="73">
        <v>1871.28</v>
      </c>
      <c r="L23" s="75">
        <f t="shared" si="3"/>
        <v>1559.4</v>
      </c>
      <c r="M23" s="76">
        <v>0.55000000000000004</v>
      </c>
      <c r="N23" s="77">
        <f>K23-(K23*M23)</f>
        <v>842.07599999999979</v>
      </c>
      <c r="O23" s="77">
        <f t="shared" si="4"/>
        <v>701.7299999999999</v>
      </c>
    </row>
    <row r="24" spans="1:26" s="12" customFormat="1" ht="50.1" customHeight="1" x14ac:dyDescent="0.25">
      <c r="A24" s="14"/>
      <c r="B24" s="14"/>
      <c r="C24" s="15" t="s">
        <v>45</v>
      </c>
      <c r="D24" s="16" t="s">
        <v>275</v>
      </c>
      <c r="E24" s="17" t="s">
        <v>46</v>
      </c>
      <c r="F24" s="26" t="s">
        <v>13</v>
      </c>
      <c r="G24" s="16">
        <v>500</v>
      </c>
      <c r="H24" s="16">
        <v>116</v>
      </c>
      <c r="I24" s="16">
        <v>320</v>
      </c>
      <c r="J24" s="16">
        <v>2.14</v>
      </c>
      <c r="K24" s="73">
        <v>1755.36</v>
      </c>
      <c r="L24" s="75">
        <f t="shared" si="3"/>
        <v>1462.8</v>
      </c>
      <c r="M24" s="76">
        <v>0.55000000000000004</v>
      </c>
      <c r="N24" s="77">
        <f>K24-(K24*M24)</f>
        <v>789.91199999999992</v>
      </c>
      <c r="O24" s="77">
        <f t="shared" si="4"/>
        <v>658.26</v>
      </c>
    </row>
    <row r="25" spans="1:26" s="12" customFormat="1" ht="50.1" customHeight="1" x14ac:dyDescent="0.25">
      <c r="A25" s="14"/>
      <c r="B25" s="14"/>
      <c r="C25" s="15" t="s">
        <v>47</v>
      </c>
      <c r="D25" s="16" t="s">
        <v>271</v>
      </c>
      <c r="E25" s="17" t="s">
        <v>44</v>
      </c>
      <c r="F25" s="18" t="s">
        <v>13</v>
      </c>
      <c r="G25" s="16">
        <v>500</v>
      </c>
      <c r="H25" s="16">
        <v>116</v>
      </c>
      <c r="I25" s="16">
        <v>320</v>
      </c>
      <c r="J25" s="16">
        <v>1.91</v>
      </c>
      <c r="K25" s="79">
        <v>1514.1</v>
      </c>
      <c r="L25" s="75">
        <f t="shared" si="3"/>
        <v>1261.75</v>
      </c>
      <c r="M25" s="76">
        <v>0.55000000000000004</v>
      </c>
      <c r="N25" s="77">
        <f>K25-(K25*M25)</f>
        <v>681.34499999999991</v>
      </c>
      <c r="O25" s="77">
        <f t="shared" si="4"/>
        <v>567.78749999999991</v>
      </c>
    </row>
    <row r="26" spans="1:26" s="12" customFormat="1" x14ac:dyDescent="0.25">
      <c r="A26" s="88" t="s">
        <v>285</v>
      </c>
      <c r="B26" s="89"/>
      <c r="C26" s="90"/>
      <c r="D26" s="89"/>
      <c r="E26" s="91"/>
      <c r="F26" s="89"/>
      <c r="G26" s="89"/>
      <c r="H26" s="89"/>
      <c r="I26" s="89"/>
      <c r="J26" s="89"/>
      <c r="K26" s="84"/>
      <c r="L26" s="85"/>
      <c r="M26" s="92"/>
      <c r="N26" s="93"/>
      <c r="O26" s="93"/>
    </row>
    <row r="27" spans="1:26" s="12" customFormat="1" ht="50.1" customHeight="1" x14ac:dyDescent="0.25">
      <c r="A27" s="14"/>
      <c r="B27" s="14"/>
      <c r="C27" s="25">
        <v>18061</v>
      </c>
      <c r="D27" s="16" t="s">
        <v>48</v>
      </c>
      <c r="E27" s="17" t="s">
        <v>286</v>
      </c>
      <c r="F27" s="18" t="s">
        <v>13</v>
      </c>
      <c r="G27" s="16">
        <v>100</v>
      </c>
      <c r="H27" s="16">
        <v>2.7</v>
      </c>
      <c r="I27" s="16">
        <v>68</v>
      </c>
      <c r="J27" s="16">
        <v>0.04</v>
      </c>
      <c r="K27" s="75">
        <v>117.6</v>
      </c>
      <c r="L27" s="75">
        <f t="shared" ref="L27:L28" si="5">K27/1.2</f>
        <v>98</v>
      </c>
      <c r="M27" s="76">
        <v>0.55000000000000004</v>
      </c>
      <c r="N27" s="77">
        <f>K27-(K27*M27)</f>
        <v>52.919999999999987</v>
      </c>
      <c r="O27" s="77">
        <f t="shared" ref="O27:O28" si="6">N27/1.2</f>
        <v>44.099999999999994</v>
      </c>
    </row>
    <row r="28" spans="1:26" s="12" customFormat="1" ht="50.1" customHeight="1" x14ac:dyDescent="0.25">
      <c r="A28" s="14"/>
      <c r="B28" s="14"/>
      <c r="C28" s="25">
        <v>18062</v>
      </c>
      <c r="D28" s="16" t="s">
        <v>48</v>
      </c>
      <c r="E28" s="17" t="s">
        <v>287</v>
      </c>
      <c r="F28" s="18" t="s">
        <v>288</v>
      </c>
      <c r="G28" s="16">
        <v>109</v>
      </c>
      <c r="H28" s="16">
        <v>109</v>
      </c>
      <c r="I28" s="16">
        <v>52.5</v>
      </c>
      <c r="J28" s="16">
        <v>0.1</v>
      </c>
      <c r="K28" s="79">
        <v>179.28</v>
      </c>
      <c r="L28" s="75">
        <f t="shared" si="5"/>
        <v>149.4</v>
      </c>
      <c r="M28" s="76">
        <v>0.55000000000000004</v>
      </c>
      <c r="N28" s="77">
        <f>K28-(K28*M28)</f>
        <v>80.675999999999988</v>
      </c>
      <c r="O28" s="77">
        <f t="shared" si="6"/>
        <v>67.22999999999999</v>
      </c>
    </row>
    <row r="29" spans="1:26" s="13" customFormat="1" ht="15.75" customHeight="1" x14ac:dyDescent="0.25">
      <c r="A29" s="80" t="s">
        <v>289</v>
      </c>
      <c r="B29" s="81"/>
      <c r="C29" s="82"/>
      <c r="D29" s="81"/>
      <c r="E29" s="83"/>
      <c r="F29" s="81"/>
      <c r="G29" s="81"/>
      <c r="H29" s="81"/>
      <c r="I29" s="81"/>
      <c r="J29" s="81"/>
      <c r="K29" s="84"/>
      <c r="L29" s="85"/>
      <c r="M29" s="92"/>
      <c r="N29" s="93"/>
      <c r="O29" s="93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s="20" customFormat="1" ht="50.1" customHeight="1" x14ac:dyDescent="0.25">
      <c r="A30" s="27"/>
      <c r="B30" s="27"/>
      <c r="C30" s="25">
        <v>805</v>
      </c>
      <c r="D30" s="16" t="s">
        <v>290</v>
      </c>
      <c r="E30" s="17" t="s">
        <v>49</v>
      </c>
      <c r="F30" s="18" t="s">
        <v>13</v>
      </c>
      <c r="G30" s="19">
        <v>1000</v>
      </c>
      <c r="H30" s="16">
        <v>146</v>
      </c>
      <c r="I30" s="16">
        <v>63</v>
      </c>
      <c r="J30" s="16">
        <v>1</v>
      </c>
      <c r="K30" s="75">
        <v>396</v>
      </c>
      <c r="L30" s="75">
        <f t="shared" ref="L30:L35" si="7">K30/1.2</f>
        <v>330</v>
      </c>
      <c r="M30" s="76">
        <v>0.55000000000000004</v>
      </c>
      <c r="N30" s="77">
        <f t="shared" ref="N30:N35" si="8">K30-(K30*M30)</f>
        <v>178.2</v>
      </c>
      <c r="O30" s="77">
        <f t="shared" ref="O30:O35" si="9">N30/1.2</f>
        <v>148.5</v>
      </c>
    </row>
    <row r="31" spans="1:26" s="20" customFormat="1" ht="50.1" customHeight="1" x14ac:dyDescent="0.25">
      <c r="A31" s="27"/>
      <c r="B31" s="27"/>
      <c r="C31" s="25">
        <v>803</v>
      </c>
      <c r="D31" s="16" t="s">
        <v>290</v>
      </c>
      <c r="E31" s="17" t="s">
        <v>50</v>
      </c>
      <c r="F31" s="18" t="s">
        <v>13</v>
      </c>
      <c r="G31" s="16">
        <v>1000</v>
      </c>
      <c r="H31" s="16">
        <v>146</v>
      </c>
      <c r="I31" s="16">
        <v>80</v>
      </c>
      <c r="J31" s="16">
        <v>1.2</v>
      </c>
      <c r="K31" s="73">
        <v>460</v>
      </c>
      <c r="L31" s="75">
        <f t="shared" si="7"/>
        <v>383.33333333333337</v>
      </c>
      <c r="M31" s="76">
        <v>0.55000000000000004</v>
      </c>
      <c r="N31" s="77">
        <f t="shared" si="8"/>
        <v>206.99999999999997</v>
      </c>
      <c r="O31" s="77">
        <f t="shared" si="9"/>
        <v>172.49999999999997</v>
      </c>
    </row>
    <row r="32" spans="1:26" s="20" customFormat="1" ht="50.1" customHeight="1" x14ac:dyDescent="0.25">
      <c r="A32" s="27"/>
      <c r="B32" s="27"/>
      <c r="C32" s="25">
        <v>804</v>
      </c>
      <c r="D32" s="16" t="s">
        <v>290</v>
      </c>
      <c r="E32" s="17" t="s">
        <v>51</v>
      </c>
      <c r="F32" s="18" t="s">
        <v>13</v>
      </c>
      <c r="G32" s="16">
        <v>1000</v>
      </c>
      <c r="H32" s="16">
        <v>146</v>
      </c>
      <c r="I32" s="16">
        <v>100</v>
      </c>
      <c r="J32" s="16">
        <v>1.32</v>
      </c>
      <c r="K32" s="73">
        <v>486</v>
      </c>
      <c r="L32" s="75">
        <f t="shared" si="7"/>
        <v>405</v>
      </c>
      <c r="M32" s="76">
        <v>0.55000000000000004</v>
      </c>
      <c r="N32" s="77">
        <f t="shared" si="8"/>
        <v>218.7</v>
      </c>
      <c r="O32" s="77">
        <f t="shared" si="9"/>
        <v>182.25</v>
      </c>
    </row>
    <row r="33" spans="1:26" s="20" customFormat="1" ht="50.1" customHeight="1" x14ac:dyDescent="0.25">
      <c r="A33" s="27"/>
      <c r="B33" s="27"/>
      <c r="C33" s="25">
        <v>801</v>
      </c>
      <c r="D33" s="16" t="s">
        <v>290</v>
      </c>
      <c r="E33" s="17" t="s">
        <v>52</v>
      </c>
      <c r="F33" s="18" t="s">
        <v>13</v>
      </c>
      <c r="G33" s="16">
        <v>1000</v>
      </c>
      <c r="H33" s="16">
        <v>146</v>
      </c>
      <c r="I33" s="16">
        <v>120</v>
      </c>
      <c r="J33" s="16">
        <v>1.46</v>
      </c>
      <c r="K33" s="73">
        <v>508</v>
      </c>
      <c r="L33" s="75">
        <f t="shared" si="7"/>
        <v>423.33333333333337</v>
      </c>
      <c r="M33" s="76">
        <v>0.55000000000000004</v>
      </c>
      <c r="N33" s="77">
        <f t="shared" si="8"/>
        <v>228.59999999999997</v>
      </c>
      <c r="O33" s="77">
        <f t="shared" si="9"/>
        <v>190.49999999999997</v>
      </c>
    </row>
    <row r="34" spans="1:26" s="20" customFormat="1" ht="50.1" customHeight="1" x14ac:dyDescent="0.25">
      <c r="A34" s="27"/>
      <c r="B34" s="27"/>
      <c r="C34" s="25">
        <v>800</v>
      </c>
      <c r="D34" s="16" t="s">
        <v>290</v>
      </c>
      <c r="E34" s="17" t="s">
        <v>53</v>
      </c>
      <c r="F34" s="18" t="s">
        <v>13</v>
      </c>
      <c r="G34" s="16">
        <v>1000</v>
      </c>
      <c r="H34" s="16">
        <v>146</v>
      </c>
      <c r="I34" s="16">
        <v>135</v>
      </c>
      <c r="J34" s="16">
        <v>1.59</v>
      </c>
      <c r="K34" s="73">
        <v>572</v>
      </c>
      <c r="L34" s="75">
        <f t="shared" si="7"/>
        <v>476.66666666666669</v>
      </c>
      <c r="M34" s="76">
        <v>0.55000000000000004</v>
      </c>
      <c r="N34" s="77">
        <f t="shared" si="8"/>
        <v>257.39999999999998</v>
      </c>
      <c r="O34" s="77">
        <f t="shared" si="9"/>
        <v>214.5</v>
      </c>
    </row>
    <row r="35" spans="1:26" s="20" customFormat="1" ht="50.1" customHeight="1" x14ac:dyDescent="0.25">
      <c r="A35" s="27"/>
      <c r="B35" s="27"/>
      <c r="C35" s="25">
        <v>802</v>
      </c>
      <c r="D35" s="16" t="s">
        <v>290</v>
      </c>
      <c r="E35" s="17" t="s">
        <v>54</v>
      </c>
      <c r="F35" s="18" t="s">
        <v>13</v>
      </c>
      <c r="G35" s="19">
        <v>1000</v>
      </c>
      <c r="H35" s="16">
        <v>146</v>
      </c>
      <c r="I35" s="16">
        <v>185</v>
      </c>
      <c r="J35" s="16">
        <v>2.0699999999999998</v>
      </c>
      <c r="K35" s="79">
        <v>652</v>
      </c>
      <c r="L35" s="75">
        <f t="shared" si="7"/>
        <v>543.33333333333337</v>
      </c>
      <c r="M35" s="76">
        <v>0.55000000000000004</v>
      </c>
      <c r="N35" s="77">
        <f t="shared" si="8"/>
        <v>293.39999999999998</v>
      </c>
      <c r="O35" s="77">
        <f t="shared" si="9"/>
        <v>244.5</v>
      </c>
    </row>
    <row r="36" spans="1:26" s="13" customFormat="1" ht="15.75" customHeight="1" x14ac:dyDescent="0.25">
      <c r="A36" s="80" t="s">
        <v>291</v>
      </c>
      <c r="B36" s="81"/>
      <c r="C36" s="82"/>
      <c r="D36" s="81"/>
      <c r="E36" s="83"/>
      <c r="F36" s="81"/>
      <c r="G36" s="81"/>
      <c r="H36" s="81"/>
      <c r="I36" s="81"/>
      <c r="J36" s="81"/>
      <c r="K36" s="84"/>
      <c r="L36" s="85"/>
      <c r="M36" s="92"/>
      <c r="N36" s="93"/>
      <c r="O36" s="93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s="20" customFormat="1" ht="50.1" customHeight="1" x14ac:dyDescent="0.25">
      <c r="A37" s="28"/>
      <c r="B37" s="28"/>
      <c r="C37" s="25">
        <v>808</v>
      </c>
      <c r="D37" s="16" t="s">
        <v>290</v>
      </c>
      <c r="E37" s="17" t="s">
        <v>55</v>
      </c>
      <c r="F37" s="18" t="s">
        <v>13</v>
      </c>
      <c r="G37" s="19">
        <v>500</v>
      </c>
      <c r="H37" s="16">
        <v>160</v>
      </c>
      <c r="I37" s="16">
        <v>420</v>
      </c>
      <c r="J37" s="16">
        <v>2.75</v>
      </c>
      <c r="K37" s="94">
        <v>1869</v>
      </c>
      <c r="L37" s="75">
        <f>K37/1.2</f>
        <v>1557.5</v>
      </c>
      <c r="M37" s="76">
        <v>0.55000000000000004</v>
      </c>
      <c r="N37" s="77">
        <f>K37-(K37*M37)</f>
        <v>841.05</v>
      </c>
      <c r="O37" s="77">
        <f>N37/1.2</f>
        <v>700.875</v>
      </c>
    </row>
    <row r="38" spans="1:26" s="13" customFormat="1" ht="15.75" customHeight="1" x14ac:dyDescent="0.25">
      <c r="A38" s="80" t="s">
        <v>292</v>
      </c>
      <c r="B38" s="81"/>
      <c r="C38" s="82"/>
      <c r="D38" s="81"/>
      <c r="E38" s="83"/>
      <c r="F38" s="81"/>
      <c r="G38" s="81"/>
      <c r="H38" s="81"/>
      <c r="I38" s="81"/>
      <c r="J38" s="81"/>
      <c r="K38" s="84"/>
      <c r="L38" s="85"/>
      <c r="M38" s="92"/>
      <c r="N38" s="93"/>
      <c r="O38" s="93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s="20" customFormat="1" ht="50.1" customHeight="1" x14ac:dyDescent="0.25">
      <c r="A39" s="27"/>
      <c r="B39" s="27"/>
      <c r="C39" s="25">
        <v>8054</v>
      </c>
      <c r="D39" s="16" t="s">
        <v>290</v>
      </c>
      <c r="E39" s="17" t="s">
        <v>56</v>
      </c>
      <c r="F39" s="18" t="s">
        <v>13</v>
      </c>
      <c r="G39" s="19">
        <v>1000</v>
      </c>
      <c r="H39" s="16">
        <v>148</v>
      </c>
      <c r="I39" s="16">
        <v>66</v>
      </c>
      <c r="J39" s="16">
        <v>2</v>
      </c>
      <c r="K39" s="75">
        <v>967.86</v>
      </c>
      <c r="L39" s="75">
        <f t="shared" ref="L39:L44" si="10">K39/1.2</f>
        <v>806.55000000000007</v>
      </c>
      <c r="M39" s="76">
        <v>0.55000000000000004</v>
      </c>
      <c r="N39" s="77">
        <f t="shared" ref="N39:N44" si="11">K39-(K39*M39)</f>
        <v>435.53699999999992</v>
      </c>
      <c r="O39" s="77">
        <f t="shared" ref="O39:O44" si="12">N39/1.2</f>
        <v>362.94749999999993</v>
      </c>
    </row>
    <row r="40" spans="1:26" s="20" customFormat="1" ht="50.1" customHeight="1" x14ac:dyDescent="0.25">
      <c r="A40" s="27"/>
      <c r="B40" s="27"/>
      <c r="C40" s="25">
        <v>8034</v>
      </c>
      <c r="D40" s="16" t="s">
        <v>290</v>
      </c>
      <c r="E40" s="17" t="s">
        <v>57</v>
      </c>
      <c r="F40" s="18" t="s">
        <v>13</v>
      </c>
      <c r="G40" s="16">
        <v>1000</v>
      </c>
      <c r="H40" s="16">
        <v>148</v>
      </c>
      <c r="I40" s="16">
        <v>83</v>
      </c>
      <c r="J40" s="16">
        <v>2.2000000000000002</v>
      </c>
      <c r="K40" s="73">
        <v>1022.58</v>
      </c>
      <c r="L40" s="75">
        <f t="shared" si="10"/>
        <v>852.15000000000009</v>
      </c>
      <c r="M40" s="76">
        <v>0.55000000000000004</v>
      </c>
      <c r="N40" s="77">
        <f t="shared" si="11"/>
        <v>460.16099999999994</v>
      </c>
      <c r="O40" s="77">
        <f t="shared" si="12"/>
        <v>383.46749999999997</v>
      </c>
    </row>
    <row r="41" spans="1:26" s="20" customFormat="1" ht="50.1" customHeight="1" x14ac:dyDescent="0.25">
      <c r="A41" s="27"/>
      <c r="B41" s="27"/>
      <c r="C41" s="25">
        <v>8044</v>
      </c>
      <c r="D41" s="16" t="s">
        <v>290</v>
      </c>
      <c r="E41" s="17" t="s">
        <v>58</v>
      </c>
      <c r="F41" s="18" t="s">
        <v>13</v>
      </c>
      <c r="G41" s="16">
        <v>1000</v>
      </c>
      <c r="H41" s="16">
        <v>148</v>
      </c>
      <c r="I41" s="16">
        <v>103</v>
      </c>
      <c r="J41" s="16">
        <v>2.4</v>
      </c>
      <c r="K41" s="73">
        <v>1026.1300000000001</v>
      </c>
      <c r="L41" s="75">
        <f t="shared" si="10"/>
        <v>855.10833333333346</v>
      </c>
      <c r="M41" s="76">
        <v>0.55000000000000004</v>
      </c>
      <c r="N41" s="77">
        <f t="shared" si="11"/>
        <v>461.75850000000003</v>
      </c>
      <c r="O41" s="77">
        <f t="shared" si="12"/>
        <v>384.79875000000004</v>
      </c>
    </row>
    <row r="42" spans="1:26" s="20" customFormat="1" ht="50.1" customHeight="1" x14ac:dyDescent="0.25">
      <c r="A42" s="27"/>
      <c r="B42" s="27"/>
      <c r="C42" s="25">
        <v>8014</v>
      </c>
      <c r="D42" s="16" t="s">
        <v>290</v>
      </c>
      <c r="E42" s="17" t="s">
        <v>59</v>
      </c>
      <c r="F42" s="18" t="s">
        <v>13</v>
      </c>
      <c r="G42" s="16">
        <v>1000</v>
      </c>
      <c r="H42" s="16">
        <v>148</v>
      </c>
      <c r="I42" s="16">
        <v>123</v>
      </c>
      <c r="J42" s="16">
        <v>2.4</v>
      </c>
      <c r="K42" s="73">
        <v>1048.95</v>
      </c>
      <c r="L42" s="75">
        <f t="shared" si="10"/>
        <v>874.12500000000011</v>
      </c>
      <c r="M42" s="76">
        <v>0.55000000000000004</v>
      </c>
      <c r="N42" s="77">
        <f t="shared" si="11"/>
        <v>472.02749999999992</v>
      </c>
      <c r="O42" s="77">
        <f t="shared" si="12"/>
        <v>393.35624999999993</v>
      </c>
    </row>
    <row r="43" spans="1:26" s="20" customFormat="1" ht="50.1" customHeight="1" x14ac:dyDescent="0.25">
      <c r="A43" s="27"/>
      <c r="B43" s="27"/>
      <c r="C43" s="25">
        <v>8004</v>
      </c>
      <c r="D43" s="16" t="s">
        <v>290</v>
      </c>
      <c r="E43" s="17" t="s">
        <v>60</v>
      </c>
      <c r="F43" s="18" t="s">
        <v>13</v>
      </c>
      <c r="G43" s="16">
        <v>1000</v>
      </c>
      <c r="H43" s="16">
        <v>148</v>
      </c>
      <c r="I43" s="16">
        <v>138</v>
      </c>
      <c r="J43" s="16">
        <v>2.4500000000000002</v>
      </c>
      <c r="K43" s="73">
        <v>1141.3</v>
      </c>
      <c r="L43" s="75">
        <f t="shared" si="10"/>
        <v>951.08333333333337</v>
      </c>
      <c r="M43" s="76">
        <v>0.55000000000000004</v>
      </c>
      <c r="N43" s="77">
        <f t="shared" si="11"/>
        <v>513.58499999999992</v>
      </c>
      <c r="O43" s="77">
        <f t="shared" si="12"/>
        <v>427.98749999999995</v>
      </c>
    </row>
    <row r="44" spans="1:26" s="20" customFormat="1" ht="50.1" customHeight="1" x14ac:dyDescent="0.25">
      <c r="A44" s="27"/>
      <c r="B44" s="27"/>
      <c r="C44" s="25">
        <v>8024</v>
      </c>
      <c r="D44" s="16" t="s">
        <v>290</v>
      </c>
      <c r="E44" s="17" t="s">
        <v>61</v>
      </c>
      <c r="F44" s="18" t="s">
        <v>13</v>
      </c>
      <c r="G44" s="19">
        <v>1000</v>
      </c>
      <c r="H44" s="16">
        <v>148</v>
      </c>
      <c r="I44" s="16">
        <v>187</v>
      </c>
      <c r="J44" s="16">
        <v>2.8</v>
      </c>
      <c r="K44" s="79">
        <v>1166.3</v>
      </c>
      <c r="L44" s="75">
        <f t="shared" si="10"/>
        <v>971.91666666666663</v>
      </c>
      <c r="M44" s="76">
        <v>0.55000000000000004</v>
      </c>
      <c r="N44" s="77">
        <f t="shared" si="11"/>
        <v>524.83499999999992</v>
      </c>
      <c r="O44" s="77">
        <f t="shared" si="12"/>
        <v>437.36249999999995</v>
      </c>
    </row>
    <row r="45" spans="1:26" s="12" customFormat="1" ht="15.75" customHeight="1" x14ac:dyDescent="0.25">
      <c r="A45" s="80" t="s">
        <v>293</v>
      </c>
      <c r="B45" s="81"/>
      <c r="C45" s="82"/>
      <c r="D45" s="81"/>
      <c r="E45" s="83"/>
      <c r="F45" s="81"/>
      <c r="G45" s="81"/>
      <c r="H45" s="81"/>
      <c r="I45" s="81"/>
      <c r="J45" s="81"/>
      <c r="K45" s="84"/>
      <c r="L45" s="85"/>
      <c r="M45" s="92"/>
      <c r="N45" s="93"/>
      <c r="O45" s="93"/>
    </row>
    <row r="46" spans="1:26" s="20" customFormat="1" ht="50.1" customHeight="1" x14ac:dyDescent="0.25">
      <c r="A46" s="27"/>
      <c r="B46" s="27"/>
      <c r="C46" s="25">
        <v>8084</v>
      </c>
      <c r="D46" s="16" t="s">
        <v>290</v>
      </c>
      <c r="E46" s="17" t="s">
        <v>62</v>
      </c>
      <c r="F46" s="18" t="s">
        <v>13</v>
      </c>
      <c r="G46" s="19">
        <v>500</v>
      </c>
      <c r="H46" s="16">
        <v>160</v>
      </c>
      <c r="I46" s="16">
        <v>423</v>
      </c>
      <c r="J46" s="16">
        <v>3</v>
      </c>
      <c r="K46" s="94">
        <v>2088</v>
      </c>
      <c r="L46" s="75">
        <f>K46/1.2</f>
        <v>1740</v>
      </c>
      <c r="M46" s="76">
        <v>0.55000000000000004</v>
      </c>
      <c r="N46" s="77">
        <f>K46-(K46*M46)</f>
        <v>939.59999999999991</v>
      </c>
      <c r="O46" s="77">
        <f>N46/1.2</f>
        <v>783</v>
      </c>
    </row>
    <row r="47" spans="1:26" s="12" customFormat="1" ht="15.75" customHeight="1" x14ac:dyDescent="0.25">
      <c r="A47" s="80" t="s">
        <v>294</v>
      </c>
      <c r="B47" s="81"/>
      <c r="C47" s="82"/>
      <c r="D47" s="81"/>
      <c r="E47" s="83"/>
      <c r="F47" s="81"/>
      <c r="G47" s="81"/>
      <c r="H47" s="81"/>
      <c r="I47" s="81"/>
      <c r="J47" s="81"/>
      <c r="K47" s="84"/>
      <c r="L47" s="85"/>
      <c r="M47" s="92"/>
      <c r="N47" s="93"/>
      <c r="O47" s="93"/>
    </row>
    <row r="48" spans="1:26" s="12" customFormat="1" ht="50.1" customHeight="1" x14ac:dyDescent="0.25">
      <c r="A48" s="14"/>
      <c r="B48" s="14"/>
      <c r="C48" s="25">
        <v>18101</v>
      </c>
      <c r="D48" s="16" t="s">
        <v>48</v>
      </c>
      <c r="E48" s="17" t="s">
        <v>295</v>
      </c>
      <c r="F48" s="18" t="s">
        <v>13</v>
      </c>
      <c r="G48" s="19">
        <v>152</v>
      </c>
      <c r="H48" s="16">
        <v>4</v>
      </c>
      <c r="I48" s="16">
        <v>185</v>
      </c>
      <c r="J48" s="16">
        <v>0.15</v>
      </c>
      <c r="K48" s="75">
        <v>156</v>
      </c>
      <c r="L48" s="75">
        <f t="shared" ref="L48:L51" si="13">K48/1.2</f>
        <v>130</v>
      </c>
      <c r="M48" s="76">
        <v>0.55000000000000004</v>
      </c>
      <c r="N48" s="77">
        <f>K48-(K48*M48)</f>
        <v>70.199999999999989</v>
      </c>
      <c r="O48" s="77">
        <f t="shared" ref="O48:O51" si="14">N48/1.2</f>
        <v>58.499999999999993</v>
      </c>
    </row>
    <row r="49" spans="1:26" s="13" customFormat="1" ht="50.1" customHeight="1" x14ac:dyDescent="0.25">
      <c r="A49" s="14"/>
      <c r="B49" s="14"/>
      <c r="C49" s="25">
        <v>108</v>
      </c>
      <c r="D49" s="16" t="s">
        <v>48</v>
      </c>
      <c r="E49" s="17" t="s">
        <v>296</v>
      </c>
      <c r="F49" s="18" t="s">
        <v>13</v>
      </c>
      <c r="G49" s="16">
        <v>119</v>
      </c>
      <c r="H49" s="16">
        <v>28</v>
      </c>
      <c r="I49" s="16">
        <v>14</v>
      </c>
      <c r="J49" s="16">
        <v>0.05</v>
      </c>
      <c r="K49" s="73">
        <v>95</v>
      </c>
      <c r="L49" s="75">
        <f t="shared" si="13"/>
        <v>79.166666666666671</v>
      </c>
      <c r="M49" s="76">
        <v>0.5</v>
      </c>
      <c r="N49" s="77">
        <f>K49-(K49*M49)</f>
        <v>47.5</v>
      </c>
      <c r="O49" s="77">
        <f t="shared" si="14"/>
        <v>39.583333333333336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s="13" customFormat="1" ht="50.1" customHeight="1" x14ac:dyDescent="0.25">
      <c r="A50" s="14"/>
      <c r="B50" s="14"/>
      <c r="C50" s="25" t="s">
        <v>297</v>
      </c>
      <c r="D50" s="16"/>
      <c r="E50" s="17" t="s">
        <v>298</v>
      </c>
      <c r="F50" s="18" t="s">
        <v>13</v>
      </c>
      <c r="G50" s="16">
        <v>119</v>
      </c>
      <c r="H50" s="16">
        <v>28</v>
      </c>
      <c r="I50" s="16">
        <v>14</v>
      </c>
      <c r="J50" s="16">
        <v>0.1</v>
      </c>
      <c r="K50" s="73">
        <v>121</v>
      </c>
      <c r="L50" s="75">
        <f t="shared" si="13"/>
        <v>100.83333333333334</v>
      </c>
      <c r="M50" s="76">
        <v>0.5</v>
      </c>
      <c r="N50" s="77">
        <f>K50-(K50*M50)</f>
        <v>60.5</v>
      </c>
      <c r="O50" s="77">
        <f t="shared" si="14"/>
        <v>50.416666666666671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s="12" customFormat="1" ht="50.1" customHeight="1" x14ac:dyDescent="0.25">
      <c r="A51" s="14"/>
      <c r="B51" s="14"/>
      <c r="C51" s="25" t="s">
        <v>299</v>
      </c>
      <c r="D51" s="16" t="s">
        <v>48</v>
      </c>
      <c r="E51" s="17" t="s">
        <v>300</v>
      </c>
      <c r="F51" s="18" t="s">
        <v>13</v>
      </c>
      <c r="G51" s="16">
        <v>119</v>
      </c>
      <c r="H51" s="16">
        <v>28</v>
      </c>
      <c r="I51" s="16">
        <v>14</v>
      </c>
      <c r="J51" s="16">
        <v>0.05</v>
      </c>
      <c r="K51" s="79">
        <v>95</v>
      </c>
      <c r="L51" s="75">
        <f t="shared" si="13"/>
        <v>79.166666666666671</v>
      </c>
      <c r="M51" s="76">
        <v>0.5</v>
      </c>
      <c r="N51" s="77">
        <f>K51-(K51*M51)</f>
        <v>47.5</v>
      </c>
      <c r="O51" s="77">
        <f t="shared" si="14"/>
        <v>39.583333333333336</v>
      </c>
    </row>
    <row r="52" spans="1:26" s="12" customFormat="1" ht="15.75" customHeight="1" x14ac:dyDescent="0.25">
      <c r="A52" s="80" t="s">
        <v>301</v>
      </c>
      <c r="B52" s="81"/>
      <c r="C52" s="82"/>
      <c r="D52" s="81"/>
      <c r="E52" s="83"/>
      <c r="F52" s="81"/>
      <c r="G52" s="81"/>
      <c r="H52" s="81"/>
      <c r="I52" s="81"/>
      <c r="J52" s="81"/>
      <c r="K52" s="84"/>
      <c r="L52" s="85"/>
      <c r="M52" s="92"/>
      <c r="N52" s="93"/>
      <c r="O52" s="93"/>
    </row>
    <row r="53" spans="1:26" s="12" customFormat="1" ht="50.1" customHeight="1" x14ac:dyDescent="0.25">
      <c r="A53" s="14"/>
      <c r="B53" s="14"/>
      <c r="C53" s="29">
        <v>13800</v>
      </c>
      <c r="D53" s="16" t="s">
        <v>290</v>
      </c>
      <c r="E53" s="17" t="s">
        <v>63</v>
      </c>
      <c r="F53" s="30" t="s">
        <v>13</v>
      </c>
      <c r="G53" s="31">
        <v>500</v>
      </c>
      <c r="H53" s="31">
        <v>140</v>
      </c>
      <c r="I53" s="31">
        <v>60</v>
      </c>
      <c r="J53" s="31">
        <v>7</v>
      </c>
      <c r="K53" s="36">
        <v>299</v>
      </c>
      <c r="L53" s="75">
        <f t="shared" ref="L53:L55" si="15">K53/1.2</f>
        <v>249.16666666666669</v>
      </c>
      <c r="M53" s="76">
        <v>0.5</v>
      </c>
      <c r="N53" s="77">
        <f>K53-(K53*M53)</f>
        <v>149.5</v>
      </c>
      <c r="O53" s="77">
        <f t="shared" ref="O53:O55" si="16">N53/1.2</f>
        <v>124.58333333333334</v>
      </c>
    </row>
    <row r="54" spans="1:26" s="12" customFormat="1" ht="50.1" customHeight="1" x14ac:dyDescent="0.25">
      <c r="A54" s="14"/>
      <c r="B54" s="14"/>
      <c r="C54" s="29">
        <v>11000</v>
      </c>
      <c r="D54" s="16" t="s">
        <v>290</v>
      </c>
      <c r="E54" s="17" t="s">
        <v>64</v>
      </c>
      <c r="F54" s="30" t="s">
        <v>13</v>
      </c>
      <c r="G54" s="31">
        <v>1000</v>
      </c>
      <c r="H54" s="31">
        <v>160</v>
      </c>
      <c r="I54" s="31">
        <v>80</v>
      </c>
      <c r="J54" s="31">
        <v>19</v>
      </c>
      <c r="K54" s="69">
        <v>647</v>
      </c>
      <c r="L54" s="75">
        <f t="shared" si="15"/>
        <v>539.16666666666674</v>
      </c>
      <c r="M54" s="76">
        <v>0.5</v>
      </c>
      <c r="N54" s="77">
        <f>K54-(K54*M54)</f>
        <v>323.5</v>
      </c>
      <c r="O54" s="77">
        <f t="shared" si="16"/>
        <v>269.58333333333337</v>
      </c>
    </row>
    <row r="55" spans="1:26" s="13" customFormat="1" ht="50.1" customHeight="1" x14ac:dyDescent="0.25">
      <c r="A55" s="14"/>
      <c r="B55" s="14"/>
      <c r="C55" s="29">
        <v>11001</v>
      </c>
      <c r="D55" s="16" t="s">
        <v>290</v>
      </c>
      <c r="E55" s="17" t="s">
        <v>65</v>
      </c>
      <c r="F55" s="30" t="s">
        <v>13</v>
      </c>
      <c r="G55" s="31">
        <v>1000</v>
      </c>
      <c r="H55" s="31">
        <v>160</v>
      </c>
      <c r="I55" s="31">
        <v>100</v>
      </c>
      <c r="J55" s="31">
        <v>22</v>
      </c>
      <c r="K55" s="95">
        <v>673</v>
      </c>
      <c r="L55" s="75">
        <f t="shared" si="15"/>
        <v>560.83333333333337</v>
      </c>
      <c r="M55" s="76">
        <v>0.5</v>
      </c>
      <c r="N55" s="77">
        <f>K55-(K55*M55)</f>
        <v>336.5</v>
      </c>
      <c r="O55" s="77">
        <f t="shared" si="16"/>
        <v>280.41666666666669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s="12" customFormat="1" ht="15.75" customHeight="1" x14ac:dyDescent="0.25">
      <c r="A56" s="80" t="s">
        <v>302</v>
      </c>
      <c r="B56" s="81"/>
      <c r="C56" s="82"/>
      <c r="D56" s="81"/>
      <c r="E56" s="83"/>
      <c r="F56" s="81"/>
      <c r="G56" s="81"/>
      <c r="H56" s="81"/>
      <c r="I56" s="81"/>
      <c r="J56" s="81"/>
      <c r="K56" s="84"/>
      <c r="L56" s="85"/>
      <c r="M56" s="92"/>
      <c r="N56" s="93"/>
      <c r="O56" s="93"/>
    </row>
    <row r="57" spans="1:26" s="12" customFormat="1" ht="50.1" customHeight="1" x14ac:dyDescent="0.25">
      <c r="A57" s="14"/>
      <c r="B57" s="14"/>
      <c r="C57" s="29">
        <v>11002</v>
      </c>
      <c r="D57" s="16" t="s">
        <v>290</v>
      </c>
      <c r="E57" s="17" t="s">
        <v>66</v>
      </c>
      <c r="F57" s="30" t="s">
        <v>13</v>
      </c>
      <c r="G57" s="32">
        <v>1000</v>
      </c>
      <c r="H57" s="32">
        <v>160</v>
      </c>
      <c r="I57" s="32">
        <v>80</v>
      </c>
      <c r="J57" s="32">
        <v>17.5</v>
      </c>
      <c r="K57" s="36">
        <v>1010</v>
      </c>
      <c r="L57" s="75">
        <f t="shared" ref="L57:L58" si="17">K57/1.2</f>
        <v>841.66666666666674</v>
      </c>
      <c r="M57" s="76">
        <v>0.5</v>
      </c>
      <c r="N57" s="77">
        <f>K57-(K57*M57)</f>
        <v>505</v>
      </c>
      <c r="O57" s="77">
        <f t="shared" ref="O57:O58" si="18">N57/1.2</f>
        <v>420.83333333333337</v>
      </c>
    </row>
    <row r="58" spans="1:26" s="12" customFormat="1" ht="50.1" customHeight="1" x14ac:dyDescent="0.25">
      <c r="A58" s="14"/>
      <c r="B58" s="14"/>
      <c r="C58" s="29">
        <v>11003</v>
      </c>
      <c r="D58" s="16" t="s">
        <v>290</v>
      </c>
      <c r="E58" s="17" t="s">
        <v>67</v>
      </c>
      <c r="F58" s="30" t="s">
        <v>13</v>
      </c>
      <c r="G58" s="32">
        <v>1000</v>
      </c>
      <c r="H58" s="32">
        <v>160</v>
      </c>
      <c r="I58" s="32">
        <v>100</v>
      </c>
      <c r="J58" s="32">
        <v>20.5</v>
      </c>
      <c r="K58" s="95">
        <v>1010</v>
      </c>
      <c r="L58" s="75">
        <f t="shared" si="17"/>
        <v>841.66666666666674</v>
      </c>
      <c r="M58" s="76">
        <v>0.5</v>
      </c>
      <c r="N58" s="77">
        <f>K58-(K58*M58)</f>
        <v>505</v>
      </c>
      <c r="O58" s="77">
        <f t="shared" si="18"/>
        <v>420.83333333333337</v>
      </c>
    </row>
    <row r="59" spans="1:26" s="12" customFormat="1" ht="15.75" customHeight="1" x14ac:dyDescent="0.25">
      <c r="A59" s="80" t="s">
        <v>303</v>
      </c>
      <c r="B59" s="81"/>
      <c r="C59" s="82"/>
      <c r="D59" s="81"/>
      <c r="E59" s="83"/>
      <c r="F59" s="81"/>
      <c r="G59" s="81"/>
      <c r="H59" s="81"/>
      <c r="I59" s="81"/>
      <c r="J59" s="81"/>
      <c r="K59" s="84"/>
      <c r="L59" s="85"/>
      <c r="M59" s="92"/>
      <c r="N59" s="93"/>
      <c r="O59" s="93"/>
    </row>
    <row r="60" spans="1:26" s="13" customFormat="1" ht="50.1" customHeight="1" x14ac:dyDescent="0.25">
      <c r="A60" s="14"/>
      <c r="B60" s="14"/>
      <c r="C60" s="29">
        <v>13801</v>
      </c>
      <c r="D60" s="16" t="s">
        <v>290</v>
      </c>
      <c r="E60" s="17" t="s">
        <v>68</v>
      </c>
      <c r="F60" s="30" t="s">
        <v>13</v>
      </c>
      <c r="G60" s="31">
        <v>1000</v>
      </c>
      <c r="H60" s="31">
        <v>140</v>
      </c>
      <c r="I60" s="31">
        <v>125</v>
      </c>
      <c r="J60" s="31">
        <v>24</v>
      </c>
      <c r="K60" s="36">
        <v>598</v>
      </c>
      <c r="L60" s="75">
        <f t="shared" ref="L60:L65" si="19">K60/1.2</f>
        <v>498.33333333333337</v>
      </c>
      <c r="M60" s="76">
        <v>0.5</v>
      </c>
      <c r="N60" s="77">
        <f t="shared" ref="N60:N65" si="20">K60-(K60*M60)</f>
        <v>299</v>
      </c>
      <c r="O60" s="77">
        <f t="shared" ref="O60:O65" si="21">N60/1.2</f>
        <v>249.16666666666669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s="12" customFormat="1" ht="50.1" customHeight="1" x14ac:dyDescent="0.25">
      <c r="A61" s="14"/>
      <c r="B61" s="14"/>
      <c r="C61" s="29" t="s">
        <v>69</v>
      </c>
      <c r="D61" s="16" t="s">
        <v>290</v>
      </c>
      <c r="E61" s="17" t="s">
        <v>70</v>
      </c>
      <c r="F61" s="30" t="s">
        <v>13</v>
      </c>
      <c r="G61" s="31">
        <v>1000</v>
      </c>
      <c r="H61" s="31">
        <v>163</v>
      </c>
      <c r="I61" s="31">
        <v>132</v>
      </c>
      <c r="J61" s="31">
        <v>30</v>
      </c>
      <c r="K61" s="69">
        <v>705</v>
      </c>
      <c r="L61" s="75">
        <f t="shared" si="19"/>
        <v>587.5</v>
      </c>
      <c r="M61" s="76">
        <v>0.5</v>
      </c>
      <c r="N61" s="77">
        <f t="shared" si="20"/>
        <v>352.5</v>
      </c>
      <c r="O61" s="77">
        <f t="shared" si="21"/>
        <v>293.75</v>
      </c>
    </row>
    <row r="62" spans="1:26" s="12" customFormat="1" ht="50.1" customHeight="1" x14ac:dyDescent="0.25">
      <c r="A62" s="14"/>
      <c r="B62" s="14"/>
      <c r="C62" s="29" t="s">
        <v>71</v>
      </c>
      <c r="D62" s="16" t="s">
        <v>290</v>
      </c>
      <c r="E62" s="17" t="s">
        <v>72</v>
      </c>
      <c r="F62" s="30" t="s">
        <v>13</v>
      </c>
      <c r="G62" s="31">
        <v>1000</v>
      </c>
      <c r="H62" s="31">
        <v>163</v>
      </c>
      <c r="I62" s="31">
        <v>157</v>
      </c>
      <c r="J62" s="31">
        <v>33</v>
      </c>
      <c r="K62" s="69">
        <v>727</v>
      </c>
      <c r="L62" s="75">
        <f t="shared" si="19"/>
        <v>605.83333333333337</v>
      </c>
      <c r="M62" s="76">
        <v>0.5</v>
      </c>
      <c r="N62" s="77">
        <f t="shared" si="20"/>
        <v>363.5</v>
      </c>
      <c r="O62" s="77">
        <f t="shared" si="21"/>
        <v>302.91666666666669</v>
      </c>
    </row>
    <row r="63" spans="1:26" s="12" customFormat="1" ht="50.1" customHeight="1" x14ac:dyDescent="0.25">
      <c r="A63" s="14"/>
      <c r="B63" s="14"/>
      <c r="C63" s="29" t="s">
        <v>73</v>
      </c>
      <c r="D63" s="16" t="s">
        <v>290</v>
      </c>
      <c r="E63" s="17" t="s">
        <v>74</v>
      </c>
      <c r="F63" s="30" t="s">
        <v>13</v>
      </c>
      <c r="G63" s="31">
        <v>1000</v>
      </c>
      <c r="H63" s="31">
        <v>163</v>
      </c>
      <c r="I63" s="31">
        <v>182</v>
      </c>
      <c r="J63" s="31">
        <v>36</v>
      </c>
      <c r="K63" s="69">
        <v>753</v>
      </c>
      <c r="L63" s="75">
        <f t="shared" si="19"/>
        <v>627.5</v>
      </c>
      <c r="M63" s="76">
        <v>0.5</v>
      </c>
      <c r="N63" s="77">
        <f t="shared" si="20"/>
        <v>376.5</v>
      </c>
      <c r="O63" s="77">
        <f t="shared" si="21"/>
        <v>313.75</v>
      </c>
    </row>
    <row r="64" spans="1:26" s="12" customFormat="1" ht="50.1" customHeight="1" x14ac:dyDescent="0.25">
      <c r="A64" s="96"/>
      <c r="B64" s="96"/>
      <c r="C64" s="29" t="s">
        <v>75</v>
      </c>
      <c r="D64" s="25" t="s">
        <v>290</v>
      </c>
      <c r="E64" s="33" t="s">
        <v>76</v>
      </c>
      <c r="F64" s="34" t="s">
        <v>13</v>
      </c>
      <c r="G64" s="29">
        <v>1000</v>
      </c>
      <c r="H64" s="35">
        <v>163</v>
      </c>
      <c r="I64" s="35">
        <v>207</v>
      </c>
      <c r="J64" s="29">
        <v>39</v>
      </c>
      <c r="K64" s="69">
        <v>788.4</v>
      </c>
      <c r="L64" s="75">
        <f t="shared" si="19"/>
        <v>657</v>
      </c>
      <c r="M64" s="76">
        <v>0.5</v>
      </c>
      <c r="N64" s="77">
        <f t="shared" si="20"/>
        <v>394.2</v>
      </c>
      <c r="O64" s="77">
        <f t="shared" si="21"/>
        <v>328.5</v>
      </c>
    </row>
    <row r="65" spans="1:26" s="12" customFormat="1" ht="50.1" customHeight="1" x14ac:dyDescent="0.25">
      <c r="A65" s="96"/>
      <c r="B65" s="96"/>
      <c r="C65" s="29" t="s">
        <v>77</v>
      </c>
      <c r="D65" s="25" t="s">
        <v>290</v>
      </c>
      <c r="E65" s="33" t="s">
        <v>78</v>
      </c>
      <c r="F65" s="34" t="s">
        <v>13</v>
      </c>
      <c r="G65" s="29">
        <v>1000</v>
      </c>
      <c r="H65" s="29">
        <v>163</v>
      </c>
      <c r="I65" s="35">
        <v>215</v>
      </c>
      <c r="J65" s="29">
        <v>42</v>
      </c>
      <c r="K65" s="95">
        <v>884.4</v>
      </c>
      <c r="L65" s="75">
        <f t="shared" si="19"/>
        <v>737</v>
      </c>
      <c r="M65" s="76">
        <v>0.5</v>
      </c>
      <c r="N65" s="77">
        <f t="shared" si="20"/>
        <v>442.2</v>
      </c>
      <c r="O65" s="77">
        <f t="shared" si="21"/>
        <v>368.5</v>
      </c>
    </row>
    <row r="66" spans="1:26" s="12" customFormat="1" ht="15.75" customHeight="1" x14ac:dyDescent="0.25">
      <c r="A66" s="97" t="s">
        <v>304</v>
      </c>
      <c r="B66" s="82"/>
      <c r="C66" s="82"/>
      <c r="D66" s="82"/>
      <c r="E66" s="98"/>
      <c r="F66" s="82"/>
      <c r="G66" s="82"/>
      <c r="H66" s="82"/>
      <c r="I66" s="82"/>
      <c r="J66" s="82"/>
      <c r="K66" s="84"/>
      <c r="L66" s="85"/>
      <c r="M66" s="92"/>
      <c r="N66" s="93"/>
      <c r="O66" s="93"/>
    </row>
    <row r="67" spans="1:26" s="12" customFormat="1" ht="50.1" customHeight="1" x14ac:dyDescent="0.25">
      <c r="A67" s="14"/>
      <c r="B67" s="14"/>
      <c r="C67" s="29">
        <v>13803</v>
      </c>
      <c r="D67" s="16" t="s">
        <v>290</v>
      </c>
      <c r="E67" s="17" t="s">
        <v>79</v>
      </c>
      <c r="F67" s="30" t="s">
        <v>13</v>
      </c>
      <c r="G67" s="31">
        <v>1000</v>
      </c>
      <c r="H67" s="31">
        <v>140</v>
      </c>
      <c r="I67" s="31">
        <v>125</v>
      </c>
      <c r="J67" s="31">
        <v>22.7</v>
      </c>
      <c r="K67" s="36">
        <v>951</v>
      </c>
      <c r="L67" s="75">
        <f t="shared" ref="L67:L72" si="22">K67/1.2</f>
        <v>792.5</v>
      </c>
      <c r="M67" s="76">
        <v>0.5</v>
      </c>
      <c r="N67" s="77">
        <f t="shared" ref="N67:N72" si="23">K67-(K67*M67)</f>
        <v>475.5</v>
      </c>
      <c r="O67" s="77">
        <f t="shared" ref="O67:O72" si="24">N67/1.2</f>
        <v>396.25</v>
      </c>
    </row>
    <row r="68" spans="1:26" s="12" customFormat="1" ht="50.1" customHeight="1" x14ac:dyDescent="0.25">
      <c r="A68" s="14"/>
      <c r="B68" s="14"/>
      <c r="C68" s="29" t="s">
        <v>80</v>
      </c>
      <c r="D68" s="16" t="s">
        <v>290</v>
      </c>
      <c r="E68" s="17" t="s">
        <v>81</v>
      </c>
      <c r="F68" s="30" t="s">
        <v>13</v>
      </c>
      <c r="G68" s="31">
        <v>1000</v>
      </c>
      <c r="H68" s="31">
        <v>163</v>
      </c>
      <c r="I68" s="31">
        <v>132</v>
      </c>
      <c r="J68" s="31">
        <v>28.7</v>
      </c>
      <c r="K68" s="69">
        <v>1058</v>
      </c>
      <c r="L68" s="75">
        <f t="shared" si="22"/>
        <v>881.66666666666674</v>
      </c>
      <c r="M68" s="76">
        <v>0.5</v>
      </c>
      <c r="N68" s="77">
        <f t="shared" si="23"/>
        <v>529</v>
      </c>
      <c r="O68" s="77">
        <f t="shared" si="24"/>
        <v>440.83333333333337</v>
      </c>
    </row>
    <row r="69" spans="1:26" s="12" customFormat="1" ht="50.1" customHeight="1" x14ac:dyDescent="0.25">
      <c r="A69" s="14"/>
      <c r="B69" s="14"/>
      <c r="C69" s="29" t="s">
        <v>82</v>
      </c>
      <c r="D69" s="16" t="s">
        <v>290</v>
      </c>
      <c r="E69" s="17" t="s">
        <v>83</v>
      </c>
      <c r="F69" s="30" t="s">
        <v>13</v>
      </c>
      <c r="G69" s="31">
        <v>1000</v>
      </c>
      <c r="H69" s="31">
        <v>163</v>
      </c>
      <c r="I69" s="31">
        <v>157</v>
      </c>
      <c r="J69" s="31">
        <v>31.7</v>
      </c>
      <c r="K69" s="69">
        <v>1084</v>
      </c>
      <c r="L69" s="75">
        <f t="shared" si="22"/>
        <v>903.33333333333337</v>
      </c>
      <c r="M69" s="76">
        <v>0.5</v>
      </c>
      <c r="N69" s="77">
        <f t="shared" si="23"/>
        <v>542</v>
      </c>
      <c r="O69" s="77">
        <f t="shared" si="24"/>
        <v>451.66666666666669</v>
      </c>
    </row>
    <row r="70" spans="1:26" s="12" customFormat="1" ht="50.1" customHeight="1" x14ac:dyDescent="0.25">
      <c r="A70" s="14"/>
      <c r="B70" s="14"/>
      <c r="C70" s="29" t="s">
        <v>84</v>
      </c>
      <c r="D70" s="16" t="s">
        <v>290</v>
      </c>
      <c r="E70" s="17" t="s">
        <v>85</v>
      </c>
      <c r="F70" s="30" t="s">
        <v>13</v>
      </c>
      <c r="G70" s="31">
        <v>1000</v>
      </c>
      <c r="H70" s="31">
        <v>163</v>
      </c>
      <c r="I70" s="31">
        <v>182</v>
      </c>
      <c r="J70" s="31">
        <v>34.799999999999997</v>
      </c>
      <c r="K70" s="69">
        <v>1110</v>
      </c>
      <c r="L70" s="75">
        <f t="shared" si="22"/>
        <v>925</v>
      </c>
      <c r="M70" s="76">
        <v>0.5</v>
      </c>
      <c r="N70" s="77">
        <f t="shared" si="23"/>
        <v>555</v>
      </c>
      <c r="O70" s="77">
        <f t="shared" si="24"/>
        <v>462.5</v>
      </c>
    </row>
    <row r="71" spans="1:26" s="12" customFormat="1" ht="50.1" customHeight="1" x14ac:dyDescent="0.25">
      <c r="A71" s="96"/>
      <c r="B71" s="96"/>
      <c r="C71" s="29" t="s">
        <v>86</v>
      </c>
      <c r="D71" s="25" t="s">
        <v>290</v>
      </c>
      <c r="E71" s="33" t="s">
        <v>87</v>
      </c>
      <c r="F71" s="34" t="s">
        <v>13</v>
      </c>
      <c r="G71" s="29">
        <v>1000</v>
      </c>
      <c r="H71" s="29">
        <v>163</v>
      </c>
      <c r="I71" s="35">
        <v>207</v>
      </c>
      <c r="J71" s="29">
        <v>37.9</v>
      </c>
      <c r="K71" s="69">
        <v>1183.2</v>
      </c>
      <c r="L71" s="75">
        <f t="shared" si="22"/>
        <v>986.00000000000011</v>
      </c>
      <c r="M71" s="76">
        <v>0.5</v>
      </c>
      <c r="N71" s="77">
        <f t="shared" si="23"/>
        <v>591.6</v>
      </c>
      <c r="O71" s="77">
        <f t="shared" si="24"/>
        <v>493.00000000000006</v>
      </c>
    </row>
    <row r="72" spans="1:26" s="12" customFormat="1" ht="50.1" customHeight="1" x14ac:dyDescent="0.25">
      <c r="A72" s="96"/>
      <c r="B72" s="96"/>
      <c r="C72" s="29" t="s">
        <v>88</v>
      </c>
      <c r="D72" s="25" t="s">
        <v>290</v>
      </c>
      <c r="E72" s="33" t="s">
        <v>89</v>
      </c>
      <c r="F72" s="34" t="s">
        <v>13</v>
      </c>
      <c r="G72" s="29">
        <v>1000</v>
      </c>
      <c r="H72" s="29">
        <v>163</v>
      </c>
      <c r="I72" s="35">
        <v>215</v>
      </c>
      <c r="J72" s="29">
        <v>41</v>
      </c>
      <c r="K72" s="95">
        <v>1218</v>
      </c>
      <c r="L72" s="75">
        <f t="shared" si="22"/>
        <v>1015</v>
      </c>
      <c r="M72" s="76">
        <v>0.5</v>
      </c>
      <c r="N72" s="77">
        <f t="shared" si="23"/>
        <v>609</v>
      </c>
      <c r="O72" s="77">
        <f t="shared" si="24"/>
        <v>507.5</v>
      </c>
    </row>
    <row r="73" spans="1:26" s="12" customFormat="1" ht="15.75" customHeight="1" x14ac:dyDescent="0.25">
      <c r="A73" s="80" t="s">
        <v>305</v>
      </c>
      <c r="B73" s="81"/>
      <c r="C73" s="82"/>
      <c r="D73" s="81"/>
      <c r="E73" s="83"/>
      <c r="F73" s="81"/>
      <c r="G73" s="81"/>
      <c r="H73" s="81"/>
      <c r="I73" s="81"/>
      <c r="J73" s="81"/>
      <c r="K73" s="84"/>
      <c r="L73" s="85"/>
      <c r="M73" s="92"/>
      <c r="N73" s="93"/>
      <c r="O73" s="93"/>
    </row>
    <row r="74" spans="1:26" s="12" customFormat="1" ht="50.1" customHeight="1" x14ac:dyDescent="0.25">
      <c r="A74" s="14"/>
      <c r="B74" s="14"/>
      <c r="C74" s="29" t="s">
        <v>90</v>
      </c>
      <c r="D74" s="16" t="s">
        <v>290</v>
      </c>
      <c r="E74" s="17" t="s">
        <v>91</v>
      </c>
      <c r="F74" s="30" t="s">
        <v>13</v>
      </c>
      <c r="G74" s="31">
        <v>1000</v>
      </c>
      <c r="H74" s="31">
        <v>163</v>
      </c>
      <c r="I74" s="31">
        <v>137</v>
      </c>
      <c r="J74" s="31">
        <v>30.3</v>
      </c>
      <c r="K74" s="36">
        <v>812</v>
      </c>
      <c r="L74" s="75">
        <f t="shared" ref="L74:L88" si="25">K74/1.2</f>
        <v>676.66666666666674</v>
      </c>
      <c r="M74" s="76">
        <v>0.5</v>
      </c>
      <c r="N74" s="77">
        <f t="shared" ref="N74:N88" si="26">K74-(K74*M74)</f>
        <v>406</v>
      </c>
      <c r="O74" s="77">
        <f t="shared" ref="O74:O88" si="27">N74/1.2</f>
        <v>338.33333333333337</v>
      </c>
    </row>
    <row r="75" spans="1:26" s="13" customFormat="1" ht="50.1" customHeight="1" x14ac:dyDescent="0.25">
      <c r="A75" s="14"/>
      <c r="B75" s="14"/>
      <c r="C75" s="29" t="s">
        <v>92</v>
      </c>
      <c r="D75" s="16" t="s">
        <v>290</v>
      </c>
      <c r="E75" s="17" t="s">
        <v>93</v>
      </c>
      <c r="F75" s="30" t="s">
        <v>13</v>
      </c>
      <c r="G75" s="31">
        <v>1000</v>
      </c>
      <c r="H75" s="31">
        <v>163</v>
      </c>
      <c r="I75" s="31">
        <v>142</v>
      </c>
      <c r="J75" s="31">
        <v>30.9</v>
      </c>
      <c r="K75" s="69">
        <v>812</v>
      </c>
      <c r="L75" s="75">
        <f t="shared" si="25"/>
        <v>676.66666666666674</v>
      </c>
      <c r="M75" s="76">
        <v>0.5</v>
      </c>
      <c r="N75" s="77">
        <f t="shared" si="26"/>
        <v>406</v>
      </c>
      <c r="O75" s="77">
        <f t="shared" si="27"/>
        <v>338.33333333333337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s="12" customFormat="1" ht="50.1" customHeight="1" x14ac:dyDescent="0.25">
      <c r="A76" s="14"/>
      <c r="B76" s="14"/>
      <c r="C76" s="29" t="s">
        <v>94</v>
      </c>
      <c r="D76" s="16" t="s">
        <v>290</v>
      </c>
      <c r="E76" s="17" t="s">
        <v>95</v>
      </c>
      <c r="F76" s="30" t="s">
        <v>13</v>
      </c>
      <c r="G76" s="31">
        <v>1000</v>
      </c>
      <c r="H76" s="31">
        <v>163</v>
      </c>
      <c r="I76" s="31">
        <v>147</v>
      </c>
      <c r="J76" s="31">
        <v>31.5</v>
      </c>
      <c r="K76" s="69">
        <v>812</v>
      </c>
      <c r="L76" s="75">
        <f t="shared" si="25"/>
        <v>676.66666666666674</v>
      </c>
      <c r="M76" s="76">
        <v>0.5</v>
      </c>
      <c r="N76" s="77">
        <f t="shared" si="26"/>
        <v>406</v>
      </c>
      <c r="O76" s="77">
        <f t="shared" si="27"/>
        <v>338.33333333333337</v>
      </c>
    </row>
    <row r="77" spans="1:26" s="12" customFormat="1" ht="50.1" customHeight="1" x14ac:dyDescent="0.25">
      <c r="A77" s="14"/>
      <c r="B77" s="14"/>
      <c r="C77" s="29" t="s">
        <v>96</v>
      </c>
      <c r="D77" s="16" t="s">
        <v>290</v>
      </c>
      <c r="E77" s="17" t="s">
        <v>97</v>
      </c>
      <c r="F77" s="30" t="s">
        <v>13</v>
      </c>
      <c r="G77" s="31">
        <v>1000</v>
      </c>
      <c r="H77" s="31">
        <v>163</v>
      </c>
      <c r="I77" s="31">
        <v>152</v>
      </c>
      <c r="J77" s="31">
        <v>32.1</v>
      </c>
      <c r="K77" s="69">
        <v>812</v>
      </c>
      <c r="L77" s="75">
        <f t="shared" si="25"/>
        <v>676.66666666666674</v>
      </c>
      <c r="M77" s="76">
        <v>0.5</v>
      </c>
      <c r="N77" s="77">
        <f t="shared" si="26"/>
        <v>406</v>
      </c>
      <c r="O77" s="77">
        <f t="shared" si="27"/>
        <v>338.33333333333337</v>
      </c>
    </row>
    <row r="78" spans="1:26" s="13" customFormat="1" ht="50.1" customHeight="1" x14ac:dyDescent="0.25">
      <c r="A78" s="14"/>
      <c r="B78" s="14"/>
      <c r="C78" s="29" t="s">
        <v>98</v>
      </c>
      <c r="D78" s="16" t="s">
        <v>290</v>
      </c>
      <c r="E78" s="17" t="s">
        <v>99</v>
      </c>
      <c r="F78" s="30" t="s">
        <v>13</v>
      </c>
      <c r="G78" s="31">
        <v>1000</v>
      </c>
      <c r="H78" s="31">
        <v>163</v>
      </c>
      <c r="I78" s="31">
        <v>157</v>
      </c>
      <c r="J78" s="31">
        <v>32.700000000000003</v>
      </c>
      <c r="K78" s="69">
        <v>812</v>
      </c>
      <c r="L78" s="75">
        <f t="shared" si="25"/>
        <v>676.66666666666674</v>
      </c>
      <c r="M78" s="76">
        <v>0.5</v>
      </c>
      <c r="N78" s="77">
        <f t="shared" si="26"/>
        <v>406</v>
      </c>
      <c r="O78" s="77">
        <f t="shared" si="27"/>
        <v>338.33333333333337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s="12" customFormat="1" ht="50.1" customHeight="1" x14ac:dyDescent="0.25">
      <c r="A79" s="14"/>
      <c r="B79" s="14"/>
      <c r="C79" s="29" t="s">
        <v>100</v>
      </c>
      <c r="D79" s="16" t="s">
        <v>290</v>
      </c>
      <c r="E79" s="17" t="s">
        <v>101</v>
      </c>
      <c r="F79" s="30" t="s">
        <v>13</v>
      </c>
      <c r="G79" s="31">
        <v>1000</v>
      </c>
      <c r="H79" s="31">
        <v>163</v>
      </c>
      <c r="I79" s="31">
        <v>162</v>
      </c>
      <c r="J79" s="31">
        <v>33.299999999999997</v>
      </c>
      <c r="K79" s="69">
        <v>812</v>
      </c>
      <c r="L79" s="75">
        <f t="shared" si="25"/>
        <v>676.66666666666674</v>
      </c>
      <c r="M79" s="76">
        <v>0.5</v>
      </c>
      <c r="N79" s="77">
        <f t="shared" si="26"/>
        <v>406</v>
      </c>
      <c r="O79" s="77">
        <f t="shared" si="27"/>
        <v>338.33333333333337</v>
      </c>
    </row>
    <row r="80" spans="1:26" s="13" customFormat="1" ht="50.1" customHeight="1" x14ac:dyDescent="0.25">
      <c r="A80" s="14"/>
      <c r="B80" s="14"/>
      <c r="C80" s="29" t="s">
        <v>102</v>
      </c>
      <c r="D80" s="16" t="s">
        <v>290</v>
      </c>
      <c r="E80" s="17" t="s">
        <v>103</v>
      </c>
      <c r="F80" s="30" t="s">
        <v>13</v>
      </c>
      <c r="G80" s="31">
        <v>1000</v>
      </c>
      <c r="H80" s="31">
        <v>163</v>
      </c>
      <c r="I80" s="31">
        <v>167</v>
      </c>
      <c r="J80" s="31">
        <v>33.9</v>
      </c>
      <c r="K80" s="69">
        <v>812</v>
      </c>
      <c r="L80" s="75">
        <f t="shared" si="25"/>
        <v>676.66666666666674</v>
      </c>
      <c r="M80" s="76">
        <v>0.5</v>
      </c>
      <c r="N80" s="77">
        <f t="shared" si="26"/>
        <v>406</v>
      </c>
      <c r="O80" s="77">
        <f t="shared" si="27"/>
        <v>338.33333333333337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s="12" customFormat="1" ht="50.1" customHeight="1" x14ac:dyDescent="0.25">
      <c r="A81" s="14"/>
      <c r="B81" s="14"/>
      <c r="C81" s="29" t="s">
        <v>104</v>
      </c>
      <c r="D81" s="16" t="s">
        <v>290</v>
      </c>
      <c r="E81" s="17" t="s">
        <v>105</v>
      </c>
      <c r="F81" s="30" t="s">
        <v>13</v>
      </c>
      <c r="G81" s="31">
        <v>1000</v>
      </c>
      <c r="H81" s="31">
        <v>163</v>
      </c>
      <c r="I81" s="31">
        <v>172</v>
      </c>
      <c r="J81" s="31">
        <v>34.5</v>
      </c>
      <c r="K81" s="69">
        <v>812</v>
      </c>
      <c r="L81" s="75">
        <f t="shared" si="25"/>
        <v>676.66666666666674</v>
      </c>
      <c r="M81" s="76">
        <v>0.5</v>
      </c>
      <c r="N81" s="77">
        <f t="shared" si="26"/>
        <v>406</v>
      </c>
      <c r="O81" s="77">
        <f t="shared" si="27"/>
        <v>338.33333333333337</v>
      </c>
    </row>
    <row r="82" spans="1:26" s="12" customFormat="1" ht="50.1" customHeight="1" x14ac:dyDescent="0.25">
      <c r="A82" s="14"/>
      <c r="B82" s="14"/>
      <c r="C82" s="29" t="s">
        <v>106</v>
      </c>
      <c r="D82" s="16" t="s">
        <v>290</v>
      </c>
      <c r="E82" s="17" t="s">
        <v>107</v>
      </c>
      <c r="F82" s="30" t="s">
        <v>13</v>
      </c>
      <c r="G82" s="31">
        <v>1000</v>
      </c>
      <c r="H82" s="31">
        <v>163</v>
      </c>
      <c r="I82" s="31">
        <v>177</v>
      </c>
      <c r="J82" s="31">
        <v>35.1</v>
      </c>
      <c r="K82" s="69">
        <v>812</v>
      </c>
      <c r="L82" s="75">
        <f t="shared" si="25"/>
        <v>676.66666666666674</v>
      </c>
      <c r="M82" s="76">
        <v>0.5</v>
      </c>
      <c r="N82" s="77">
        <f t="shared" si="26"/>
        <v>406</v>
      </c>
      <c r="O82" s="77">
        <f t="shared" si="27"/>
        <v>338.33333333333337</v>
      </c>
    </row>
    <row r="83" spans="1:26" s="12" customFormat="1" ht="50.1" customHeight="1" x14ac:dyDescent="0.25">
      <c r="A83" s="14"/>
      <c r="B83" s="14"/>
      <c r="C83" s="29" t="s">
        <v>108</v>
      </c>
      <c r="D83" s="16" t="s">
        <v>290</v>
      </c>
      <c r="E83" s="17" t="s">
        <v>109</v>
      </c>
      <c r="F83" s="30" t="s">
        <v>13</v>
      </c>
      <c r="G83" s="31">
        <v>1000</v>
      </c>
      <c r="H83" s="31">
        <v>163</v>
      </c>
      <c r="I83" s="31">
        <v>182</v>
      </c>
      <c r="J83" s="31">
        <v>35.700000000000003</v>
      </c>
      <c r="K83" s="69">
        <v>812</v>
      </c>
      <c r="L83" s="75">
        <f t="shared" si="25"/>
        <v>676.66666666666674</v>
      </c>
      <c r="M83" s="76">
        <v>0.5</v>
      </c>
      <c r="N83" s="77">
        <f t="shared" si="26"/>
        <v>406</v>
      </c>
      <c r="O83" s="77">
        <f t="shared" si="27"/>
        <v>338.33333333333337</v>
      </c>
    </row>
    <row r="84" spans="1:26" s="12" customFormat="1" ht="50.1" customHeight="1" x14ac:dyDescent="0.25">
      <c r="A84" s="96"/>
      <c r="B84" s="96"/>
      <c r="C84" s="29" t="s">
        <v>110</v>
      </c>
      <c r="D84" s="25" t="s">
        <v>290</v>
      </c>
      <c r="E84" s="33" t="s">
        <v>111</v>
      </c>
      <c r="F84" s="34" t="s">
        <v>13</v>
      </c>
      <c r="G84" s="29">
        <v>1000</v>
      </c>
      <c r="H84" s="29">
        <v>163</v>
      </c>
      <c r="I84" s="35">
        <v>187</v>
      </c>
      <c r="J84" s="29">
        <v>36.299999999999997</v>
      </c>
      <c r="K84" s="69">
        <v>828</v>
      </c>
      <c r="L84" s="75">
        <f t="shared" si="25"/>
        <v>690</v>
      </c>
      <c r="M84" s="76">
        <v>0.5</v>
      </c>
      <c r="N84" s="77">
        <f t="shared" si="26"/>
        <v>414</v>
      </c>
      <c r="O84" s="77">
        <f t="shared" si="27"/>
        <v>345</v>
      </c>
    </row>
    <row r="85" spans="1:26" s="12" customFormat="1" ht="50.1" customHeight="1" x14ac:dyDescent="0.25">
      <c r="A85" s="96"/>
      <c r="B85" s="96"/>
      <c r="C85" s="29" t="s">
        <v>112</v>
      </c>
      <c r="D85" s="25" t="s">
        <v>290</v>
      </c>
      <c r="E85" s="33" t="s">
        <v>113</v>
      </c>
      <c r="F85" s="34" t="s">
        <v>13</v>
      </c>
      <c r="G85" s="29">
        <v>1000</v>
      </c>
      <c r="H85" s="29">
        <v>163</v>
      </c>
      <c r="I85" s="35">
        <v>192</v>
      </c>
      <c r="J85" s="29">
        <v>36.9</v>
      </c>
      <c r="K85" s="69">
        <v>828</v>
      </c>
      <c r="L85" s="75">
        <f t="shared" si="25"/>
        <v>690</v>
      </c>
      <c r="M85" s="76">
        <v>0.5</v>
      </c>
      <c r="N85" s="77">
        <f t="shared" si="26"/>
        <v>414</v>
      </c>
      <c r="O85" s="77">
        <f t="shared" si="27"/>
        <v>345</v>
      </c>
    </row>
    <row r="86" spans="1:26" s="12" customFormat="1" ht="50.1" customHeight="1" x14ac:dyDescent="0.25">
      <c r="A86" s="96"/>
      <c r="B86" s="96"/>
      <c r="C86" s="29" t="s">
        <v>114</v>
      </c>
      <c r="D86" s="25" t="s">
        <v>290</v>
      </c>
      <c r="E86" s="33" t="s">
        <v>115</v>
      </c>
      <c r="F86" s="34" t="s">
        <v>13</v>
      </c>
      <c r="G86" s="29">
        <v>1000</v>
      </c>
      <c r="H86" s="29">
        <v>163</v>
      </c>
      <c r="I86" s="35">
        <v>197</v>
      </c>
      <c r="J86" s="29">
        <v>37.5</v>
      </c>
      <c r="K86" s="69">
        <v>828</v>
      </c>
      <c r="L86" s="75">
        <f t="shared" si="25"/>
        <v>690</v>
      </c>
      <c r="M86" s="76">
        <v>0.5</v>
      </c>
      <c r="N86" s="77">
        <f t="shared" si="26"/>
        <v>414</v>
      </c>
      <c r="O86" s="77">
        <f t="shared" si="27"/>
        <v>345</v>
      </c>
    </row>
    <row r="87" spans="1:26" s="12" customFormat="1" ht="50.1" customHeight="1" x14ac:dyDescent="0.25">
      <c r="A87" s="96"/>
      <c r="B87" s="96"/>
      <c r="C87" s="29" t="s">
        <v>116</v>
      </c>
      <c r="D87" s="25" t="s">
        <v>290</v>
      </c>
      <c r="E87" s="33" t="s">
        <v>117</v>
      </c>
      <c r="F87" s="34" t="s">
        <v>13</v>
      </c>
      <c r="G87" s="29">
        <v>1000</v>
      </c>
      <c r="H87" s="29">
        <v>163</v>
      </c>
      <c r="I87" s="35">
        <v>202</v>
      </c>
      <c r="J87" s="29">
        <v>38.1</v>
      </c>
      <c r="K87" s="69">
        <v>828</v>
      </c>
      <c r="L87" s="75">
        <f t="shared" si="25"/>
        <v>690</v>
      </c>
      <c r="M87" s="76">
        <v>0.5</v>
      </c>
      <c r="N87" s="77">
        <f t="shared" si="26"/>
        <v>414</v>
      </c>
      <c r="O87" s="77">
        <f t="shared" si="27"/>
        <v>345</v>
      </c>
    </row>
    <row r="88" spans="1:26" s="12" customFormat="1" ht="50.1" customHeight="1" x14ac:dyDescent="0.25">
      <c r="A88" s="96"/>
      <c r="B88" s="96"/>
      <c r="C88" s="29" t="s">
        <v>118</v>
      </c>
      <c r="D88" s="25" t="s">
        <v>290</v>
      </c>
      <c r="E88" s="33" t="s">
        <v>119</v>
      </c>
      <c r="F88" s="34" t="s">
        <v>13</v>
      </c>
      <c r="G88" s="29">
        <v>1000</v>
      </c>
      <c r="H88" s="29">
        <v>163</v>
      </c>
      <c r="I88" s="35">
        <v>207</v>
      </c>
      <c r="J88" s="29">
        <v>38.700000000000003</v>
      </c>
      <c r="K88" s="95">
        <v>828</v>
      </c>
      <c r="L88" s="75">
        <f t="shared" si="25"/>
        <v>690</v>
      </c>
      <c r="M88" s="76">
        <v>0.5</v>
      </c>
      <c r="N88" s="77">
        <f t="shared" si="26"/>
        <v>414</v>
      </c>
      <c r="O88" s="77">
        <f t="shared" si="27"/>
        <v>345</v>
      </c>
    </row>
    <row r="89" spans="1:26" s="12" customFormat="1" ht="15.75" customHeight="1" x14ac:dyDescent="0.25">
      <c r="A89" s="80" t="s">
        <v>306</v>
      </c>
      <c r="B89" s="81"/>
      <c r="C89" s="82"/>
      <c r="D89" s="81"/>
      <c r="E89" s="83"/>
      <c r="F89" s="81"/>
      <c r="G89" s="81"/>
      <c r="H89" s="81"/>
      <c r="I89" s="81"/>
      <c r="J89" s="81"/>
      <c r="K89" s="84"/>
      <c r="L89" s="85"/>
      <c r="M89" s="92"/>
      <c r="N89" s="93"/>
      <c r="O89" s="93"/>
    </row>
    <row r="90" spans="1:26" s="12" customFormat="1" ht="50.1" customHeight="1" x14ac:dyDescent="0.25">
      <c r="A90" s="14"/>
      <c r="B90" s="14"/>
      <c r="C90" s="29">
        <v>13804</v>
      </c>
      <c r="D90" s="16" t="s">
        <v>290</v>
      </c>
      <c r="E90" s="17" t="s">
        <v>120</v>
      </c>
      <c r="F90" s="30" t="s">
        <v>13</v>
      </c>
      <c r="G90" s="31">
        <v>500</v>
      </c>
      <c r="H90" s="31">
        <v>140</v>
      </c>
      <c r="I90" s="31">
        <v>385</v>
      </c>
      <c r="J90" s="31">
        <v>26.5</v>
      </c>
      <c r="K90" s="36">
        <v>3348</v>
      </c>
      <c r="L90" s="75">
        <f t="shared" ref="L90:L91" si="28">K90/1.2</f>
        <v>2790</v>
      </c>
      <c r="M90" s="76">
        <v>0.3</v>
      </c>
      <c r="N90" s="77">
        <f>K90-(K90*M90)</f>
        <v>2343.6</v>
      </c>
      <c r="O90" s="77">
        <f t="shared" ref="O90:O91" si="29">N90/1.2</f>
        <v>1953</v>
      </c>
    </row>
    <row r="91" spans="1:26" s="13" customFormat="1" ht="50.1" customHeight="1" x14ac:dyDescent="0.25">
      <c r="A91" s="14"/>
      <c r="B91" s="14"/>
      <c r="C91" s="29" t="s">
        <v>121</v>
      </c>
      <c r="D91" s="16" t="s">
        <v>290</v>
      </c>
      <c r="E91" s="17" t="s">
        <v>122</v>
      </c>
      <c r="F91" s="30" t="s">
        <v>13</v>
      </c>
      <c r="G91" s="31">
        <v>500</v>
      </c>
      <c r="H91" s="31">
        <v>160</v>
      </c>
      <c r="I91" s="31">
        <v>500</v>
      </c>
      <c r="J91" s="31">
        <v>45</v>
      </c>
      <c r="K91" s="95">
        <v>3407</v>
      </c>
      <c r="L91" s="75">
        <f t="shared" si="28"/>
        <v>2839.166666666667</v>
      </c>
      <c r="M91" s="76">
        <v>0.3</v>
      </c>
      <c r="N91" s="77">
        <f>K91-(K91*M91)</f>
        <v>2384.9</v>
      </c>
      <c r="O91" s="77">
        <f t="shared" si="29"/>
        <v>1987.4166666666667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s="12" customFormat="1" ht="15.75" customHeight="1" x14ac:dyDescent="0.25">
      <c r="A92" s="99" t="s">
        <v>307</v>
      </c>
      <c r="B92" s="100"/>
      <c r="C92" s="101"/>
      <c r="D92" s="100"/>
      <c r="E92" s="102"/>
      <c r="F92" s="100"/>
      <c r="G92" s="100"/>
      <c r="H92" s="100"/>
      <c r="I92" s="100"/>
      <c r="J92" s="100"/>
      <c r="K92" s="103"/>
      <c r="L92" s="104"/>
      <c r="M92" s="86"/>
      <c r="N92" s="87"/>
      <c r="O92" s="87"/>
    </row>
    <row r="93" spans="1:26" s="12" customFormat="1" ht="50.1" customHeight="1" x14ac:dyDescent="0.25">
      <c r="A93" s="14"/>
      <c r="B93" s="14"/>
      <c r="C93" s="37" t="s">
        <v>308</v>
      </c>
      <c r="D93" s="105"/>
      <c r="E93" s="17" t="s">
        <v>309</v>
      </c>
      <c r="F93" s="30"/>
      <c r="G93" s="31">
        <v>400</v>
      </c>
      <c r="H93" s="31">
        <v>80</v>
      </c>
      <c r="I93" s="31">
        <v>163.5</v>
      </c>
      <c r="J93" s="31">
        <v>1.4</v>
      </c>
      <c r="K93" s="106">
        <v>2200</v>
      </c>
      <c r="L93" s="75">
        <f>K93/1.2</f>
        <v>1833.3333333333335</v>
      </c>
      <c r="M93" s="76">
        <v>0.4</v>
      </c>
      <c r="N93" s="77">
        <f>K93-(K93*M93)</f>
        <v>1320</v>
      </c>
      <c r="O93" s="77">
        <f>N93/1.2</f>
        <v>1100</v>
      </c>
    </row>
    <row r="94" spans="1:26" s="12" customFormat="1" ht="15.75" customHeight="1" x14ac:dyDescent="0.25">
      <c r="A94" s="80" t="s">
        <v>310</v>
      </c>
      <c r="B94" s="81"/>
      <c r="C94" s="82"/>
      <c r="D94" s="81"/>
      <c r="E94" s="83"/>
      <c r="F94" s="81"/>
      <c r="G94" s="81"/>
      <c r="H94" s="81"/>
      <c r="I94" s="81"/>
      <c r="J94" s="81"/>
      <c r="K94" s="84"/>
      <c r="L94" s="85"/>
      <c r="M94" s="92"/>
      <c r="N94" s="93"/>
      <c r="O94" s="93"/>
    </row>
    <row r="95" spans="1:26" s="13" customFormat="1" ht="50.1" customHeight="1" x14ac:dyDescent="0.25">
      <c r="A95" s="107"/>
      <c r="B95" s="107"/>
      <c r="C95" s="29">
        <v>104</v>
      </c>
      <c r="D95" s="31"/>
      <c r="E95" s="17" t="s">
        <v>311</v>
      </c>
      <c r="F95" s="30" t="s">
        <v>13</v>
      </c>
      <c r="G95" s="31">
        <v>95</v>
      </c>
      <c r="H95" s="31">
        <v>30</v>
      </c>
      <c r="I95" s="31">
        <v>27</v>
      </c>
      <c r="J95" s="31">
        <v>0.15</v>
      </c>
      <c r="K95" s="36">
        <v>107</v>
      </c>
      <c r="L95" s="75">
        <f t="shared" ref="L95:L99" si="30">K95/1.2</f>
        <v>89.166666666666671</v>
      </c>
      <c r="M95" s="76">
        <v>0.5</v>
      </c>
      <c r="N95" s="77">
        <f>K95-(K95*M95)</f>
        <v>53.5</v>
      </c>
      <c r="O95" s="77">
        <f t="shared" ref="O95:O99" si="31">N95/1.2</f>
        <v>44.583333333333336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s="12" customFormat="1" ht="50.1" customHeight="1" x14ac:dyDescent="0.25">
      <c r="A96" s="108"/>
      <c r="B96" s="108"/>
      <c r="C96" s="29">
        <v>22222</v>
      </c>
      <c r="D96" s="31"/>
      <c r="E96" s="17" t="s">
        <v>312</v>
      </c>
      <c r="F96" s="30" t="s">
        <v>13</v>
      </c>
      <c r="G96" s="31">
        <v>1.25</v>
      </c>
      <c r="H96" s="31">
        <v>160</v>
      </c>
      <c r="I96" s="31">
        <v>80</v>
      </c>
      <c r="J96" s="31">
        <v>0.2</v>
      </c>
      <c r="K96" s="69">
        <v>299.98</v>
      </c>
      <c r="L96" s="75">
        <f t="shared" si="30"/>
        <v>249.98333333333335</v>
      </c>
      <c r="M96" s="76">
        <v>0.3</v>
      </c>
      <c r="N96" s="77">
        <f>K96-(K96*M96)</f>
        <v>209.98600000000002</v>
      </c>
      <c r="O96" s="77">
        <f t="shared" si="31"/>
        <v>174.98833333333334</v>
      </c>
    </row>
    <row r="97" spans="1:26" s="13" customFormat="1" ht="50.1" customHeight="1" x14ac:dyDescent="0.25">
      <c r="A97" s="108"/>
      <c r="B97" s="108"/>
      <c r="C97" s="29">
        <v>22220</v>
      </c>
      <c r="D97" s="31"/>
      <c r="E97" s="17" t="s">
        <v>313</v>
      </c>
      <c r="F97" s="30" t="s">
        <v>13</v>
      </c>
      <c r="G97" s="31">
        <v>1.2</v>
      </c>
      <c r="H97" s="31">
        <v>156</v>
      </c>
      <c r="I97" s="31">
        <v>243</v>
      </c>
      <c r="J97" s="31">
        <v>0.4</v>
      </c>
      <c r="K97" s="69">
        <v>481.24</v>
      </c>
      <c r="L97" s="75">
        <f t="shared" si="30"/>
        <v>401.03333333333336</v>
      </c>
      <c r="M97" s="76">
        <v>0.3</v>
      </c>
      <c r="N97" s="77">
        <f>K97-(K97*M97)</f>
        <v>336.86800000000005</v>
      </c>
      <c r="O97" s="77">
        <f t="shared" si="31"/>
        <v>280.72333333333341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s="12" customFormat="1" ht="50.1" customHeight="1" x14ac:dyDescent="0.25">
      <c r="A98" s="108"/>
      <c r="B98" s="108"/>
      <c r="C98" s="29">
        <v>22221</v>
      </c>
      <c r="D98" s="31"/>
      <c r="E98" s="17" t="s">
        <v>314</v>
      </c>
      <c r="F98" s="30" t="s">
        <v>13</v>
      </c>
      <c r="G98" s="31">
        <v>1.2</v>
      </c>
      <c r="H98" s="31">
        <v>156</v>
      </c>
      <c r="I98" s="31">
        <v>250</v>
      </c>
      <c r="J98" s="31">
        <v>0.5</v>
      </c>
      <c r="K98" s="69">
        <v>1392.84</v>
      </c>
      <c r="L98" s="75">
        <f t="shared" si="30"/>
        <v>1160.7</v>
      </c>
      <c r="M98" s="76">
        <v>0.3</v>
      </c>
      <c r="N98" s="77">
        <f>K98-(K98*M98)</f>
        <v>974.98799999999994</v>
      </c>
      <c r="O98" s="77">
        <f t="shared" si="31"/>
        <v>812.49</v>
      </c>
    </row>
    <row r="99" spans="1:26" s="13" customFormat="1" ht="50.1" customHeight="1" x14ac:dyDescent="0.25">
      <c r="A99" s="38"/>
      <c r="B99" s="38"/>
      <c r="C99" s="29">
        <v>1400</v>
      </c>
      <c r="D99" s="31"/>
      <c r="E99" s="17" t="s">
        <v>315</v>
      </c>
      <c r="F99" s="18"/>
      <c r="G99" s="16">
        <v>1000</v>
      </c>
      <c r="H99" s="16">
        <v>23</v>
      </c>
      <c r="I99" s="16">
        <v>27</v>
      </c>
      <c r="J99" s="16">
        <v>0.5</v>
      </c>
      <c r="K99" s="95">
        <v>230</v>
      </c>
      <c r="L99" s="75">
        <f t="shared" si="30"/>
        <v>191.66666666666669</v>
      </c>
      <c r="M99" s="76">
        <v>0.45</v>
      </c>
      <c r="N99" s="77">
        <f>K99-(K99*M99)</f>
        <v>126.5</v>
      </c>
      <c r="O99" s="77">
        <f t="shared" si="31"/>
        <v>105.41666666666667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s="12" customFormat="1" ht="15.75" customHeight="1" x14ac:dyDescent="0.25">
      <c r="A100" s="80" t="s">
        <v>316</v>
      </c>
      <c r="B100" s="81"/>
      <c r="C100" s="82"/>
      <c r="D100" s="81"/>
      <c r="E100" s="83"/>
      <c r="F100" s="81"/>
      <c r="G100" s="81"/>
      <c r="H100" s="81"/>
      <c r="I100" s="81"/>
      <c r="J100" s="81"/>
      <c r="K100" s="84"/>
      <c r="L100" s="85"/>
      <c r="M100" s="92"/>
      <c r="N100" s="93"/>
      <c r="O100" s="93"/>
    </row>
    <row r="101" spans="1:26" s="13" customFormat="1" ht="50.1" customHeight="1" x14ac:dyDescent="0.25">
      <c r="A101" s="109" t="s">
        <v>317</v>
      </c>
      <c r="B101" s="109"/>
      <c r="C101" s="110">
        <v>10110000</v>
      </c>
      <c r="D101" s="111" t="s">
        <v>290</v>
      </c>
      <c r="E101" s="112" t="s">
        <v>318</v>
      </c>
      <c r="F101" s="113" t="s">
        <v>13</v>
      </c>
      <c r="G101" s="111">
        <v>1000</v>
      </c>
      <c r="H101" s="111">
        <v>126</v>
      </c>
      <c r="I101" s="111">
        <v>55</v>
      </c>
      <c r="J101" s="111">
        <v>7.7</v>
      </c>
      <c r="K101" s="75">
        <v>1369.97</v>
      </c>
      <c r="L101" s="75">
        <f t="shared" ref="L101:L104" si="32">K101/1.2</f>
        <v>1141.6416666666667</v>
      </c>
      <c r="M101" s="76">
        <v>0.25</v>
      </c>
      <c r="N101" s="77">
        <f>K101-(K101*M101)</f>
        <v>1027.4775</v>
      </c>
      <c r="O101" s="77">
        <f t="shared" ref="O101:O104" si="33">N101/1.2</f>
        <v>856.23125000000005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s="13" customFormat="1" ht="50.1" customHeight="1" x14ac:dyDescent="0.25">
      <c r="A102" s="109" t="s">
        <v>317</v>
      </c>
      <c r="B102" s="109"/>
      <c r="C102" s="110">
        <v>10311000</v>
      </c>
      <c r="D102" s="111" t="s">
        <v>290</v>
      </c>
      <c r="E102" s="112" t="s">
        <v>319</v>
      </c>
      <c r="F102" s="113" t="s">
        <v>13</v>
      </c>
      <c r="G102" s="111">
        <v>1000</v>
      </c>
      <c r="H102" s="111">
        <v>126</v>
      </c>
      <c r="I102" s="111">
        <v>115</v>
      </c>
      <c r="J102" s="111">
        <v>10.7</v>
      </c>
      <c r="K102" s="73">
        <v>1645.98</v>
      </c>
      <c r="L102" s="75">
        <f t="shared" si="32"/>
        <v>1371.65</v>
      </c>
      <c r="M102" s="76">
        <v>0.25</v>
      </c>
      <c r="N102" s="77">
        <f>K102-(K102*M102)</f>
        <v>1234.4850000000001</v>
      </c>
      <c r="O102" s="77">
        <f t="shared" si="33"/>
        <v>1028.7375000000002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s="13" customFormat="1" ht="50.1" customHeight="1" x14ac:dyDescent="0.25">
      <c r="A103" s="109" t="s">
        <v>317</v>
      </c>
      <c r="B103" s="109"/>
      <c r="C103" s="110">
        <v>10311061</v>
      </c>
      <c r="D103" s="111" t="s">
        <v>290</v>
      </c>
      <c r="E103" s="112" t="s">
        <v>320</v>
      </c>
      <c r="F103" s="113" t="s">
        <v>13</v>
      </c>
      <c r="G103" s="111">
        <v>1000</v>
      </c>
      <c r="H103" s="111">
        <v>126</v>
      </c>
      <c r="I103" s="111">
        <v>140</v>
      </c>
      <c r="J103" s="111">
        <v>13.4</v>
      </c>
      <c r="K103" s="73">
        <v>2135.21</v>
      </c>
      <c r="L103" s="75">
        <f t="shared" si="32"/>
        <v>1779.3416666666667</v>
      </c>
      <c r="M103" s="76">
        <v>0.25</v>
      </c>
      <c r="N103" s="77">
        <f>K103-(K103*M103)</f>
        <v>1601.4075</v>
      </c>
      <c r="O103" s="77">
        <f t="shared" si="33"/>
        <v>1334.5062500000001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s="13" customFormat="1" ht="50.1" customHeight="1" x14ac:dyDescent="0.25">
      <c r="A104" s="109" t="s">
        <v>317</v>
      </c>
      <c r="B104" s="109"/>
      <c r="C104" s="110">
        <v>10311062</v>
      </c>
      <c r="D104" s="111" t="s">
        <v>290</v>
      </c>
      <c r="E104" s="112" t="s">
        <v>321</v>
      </c>
      <c r="F104" s="113" t="s">
        <v>13</v>
      </c>
      <c r="G104" s="111">
        <v>1000</v>
      </c>
      <c r="H104" s="111">
        <v>126</v>
      </c>
      <c r="I104" s="111">
        <v>165</v>
      </c>
      <c r="J104" s="111">
        <v>16</v>
      </c>
      <c r="K104" s="79">
        <v>2528.44</v>
      </c>
      <c r="L104" s="75">
        <f t="shared" si="32"/>
        <v>2107.0333333333333</v>
      </c>
      <c r="M104" s="76">
        <v>0.25</v>
      </c>
      <c r="N104" s="77">
        <f>K104-(K104*M104)</f>
        <v>1896.33</v>
      </c>
      <c r="O104" s="77">
        <f t="shared" si="33"/>
        <v>1580.2750000000001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s="12" customFormat="1" ht="15.75" customHeight="1" x14ac:dyDescent="0.25">
      <c r="A105" s="80" t="s">
        <v>322</v>
      </c>
      <c r="B105" s="80"/>
      <c r="C105" s="97"/>
      <c r="D105" s="114"/>
      <c r="E105" s="115"/>
      <c r="F105" s="80"/>
      <c r="G105" s="80"/>
      <c r="H105" s="80"/>
      <c r="I105" s="80"/>
      <c r="J105" s="80"/>
      <c r="K105" s="116"/>
      <c r="L105" s="116"/>
      <c r="M105" s="117"/>
      <c r="N105" s="118"/>
      <c r="O105" s="118"/>
    </row>
    <row r="106" spans="1:26" s="13" customFormat="1" ht="50.1" customHeight="1" x14ac:dyDescent="0.25">
      <c r="A106" s="109" t="s">
        <v>317</v>
      </c>
      <c r="B106" s="109"/>
      <c r="C106" s="110">
        <v>10310093</v>
      </c>
      <c r="D106" s="111" t="s">
        <v>290</v>
      </c>
      <c r="E106" s="112" t="s">
        <v>323</v>
      </c>
      <c r="F106" s="113" t="s">
        <v>13</v>
      </c>
      <c r="G106" s="111">
        <v>500</v>
      </c>
      <c r="H106" s="111">
        <v>140</v>
      </c>
      <c r="I106" s="111">
        <v>500</v>
      </c>
      <c r="J106" s="111">
        <v>24.9</v>
      </c>
      <c r="K106" s="75">
        <v>7059</v>
      </c>
      <c r="L106" s="75">
        <f t="shared" ref="L106:L107" si="34">K106/1.2</f>
        <v>5882.5</v>
      </c>
      <c r="M106" s="76">
        <v>0.25</v>
      </c>
      <c r="N106" s="77">
        <f>K106-(K106*M106)</f>
        <v>5294.25</v>
      </c>
      <c r="O106" s="77">
        <f t="shared" ref="O106:O107" si="35">N106/1.2</f>
        <v>4411.875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s="13" customFormat="1" ht="50.1" customHeight="1" x14ac:dyDescent="0.25">
      <c r="A107" s="119" t="s">
        <v>317</v>
      </c>
      <c r="B107" s="119"/>
      <c r="C107" s="110">
        <v>22515</v>
      </c>
      <c r="D107" s="120"/>
      <c r="E107" s="121" t="s">
        <v>324</v>
      </c>
      <c r="F107" s="122"/>
      <c r="G107" s="120">
        <v>400</v>
      </c>
      <c r="H107" s="120">
        <v>92</v>
      </c>
      <c r="I107" s="120">
        <v>120</v>
      </c>
      <c r="J107" s="120">
        <v>0.17</v>
      </c>
      <c r="K107" s="79">
        <v>2580</v>
      </c>
      <c r="L107" s="75">
        <f t="shared" si="34"/>
        <v>2150</v>
      </c>
      <c r="M107" s="76">
        <v>0.25</v>
      </c>
      <c r="N107" s="77">
        <f>K107-(K107*M107)</f>
        <v>1935</v>
      </c>
      <c r="O107" s="77">
        <f t="shared" si="35"/>
        <v>1612.5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s="12" customFormat="1" ht="15.75" customHeight="1" x14ac:dyDescent="0.25">
      <c r="A108" s="80" t="s">
        <v>325</v>
      </c>
      <c r="B108" s="80"/>
      <c r="C108" s="97"/>
      <c r="D108" s="114"/>
      <c r="E108" s="115"/>
      <c r="F108" s="80"/>
      <c r="G108" s="80"/>
      <c r="H108" s="80"/>
      <c r="I108" s="80"/>
      <c r="J108" s="80"/>
      <c r="K108" s="116"/>
      <c r="L108" s="116"/>
      <c r="M108" s="117"/>
      <c r="N108" s="118"/>
      <c r="O108" s="118"/>
    </row>
    <row r="109" spans="1:26" s="13" customFormat="1" ht="50.1" customHeight="1" x14ac:dyDescent="0.25">
      <c r="A109" s="109" t="s">
        <v>317</v>
      </c>
      <c r="B109" s="109"/>
      <c r="C109" s="110">
        <v>17010100</v>
      </c>
      <c r="D109" s="111" t="s">
        <v>290</v>
      </c>
      <c r="E109" s="112" t="s">
        <v>326</v>
      </c>
      <c r="F109" s="113" t="s">
        <v>13</v>
      </c>
      <c r="G109" s="111">
        <v>500</v>
      </c>
      <c r="H109" s="111">
        <v>124</v>
      </c>
      <c r="I109" s="111">
        <v>5</v>
      </c>
      <c r="J109" s="111">
        <v>2.2000000000000002</v>
      </c>
      <c r="K109" s="75">
        <v>827.8116</v>
      </c>
      <c r="L109" s="75">
        <f t="shared" ref="L109:L110" si="36">K109/1.2</f>
        <v>689.84300000000007</v>
      </c>
      <c r="M109" s="76">
        <v>0.25</v>
      </c>
      <c r="N109" s="77">
        <f>K109-(K109*M109)</f>
        <v>620.8587</v>
      </c>
      <c r="O109" s="77">
        <f t="shared" ref="O109:O110" si="37">N109/1.2</f>
        <v>517.38225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s="13" customFormat="1" ht="50.1" customHeight="1" x14ac:dyDescent="0.25">
      <c r="A110" s="109" t="s">
        <v>317</v>
      </c>
      <c r="B110" s="109"/>
      <c r="C110" s="110">
        <v>17010200</v>
      </c>
      <c r="D110" s="111" t="s">
        <v>271</v>
      </c>
      <c r="E110" s="112" t="s">
        <v>327</v>
      </c>
      <c r="F110" s="113" t="s">
        <v>13</v>
      </c>
      <c r="G110" s="111">
        <v>1000</v>
      </c>
      <c r="H110" s="111">
        <v>124</v>
      </c>
      <c r="I110" s="111">
        <v>2</v>
      </c>
      <c r="J110" s="111">
        <v>1.6</v>
      </c>
      <c r="K110" s="79">
        <v>737.82</v>
      </c>
      <c r="L110" s="75">
        <f t="shared" si="36"/>
        <v>614.85</v>
      </c>
      <c r="M110" s="76">
        <v>0.25</v>
      </c>
      <c r="N110" s="77">
        <f>K110-(K110*M110)</f>
        <v>553.36500000000001</v>
      </c>
      <c r="O110" s="77">
        <f t="shared" si="37"/>
        <v>461.13750000000005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s="13" customFormat="1" ht="15.75" customHeight="1" x14ac:dyDescent="0.25">
      <c r="A111" s="123" t="s">
        <v>328</v>
      </c>
      <c r="B111" s="123"/>
      <c r="C111" s="123"/>
      <c r="D111" s="123"/>
      <c r="E111" s="123"/>
      <c r="F111" s="123"/>
      <c r="G111" s="123"/>
      <c r="H111" s="123"/>
      <c r="I111" s="123"/>
      <c r="J111" s="123"/>
      <c r="K111" s="124"/>
      <c r="L111" s="124"/>
      <c r="M111" s="80"/>
      <c r="N111" s="80"/>
      <c r="O111" s="80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s="13" customFormat="1" ht="50.1" customHeight="1" x14ac:dyDescent="0.25">
      <c r="A112" s="119" t="s">
        <v>317</v>
      </c>
      <c r="B112" s="119"/>
      <c r="C112" s="110">
        <v>12515001</v>
      </c>
      <c r="D112" s="120" t="s">
        <v>329</v>
      </c>
      <c r="E112" s="121" t="s">
        <v>330</v>
      </c>
      <c r="F112" s="122" t="s">
        <v>123</v>
      </c>
      <c r="G112" s="120">
        <v>1000</v>
      </c>
      <c r="H112" s="120">
        <v>150</v>
      </c>
      <c r="I112" s="120">
        <v>50</v>
      </c>
      <c r="J112" s="120">
        <v>12.1</v>
      </c>
      <c r="K112" s="75">
        <v>2150.0039999999999</v>
      </c>
      <c r="L112" s="75">
        <f t="shared" ref="L112:L118" si="38">K112/1.2</f>
        <v>1791.67</v>
      </c>
      <c r="M112" s="76">
        <v>0.25</v>
      </c>
      <c r="N112" s="77">
        <f t="shared" ref="N112:N118" si="39">K112-(K112*M112)</f>
        <v>1612.5029999999999</v>
      </c>
      <c r="O112" s="77">
        <f t="shared" ref="O112:O118" si="40">N112/1.2</f>
        <v>1343.7525000000001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s="13" customFormat="1" ht="50.1" customHeight="1" x14ac:dyDescent="0.25">
      <c r="A113" s="119" t="s">
        <v>317</v>
      </c>
      <c r="B113" s="119"/>
      <c r="C113" s="110">
        <v>12515071</v>
      </c>
      <c r="D113" s="120" t="s">
        <v>329</v>
      </c>
      <c r="E113" s="121" t="s">
        <v>331</v>
      </c>
      <c r="F113" s="122" t="s">
        <v>123</v>
      </c>
      <c r="G113" s="120">
        <v>1000</v>
      </c>
      <c r="H113" s="120">
        <v>150</v>
      </c>
      <c r="I113" s="120">
        <v>50</v>
      </c>
      <c r="J113" s="120">
        <v>11.8</v>
      </c>
      <c r="K113" s="73">
        <v>2379.9959999999996</v>
      </c>
      <c r="L113" s="75">
        <f t="shared" si="38"/>
        <v>1983.3299999999997</v>
      </c>
      <c r="M113" s="76">
        <v>0.25</v>
      </c>
      <c r="N113" s="77">
        <f t="shared" si="39"/>
        <v>1784.9969999999998</v>
      </c>
      <c r="O113" s="77">
        <f t="shared" si="40"/>
        <v>1487.4974999999999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s="13" customFormat="1" ht="50.1" customHeight="1" x14ac:dyDescent="0.25">
      <c r="A114" s="119" t="s">
        <v>317</v>
      </c>
      <c r="B114" s="119"/>
      <c r="C114" s="110">
        <v>12515081</v>
      </c>
      <c r="D114" s="120"/>
      <c r="E114" s="121" t="s">
        <v>332</v>
      </c>
      <c r="F114" s="122"/>
      <c r="G114" s="120"/>
      <c r="H114" s="120"/>
      <c r="I114" s="120"/>
      <c r="J114" s="120">
        <v>0.05</v>
      </c>
      <c r="K114" s="73">
        <v>4400.0039999999999</v>
      </c>
      <c r="L114" s="75">
        <f t="shared" si="38"/>
        <v>3666.67</v>
      </c>
      <c r="M114" s="76">
        <v>0.25</v>
      </c>
      <c r="N114" s="77">
        <f t="shared" si="39"/>
        <v>3300.0029999999997</v>
      </c>
      <c r="O114" s="77">
        <f t="shared" si="40"/>
        <v>2750.0025000000001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s="13" customFormat="1" ht="50.1" customHeight="1" x14ac:dyDescent="0.25">
      <c r="A115" s="119" t="s">
        <v>317</v>
      </c>
      <c r="B115" s="119"/>
      <c r="C115" s="110">
        <v>12515380</v>
      </c>
      <c r="D115" s="120"/>
      <c r="E115" s="121" t="s">
        <v>333</v>
      </c>
      <c r="F115" s="122"/>
      <c r="G115" s="120">
        <v>174</v>
      </c>
      <c r="H115" s="120">
        <v>154</v>
      </c>
      <c r="I115" s="120">
        <v>50</v>
      </c>
      <c r="J115" s="120">
        <v>1.1200000000000001</v>
      </c>
      <c r="K115" s="73">
        <v>13400.003999999999</v>
      </c>
      <c r="L115" s="75">
        <f t="shared" si="38"/>
        <v>11166.67</v>
      </c>
      <c r="M115" s="76">
        <v>0.25</v>
      </c>
      <c r="N115" s="77">
        <f t="shared" si="39"/>
        <v>10050.002999999999</v>
      </c>
      <c r="O115" s="77">
        <f t="shared" si="40"/>
        <v>8375.0024999999987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s="13" customFormat="1" ht="50.1" customHeight="1" x14ac:dyDescent="0.25">
      <c r="A116" s="119" t="s">
        <v>317</v>
      </c>
      <c r="B116" s="119"/>
      <c r="C116" s="110">
        <v>12515386</v>
      </c>
      <c r="D116" s="120"/>
      <c r="E116" s="121" t="s">
        <v>334</v>
      </c>
      <c r="F116" s="122"/>
      <c r="G116" s="120"/>
      <c r="H116" s="120"/>
      <c r="I116" s="120"/>
      <c r="J116" s="120">
        <v>0.04</v>
      </c>
      <c r="K116" s="73">
        <v>834.99599999999998</v>
      </c>
      <c r="L116" s="75">
        <f t="shared" si="38"/>
        <v>695.83</v>
      </c>
      <c r="M116" s="76">
        <v>0.25</v>
      </c>
      <c r="N116" s="77">
        <f t="shared" si="39"/>
        <v>626.24699999999996</v>
      </c>
      <c r="O116" s="77">
        <f t="shared" si="40"/>
        <v>521.87249999999995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s="13" customFormat="1" ht="50.1" customHeight="1" x14ac:dyDescent="0.25">
      <c r="A117" s="119" t="s">
        <v>317</v>
      </c>
      <c r="B117" s="119"/>
      <c r="C117" s="110">
        <v>12515391</v>
      </c>
      <c r="D117" s="120"/>
      <c r="E117" s="121" t="s">
        <v>335</v>
      </c>
      <c r="F117" s="122"/>
      <c r="G117" s="120"/>
      <c r="H117" s="120"/>
      <c r="I117" s="120"/>
      <c r="J117" s="120">
        <v>0.25</v>
      </c>
      <c r="K117" s="73">
        <v>15500.003999999999</v>
      </c>
      <c r="L117" s="75">
        <f t="shared" si="38"/>
        <v>12916.67</v>
      </c>
      <c r="M117" s="76">
        <v>0.25</v>
      </c>
      <c r="N117" s="77">
        <f t="shared" si="39"/>
        <v>11625.002999999999</v>
      </c>
      <c r="O117" s="77">
        <f t="shared" si="40"/>
        <v>9687.5024999999987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s="13" customFormat="1" ht="50.1" customHeight="1" x14ac:dyDescent="0.25">
      <c r="A118" s="119" t="s">
        <v>317</v>
      </c>
      <c r="B118" s="119"/>
      <c r="C118" s="110">
        <v>12530000</v>
      </c>
      <c r="D118" s="120" t="s">
        <v>329</v>
      </c>
      <c r="E118" s="121" t="s">
        <v>336</v>
      </c>
      <c r="F118" s="122" t="s">
        <v>34</v>
      </c>
      <c r="G118" s="120">
        <v>1000</v>
      </c>
      <c r="H118" s="120">
        <v>300</v>
      </c>
      <c r="I118" s="120">
        <v>50</v>
      </c>
      <c r="J118" s="120">
        <v>25.3</v>
      </c>
      <c r="K118" s="79">
        <v>3750</v>
      </c>
      <c r="L118" s="75">
        <f t="shared" si="38"/>
        <v>3125</v>
      </c>
      <c r="M118" s="76">
        <v>0.25</v>
      </c>
      <c r="N118" s="77">
        <f t="shared" si="39"/>
        <v>2812.5</v>
      </c>
      <c r="O118" s="77">
        <f t="shared" si="40"/>
        <v>2343.75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s="12" customFormat="1" ht="15.75" customHeight="1" x14ac:dyDescent="0.25">
      <c r="A119" s="80" t="s">
        <v>337</v>
      </c>
      <c r="B119" s="80"/>
      <c r="C119" s="97"/>
      <c r="D119" s="80"/>
      <c r="E119" s="115"/>
      <c r="F119" s="80"/>
      <c r="G119" s="80"/>
      <c r="H119" s="80"/>
      <c r="I119" s="80"/>
      <c r="J119" s="80"/>
      <c r="K119" s="125"/>
      <c r="L119" s="125"/>
      <c r="M119" s="126"/>
      <c r="N119" s="127"/>
      <c r="O119" s="127"/>
    </row>
    <row r="120" spans="1:26" s="12" customFormat="1" ht="50.1" customHeight="1" x14ac:dyDescent="0.25">
      <c r="A120" s="128"/>
      <c r="B120" s="128"/>
      <c r="C120" s="29">
        <v>705</v>
      </c>
      <c r="D120" s="16" t="s">
        <v>290</v>
      </c>
      <c r="E120" s="129" t="s">
        <v>338</v>
      </c>
      <c r="F120" s="18" t="s">
        <v>13</v>
      </c>
      <c r="G120" s="16">
        <v>1000</v>
      </c>
      <c r="H120" s="16">
        <v>140</v>
      </c>
      <c r="I120" s="16">
        <v>125</v>
      </c>
      <c r="J120" s="16">
        <v>10.5</v>
      </c>
      <c r="K120" s="75">
        <v>598</v>
      </c>
      <c r="L120" s="75">
        <f t="shared" ref="L120:L121" si="41">K120/1.2</f>
        <v>498.33333333333337</v>
      </c>
      <c r="M120" s="76">
        <v>0.45</v>
      </c>
      <c r="N120" s="77">
        <f>K120-(K120*M120)</f>
        <v>328.9</v>
      </c>
      <c r="O120" s="77">
        <f t="shared" ref="O120:O121" si="42">N120/1.2</f>
        <v>274.08333333333331</v>
      </c>
    </row>
    <row r="121" spans="1:26" s="12" customFormat="1" ht="50.1" customHeight="1" x14ac:dyDescent="0.25">
      <c r="A121" s="128"/>
      <c r="B121" s="128"/>
      <c r="C121" s="29">
        <v>703</v>
      </c>
      <c r="D121" s="16" t="s">
        <v>290</v>
      </c>
      <c r="E121" s="129" t="s">
        <v>339</v>
      </c>
      <c r="F121" s="18" t="s">
        <v>13</v>
      </c>
      <c r="G121" s="16">
        <v>1000</v>
      </c>
      <c r="H121" s="16">
        <v>140</v>
      </c>
      <c r="I121" s="16">
        <v>65</v>
      </c>
      <c r="J121" s="16">
        <v>6</v>
      </c>
      <c r="K121" s="79">
        <v>530.4</v>
      </c>
      <c r="L121" s="75">
        <f t="shared" si="41"/>
        <v>442</v>
      </c>
      <c r="M121" s="76">
        <v>0.45</v>
      </c>
      <c r="N121" s="77">
        <f>K121-(K121*M121)</f>
        <v>291.71999999999997</v>
      </c>
      <c r="O121" s="77">
        <f t="shared" si="42"/>
        <v>243.1</v>
      </c>
    </row>
    <row r="122" spans="1:26" s="12" customFormat="1" ht="15.75" customHeight="1" x14ac:dyDescent="0.25">
      <c r="A122" s="80" t="s">
        <v>340</v>
      </c>
      <c r="B122" s="81"/>
      <c r="C122" s="82"/>
      <c r="D122" s="81"/>
      <c r="E122" s="83"/>
      <c r="F122" s="81"/>
      <c r="G122" s="81"/>
      <c r="H122" s="81"/>
      <c r="I122" s="81"/>
      <c r="J122" s="81"/>
      <c r="K122" s="84"/>
      <c r="L122" s="85"/>
      <c r="M122" s="92"/>
      <c r="N122" s="93"/>
      <c r="O122" s="93"/>
    </row>
    <row r="123" spans="1:26" s="20" customFormat="1" ht="50.1" customHeight="1" x14ac:dyDescent="0.25">
      <c r="A123" s="74"/>
      <c r="B123" s="74"/>
      <c r="C123" s="25">
        <v>500</v>
      </c>
      <c r="D123" s="16" t="s">
        <v>271</v>
      </c>
      <c r="E123" s="17" t="s">
        <v>124</v>
      </c>
      <c r="F123" s="18" t="s">
        <v>13</v>
      </c>
      <c r="G123" s="16">
        <v>500</v>
      </c>
      <c r="H123" s="16">
        <v>136</v>
      </c>
      <c r="I123" s="16">
        <v>20</v>
      </c>
      <c r="J123" s="16">
        <v>0.8</v>
      </c>
      <c r="K123" s="75">
        <v>434.31360000000006</v>
      </c>
      <c r="L123" s="75">
        <f t="shared" ref="L123:L136" si="43">K123/1.2</f>
        <v>361.92800000000005</v>
      </c>
      <c r="M123" s="76">
        <v>0.5</v>
      </c>
      <c r="N123" s="77">
        <f t="shared" ref="N123:N138" si="44">K123-(K123*M123)</f>
        <v>217.15680000000003</v>
      </c>
      <c r="O123" s="77">
        <f t="shared" ref="O123:O138" si="45">N123/1.2</f>
        <v>180.96400000000003</v>
      </c>
    </row>
    <row r="124" spans="1:26" s="20" customFormat="1" ht="50.1" customHeight="1" x14ac:dyDescent="0.25">
      <c r="A124" s="74"/>
      <c r="B124" s="74"/>
      <c r="C124" s="25">
        <v>508</v>
      </c>
      <c r="D124" s="16" t="s">
        <v>271</v>
      </c>
      <c r="E124" s="17" t="s">
        <v>125</v>
      </c>
      <c r="F124" s="18" t="s">
        <v>13</v>
      </c>
      <c r="G124" s="16">
        <v>1000</v>
      </c>
      <c r="H124" s="16">
        <v>136</v>
      </c>
      <c r="I124" s="16">
        <v>20</v>
      </c>
      <c r="J124" s="16">
        <v>1.6</v>
      </c>
      <c r="K124" s="73">
        <v>785</v>
      </c>
      <c r="L124" s="75">
        <f t="shared" si="43"/>
        <v>654.16666666666674</v>
      </c>
      <c r="M124" s="76">
        <v>0.55000000000000004</v>
      </c>
      <c r="N124" s="77">
        <f t="shared" si="44"/>
        <v>353.24999999999994</v>
      </c>
      <c r="O124" s="77">
        <f t="shared" si="45"/>
        <v>294.37499999999994</v>
      </c>
    </row>
    <row r="125" spans="1:26" s="39" customFormat="1" ht="50.1" customHeight="1" x14ac:dyDescent="0.25">
      <c r="A125" s="74"/>
      <c r="B125" s="74"/>
      <c r="C125" s="25" t="s">
        <v>126</v>
      </c>
      <c r="D125" s="16" t="s">
        <v>271</v>
      </c>
      <c r="E125" s="17" t="s">
        <v>127</v>
      </c>
      <c r="F125" s="18" t="s">
        <v>13</v>
      </c>
      <c r="G125" s="16">
        <v>1000</v>
      </c>
      <c r="H125" s="16">
        <v>136</v>
      </c>
      <c r="I125" s="16">
        <v>20</v>
      </c>
      <c r="J125" s="16">
        <v>1.6</v>
      </c>
      <c r="K125" s="73">
        <v>785</v>
      </c>
      <c r="L125" s="75">
        <f t="shared" si="43"/>
        <v>654.16666666666674</v>
      </c>
      <c r="M125" s="76">
        <v>0.55000000000000004</v>
      </c>
      <c r="N125" s="77">
        <f t="shared" si="44"/>
        <v>353.24999999999994</v>
      </c>
      <c r="O125" s="77">
        <f t="shared" si="45"/>
        <v>294.37499999999994</v>
      </c>
    </row>
    <row r="126" spans="1:26" s="12" customFormat="1" ht="50.1" customHeight="1" x14ac:dyDescent="0.25">
      <c r="A126" s="14"/>
      <c r="B126" s="14"/>
      <c r="C126" s="25">
        <v>502</v>
      </c>
      <c r="D126" s="16" t="s">
        <v>271</v>
      </c>
      <c r="E126" s="17" t="s">
        <v>128</v>
      </c>
      <c r="F126" s="18" t="s">
        <v>13</v>
      </c>
      <c r="G126" s="16">
        <v>1000</v>
      </c>
      <c r="H126" s="16">
        <v>136</v>
      </c>
      <c r="I126" s="16">
        <v>20</v>
      </c>
      <c r="J126" s="16">
        <v>1.6</v>
      </c>
      <c r="K126" s="73">
        <v>3932</v>
      </c>
      <c r="L126" s="75">
        <f t="shared" si="43"/>
        <v>3276.666666666667</v>
      </c>
      <c r="M126" s="76">
        <v>0.55000000000000004</v>
      </c>
      <c r="N126" s="77">
        <f t="shared" si="44"/>
        <v>1769.3999999999996</v>
      </c>
      <c r="O126" s="77">
        <f t="shared" si="45"/>
        <v>1474.4999999999998</v>
      </c>
    </row>
    <row r="127" spans="1:26" s="12" customFormat="1" ht="50.1" customHeight="1" x14ac:dyDescent="0.25">
      <c r="A127" s="74"/>
      <c r="B127" s="74"/>
      <c r="C127" s="25">
        <v>503</v>
      </c>
      <c r="D127" s="16" t="s">
        <v>271</v>
      </c>
      <c r="E127" s="17" t="s">
        <v>129</v>
      </c>
      <c r="F127" s="18" t="s">
        <v>13</v>
      </c>
      <c r="G127" s="16">
        <v>1000</v>
      </c>
      <c r="H127" s="16">
        <v>136</v>
      </c>
      <c r="I127" s="16">
        <v>20</v>
      </c>
      <c r="J127" s="16">
        <v>1.6</v>
      </c>
      <c r="K127" s="73">
        <v>2020.1515000000002</v>
      </c>
      <c r="L127" s="75">
        <f t="shared" si="43"/>
        <v>1683.4595833333335</v>
      </c>
      <c r="M127" s="76">
        <v>0.55000000000000004</v>
      </c>
      <c r="N127" s="77">
        <f t="shared" si="44"/>
        <v>909.06817499999988</v>
      </c>
      <c r="O127" s="77">
        <f t="shared" si="45"/>
        <v>757.55681249999998</v>
      </c>
    </row>
    <row r="128" spans="1:26" s="20" customFormat="1" ht="50.1" customHeight="1" x14ac:dyDescent="0.25">
      <c r="A128" s="130"/>
      <c r="B128" s="130"/>
      <c r="C128" s="25">
        <v>504</v>
      </c>
      <c r="D128" s="16" t="s">
        <v>271</v>
      </c>
      <c r="E128" s="17" t="s">
        <v>130</v>
      </c>
      <c r="F128" s="18" t="s">
        <v>13</v>
      </c>
      <c r="G128" s="16">
        <v>500</v>
      </c>
      <c r="H128" s="16">
        <v>137.80000000000001</v>
      </c>
      <c r="I128" s="16">
        <v>16.5</v>
      </c>
      <c r="J128" s="16">
        <v>0.42</v>
      </c>
      <c r="K128" s="73">
        <v>225</v>
      </c>
      <c r="L128" s="75">
        <f t="shared" si="43"/>
        <v>187.5</v>
      </c>
      <c r="M128" s="76">
        <v>0.55000000000000004</v>
      </c>
      <c r="N128" s="77">
        <f t="shared" si="44"/>
        <v>101.24999999999999</v>
      </c>
      <c r="O128" s="77">
        <f t="shared" si="45"/>
        <v>84.374999999999986</v>
      </c>
    </row>
    <row r="129" spans="1:26" s="20" customFormat="1" ht="50.1" customHeight="1" x14ac:dyDescent="0.25">
      <c r="A129" s="131"/>
      <c r="B129" s="131"/>
      <c r="C129" s="25">
        <v>501</v>
      </c>
      <c r="D129" s="16" t="s">
        <v>275</v>
      </c>
      <c r="E129" s="17" t="s">
        <v>131</v>
      </c>
      <c r="F129" s="18" t="s">
        <v>13</v>
      </c>
      <c r="G129" s="16">
        <v>1000</v>
      </c>
      <c r="H129" s="16">
        <v>136</v>
      </c>
      <c r="I129" s="16">
        <v>20</v>
      </c>
      <c r="J129" s="16">
        <v>3.3</v>
      </c>
      <c r="K129" s="73">
        <v>1845.6996799999999</v>
      </c>
      <c r="L129" s="75">
        <f t="shared" si="43"/>
        <v>1538.0830666666666</v>
      </c>
      <c r="M129" s="76">
        <v>0.5</v>
      </c>
      <c r="N129" s="77">
        <f t="shared" si="44"/>
        <v>922.84983999999997</v>
      </c>
      <c r="O129" s="77">
        <f t="shared" si="45"/>
        <v>769.04153333333329</v>
      </c>
    </row>
    <row r="130" spans="1:26" s="20" customFormat="1" ht="50.1" customHeight="1" x14ac:dyDescent="0.25">
      <c r="A130" s="130"/>
      <c r="B130" s="130"/>
      <c r="C130" s="25">
        <v>506</v>
      </c>
      <c r="D130" s="16" t="s">
        <v>290</v>
      </c>
      <c r="E130" s="17" t="s">
        <v>132</v>
      </c>
      <c r="F130" s="18" t="s">
        <v>13</v>
      </c>
      <c r="G130" s="16">
        <v>500</v>
      </c>
      <c r="H130" s="16">
        <v>136</v>
      </c>
      <c r="I130" s="16">
        <v>13</v>
      </c>
      <c r="J130" s="16">
        <v>2.1</v>
      </c>
      <c r="K130" s="73">
        <v>794</v>
      </c>
      <c r="L130" s="75">
        <f t="shared" si="43"/>
        <v>661.66666666666674</v>
      </c>
      <c r="M130" s="76">
        <v>0.55000000000000004</v>
      </c>
      <c r="N130" s="77">
        <f t="shared" si="44"/>
        <v>357.29999999999995</v>
      </c>
      <c r="O130" s="77">
        <f t="shared" si="45"/>
        <v>297.75</v>
      </c>
    </row>
    <row r="131" spans="1:26" s="20" customFormat="1" ht="50.1" customHeight="1" x14ac:dyDescent="0.25">
      <c r="A131" s="130"/>
      <c r="B131" s="130"/>
      <c r="C131" s="40">
        <v>5065</v>
      </c>
      <c r="D131" s="16" t="s">
        <v>290</v>
      </c>
      <c r="E131" s="17" t="s">
        <v>133</v>
      </c>
      <c r="F131" s="18" t="s">
        <v>13</v>
      </c>
      <c r="G131" s="19">
        <v>500</v>
      </c>
      <c r="H131" s="16">
        <v>136</v>
      </c>
      <c r="I131" s="16">
        <v>13</v>
      </c>
      <c r="J131" s="16">
        <v>2.2000000000000002</v>
      </c>
      <c r="K131" s="73">
        <v>1116.1500000000001</v>
      </c>
      <c r="L131" s="75">
        <f t="shared" si="43"/>
        <v>930.12500000000011</v>
      </c>
      <c r="M131" s="76">
        <v>0.55000000000000004</v>
      </c>
      <c r="N131" s="77">
        <f t="shared" si="44"/>
        <v>502.26750000000004</v>
      </c>
      <c r="O131" s="77">
        <f t="shared" si="45"/>
        <v>418.55625000000003</v>
      </c>
    </row>
    <row r="132" spans="1:26" s="41" customFormat="1" ht="50.1" customHeight="1" x14ac:dyDescent="0.25">
      <c r="A132" s="130"/>
      <c r="B132" s="130"/>
      <c r="C132" s="25">
        <v>507</v>
      </c>
      <c r="D132" s="16" t="s">
        <v>290</v>
      </c>
      <c r="E132" s="17" t="s">
        <v>134</v>
      </c>
      <c r="F132" s="18" t="s">
        <v>13</v>
      </c>
      <c r="G132" s="16">
        <v>500</v>
      </c>
      <c r="H132" s="16">
        <v>136</v>
      </c>
      <c r="I132" s="16">
        <v>13.5</v>
      </c>
      <c r="J132" s="16">
        <v>2.7</v>
      </c>
      <c r="K132" s="73">
        <v>794</v>
      </c>
      <c r="L132" s="75">
        <f t="shared" si="43"/>
        <v>661.66666666666674</v>
      </c>
      <c r="M132" s="76">
        <v>0.55000000000000004</v>
      </c>
      <c r="N132" s="77">
        <f t="shared" si="44"/>
        <v>357.29999999999995</v>
      </c>
      <c r="O132" s="77">
        <f t="shared" si="45"/>
        <v>297.75</v>
      </c>
    </row>
    <row r="133" spans="1:26" s="41" customFormat="1" ht="50.1" customHeight="1" x14ac:dyDescent="0.25">
      <c r="A133" s="130"/>
      <c r="B133" s="130"/>
      <c r="C133" s="40">
        <v>5075</v>
      </c>
      <c r="D133" s="16" t="s">
        <v>290</v>
      </c>
      <c r="E133" s="17" t="s">
        <v>135</v>
      </c>
      <c r="F133" s="18" t="s">
        <v>13</v>
      </c>
      <c r="G133" s="19">
        <v>500</v>
      </c>
      <c r="H133" s="16">
        <v>136</v>
      </c>
      <c r="I133" s="16">
        <v>13.5</v>
      </c>
      <c r="J133" s="16">
        <v>2.8</v>
      </c>
      <c r="K133" s="73">
        <v>1116.1500000000001</v>
      </c>
      <c r="L133" s="75">
        <f t="shared" si="43"/>
        <v>930.12500000000011</v>
      </c>
      <c r="M133" s="76">
        <v>0.5</v>
      </c>
      <c r="N133" s="77">
        <f t="shared" si="44"/>
        <v>558.07500000000005</v>
      </c>
      <c r="O133" s="77">
        <f t="shared" si="45"/>
        <v>465.06250000000006</v>
      </c>
    </row>
    <row r="134" spans="1:26" s="41" customFormat="1" ht="50.1" customHeight="1" x14ac:dyDescent="0.25">
      <c r="A134" s="130"/>
      <c r="B134" s="130"/>
      <c r="C134" s="40" t="s">
        <v>136</v>
      </c>
      <c r="D134" s="16" t="s">
        <v>290</v>
      </c>
      <c r="E134" s="17" t="s">
        <v>137</v>
      </c>
      <c r="F134" s="18" t="s">
        <v>13</v>
      </c>
      <c r="G134" s="19">
        <v>500</v>
      </c>
      <c r="H134" s="16">
        <v>155</v>
      </c>
      <c r="I134" s="16">
        <v>17</v>
      </c>
      <c r="J134" s="16">
        <v>3.6</v>
      </c>
      <c r="K134" s="73">
        <v>1116.1500000000001</v>
      </c>
      <c r="L134" s="75">
        <f t="shared" si="43"/>
        <v>930.12500000000011</v>
      </c>
      <c r="M134" s="76">
        <v>0.5</v>
      </c>
      <c r="N134" s="77">
        <f t="shared" si="44"/>
        <v>558.07500000000005</v>
      </c>
      <c r="O134" s="77">
        <f t="shared" si="45"/>
        <v>465.06250000000006</v>
      </c>
    </row>
    <row r="135" spans="1:26" s="41" customFormat="1" ht="50.1" customHeight="1" x14ac:dyDescent="0.25">
      <c r="A135" s="130"/>
      <c r="B135" s="130"/>
      <c r="C135" s="15" t="s">
        <v>138</v>
      </c>
      <c r="D135" s="16" t="s">
        <v>290</v>
      </c>
      <c r="E135" s="17" t="s">
        <v>132</v>
      </c>
      <c r="F135" s="18" t="s">
        <v>13</v>
      </c>
      <c r="G135" s="16">
        <v>500</v>
      </c>
      <c r="H135" s="16">
        <v>136</v>
      </c>
      <c r="I135" s="16">
        <v>13</v>
      </c>
      <c r="J135" s="42">
        <v>2.1</v>
      </c>
      <c r="K135" s="73">
        <v>714</v>
      </c>
      <c r="L135" s="75">
        <f t="shared" si="43"/>
        <v>595</v>
      </c>
      <c r="M135" s="76">
        <v>0.55000000000000004</v>
      </c>
      <c r="N135" s="77">
        <f t="shared" si="44"/>
        <v>321.29999999999995</v>
      </c>
      <c r="O135" s="77">
        <f t="shared" si="45"/>
        <v>267.75</v>
      </c>
    </row>
    <row r="136" spans="1:26" s="41" customFormat="1" ht="50.1" customHeight="1" x14ac:dyDescent="0.25">
      <c r="A136" s="130"/>
      <c r="B136" s="130"/>
      <c r="C136" s="15" t="s">
        <v>139</v>
      </c>
      <c r="D136" s="16" t="s">
        <v>290</v>
      </c>
      <c r="E136" s="17" t="s">
        <v>132</v>
      </c>
      <c r="F136" s="18" t="s">
        <v>13</v>
      </c>
      <c r="G136" s="16">
        <v>500</v>
      </c>
      <c r="H136" s="16">
        <v>136</v>
      </c>
      <c r="I136" s="16">
        <v>13</v>
      </c>
      <c r="J136" s="42">
        <v>2.1</v>
      </c>
      <c r="K136" s="73">
        <v>714</v>
      </c>
      <c r="L136" s="75">
        <f t="shared" si="43"/>
        <v>595</v>
      </c>
      <c r="M136" s="76">
        <v>0.55000000000000004</v>
      </c>
      <c r="N136" s="77">
        <f t="shared" si="44"/>
        <v>321.29999999999995</v>
      </c>
      <c r="O136" s="77">
        <f t="shared" si="45"/>
        <v>267.75</v>
      </c>
    </row>
    <row r="137" spans="1:26" s="41" customFormat="1" ht="50.1" customHeight="1" x14ac:dyDescent="0.25">
      <c r="A137" s="130" t="s">
        <v>341</v>
      </c>
      <c r="B137" s="130"/>
      <c r="C137" s="15" t="s">
        <v>342</v>
      </c>
      <c r="D137" s="16" t="s">
        <v>290</v>
      </c>
      <c r="E137" s="132" t="s">
        <v>343</v>
      </c>
      <c r="F137" s="18" t="s">
        <v>13</v>
      </c>
      <c r="G137" s="19">
        <v>1000</v>
      </c>
      <c r="H137" s="16">
        <v>140</v>
      </c>
      <c r="I137" s="16">
        <v>10</v>
      </c>
      <c r="J137" s="133"/>
      <c r="K137" s="73">
        <v>0</v>
      </c>
      <c r="L137" s="75">
        <v>0</v>
      </c>
      <c r="M137" s="76">
        <v>0.5</v>
      </c>
      <c r="N137" s="77">
        <f t="shared" si="44"/>
        <v>0</v>
      </c>
      <c r="O137" s="77">
        <f t="shared" si="45"/>
        <v>0</v>
      </c>
    </row>
    <row r="138" spans="1:26" s="41" customFormat="1" ht="50.1" customHeight="1" x14ac:dyDescent="0.25">
      <c r="A138" s="130" t="s">
        <v>341</v>
      </c>
      <c r="B138" s="134"/>
      <c r="C138" s="52" t="s">
        <v>344</v>
      </c>
      <c r="D138" s="133" t="s">
        <v>271</v>
      </c>
      <c r="E138" s="135" t="s">
        <v>345</v>
      </c>
      <c r="F138" s="136" t="s">
        <v>13</v>
      </c>
      <c r="G138" s="133">
        <v>1000</v>
      </c>
      <c r="H138" s="133">
        <v>136</v>
      </c>
      <c r="I138" s="133">
        <v>20</v>
      </c>
      <c r="J138" s="133">
        <v>1.6</v>
      </c>
      <c r="K138" s="79">
        <v>0</v>
      </c>
      <c r="L138" s="75">
        <v>0</v>
      </c>
      <c r="M138" s="76">
        <v>0.5</v>
      </c>
      <c r="N138" s="77">
        <f t="shared" si="44"/>
        <v>0</v>
      </c>
      <c r="O138" s="77">
        <f t="shared" si="45"/>
        <v>0</v>
      </c>
    </row>
    <row r="139" spans="1:26" s="43" customFormat="1" ht="15.75" customHeight="1" x14ac:dyDescent="0.25">
      <c r="A139" s="88" t="s">
        <v>346</v>
      </c>
      <c r="B139" s="89"/>
      <c r="C139" s="90"/>
      <c r="D139" s="89"/>
      <c r="E139" s="91"/>
      <c r="F139" s="89"/>
      <c r="G139" s="89"/>
      <c r="H139" s="89"/>
      <c r="I139" s="89"/>
      <c r="J139" s="89"/>
      <c r="K139" s="84"/>
      <c r="L139" s="85"/>
      <c r="M139" s="137"/>
      <c r="N139" s="138"/>
      <c r="O139" s="138"/>
    </row>
    <row r="140" spans="1:26" s="41" customFormat="1" ht="50.1" customHeight="1" x14ac:dyDescent="0.25">
      <c r="A140" s="28"/>
      <c r="B140" s="28"/>
      <c r="C140" s="25">
        <v>103</v>
      </c>
      <c r="D140" s="16"/>
      <c r="E140" s="17" t="s">
        <v>347</v>
      </c>
      <c r="F140" s="18" t="s">
        <v>13</v>
      </c>
      <c r="G140" s="16">
        <v>54</v>
      </c>
      <c r="H140" s="16">
        <v>20</v>
      </c>
      <c r="I140" s="16">
        <v>25</v>
      </c>
      <c r="J140" s="16">
        <v>0.1</v>
      </c>
      <c r="K140" s="94">
        <v>97.92</v>
      </c>
      <c r="L140" s="75">
        <f>K140/1.2</f>
        <v>81.600000000000009</v>
      </c>
      <c r="M140" s="76">
        <v>0.4</v>
      </c>
      <c r="N140" s="77">
        <f>K140-(K140*M140)</f>
        <v>58.751999999999995</v>
      </c>
      <c r="O140" s="77">
        <f>N140/1.2</f>
        <v>48.96</v>
      </c>
    </row>
    <row r="141" spans="1:26" s="43" customFormat="1" ht="15.75" customHeight="1" x14ac:dyDescent="0.25">
      <c r="A141" s="80" t="s">
        <v>348</v>
      </c>
      <c r="B141" s="81"/>
      <c r="C141" s="82"/>
      <c r="D141" s="81"/>
      <c r="E141" s="83"/>
      <c r="F141" s="81"/>
      <c r="G141" s="81"/>
      <c r="H141" s="81"/>
      <c r="I141" s="81"/>
      <c r="J141" s="81"/>
      <c r="K141" s="84"/>
      <c r="L141" s="85"/>
      <c r="M141" s="137"/>
      <c r="N141" s="138"/>
      <c r="O141" s="138"/>
    </row>
    <row r="142" spans="1:26" s="13" customFormat="1" ht="50.1" customHeight="1" x14ac:dyDescent="0.25">
      <c r="A142" s="74" t="s">
        <v>140</v>
      </c>
      <c r="B142" s="74"/>
      <c r="C142" s="45" t="s">
        <v>141</v>
      </c>
      <c r="D142" s="46" t="s">
        <v>271</v>
      </c>
      <c r="E142" s="47" t="s">
        <v>142</v>
      </c>
      <c r="F142" s="48" t="s">
        <v>13</v>
      </c>
      <c r="G142" s="46">
        <v>1000</v>
      </c>
      <c r="H142" s="46">
        <v>146</v>
      </c>
      <c r="I142" s="46">
        <v>84</v>
      </c>
      <c r="J142" s="46" t="s">
        <v>143</v>
      </c>
      <c r="K142" s="75">
        <v>2818.4</v>
      </c>
      <c r="L142" s="75">
        <f t="shared" ref="L142:L146" si="46">K142/1.2</f>
        <v>2348.666666666667</v>
      </c>
      <c r="M142" s="76">
        <v>0.55000000000000004</v>
      </c>
      <c r="N142" s="77">
        <f>K142-(K142*M142)</f>
        <v>1268.28</v>
      </c>
      <c r="O142" s="77">
        <f t="shared" ref="O142:O146" si="47">N142/1.2</f>
        <v>1056.9000000000001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s="43" customFormat="1" ht="50.1" customHeight="1" x14ac:dyDescent="0.25">
      <c r="A143" s="74" t="s">
        <v>140</v>
      </c>
      <c r="B143" s="74"/>
      <c r="C143" s="45" t="s">
        <v>144</v>
      </c>
      <c r="D143" s="46" t="s">
        <v>271</v>
      </c>
      <c r="E143" s="49" t="s">
        <v>145</v>
      </c>
      <c r="F143" s="48" t="s">
        <v>13</v>
      </c>
      <c r="G143" s="46">
        <v>1000</v>
      </c>
      <c r="H143" s="46">
        <v>146</v>
      </c>
      <c r="I143" s="46">
        <v>104</v>
      </c>
      <c r="J143" s="46" t="s">
        <v>146</v>
      </c>
      <c r="K143" s="73">
        <v>2845.7</v>
      </c>
      <c r="L143" s="75">
        <f t="shared" si="46"/>
        <v>2371.4166666666665</v>
      </c>
      <c r="M143" s="76">
        <v>0.55000000000000004</v>
      </c>
      <c r="N143" s="77">
        <f>K143-(K143*M143)</f>
        <v>1280.5649999999998</v>
      </c>
      <c r="O143" s="77">
        <f t="shared" si="47"/>
        <v>1067.1374999999998</v>
      </c>
    </row>
    <row r="144" spans="1:26" s="13" customFormat="1" ht="50.1" customHeight="1" x14ac:dyDescent="0.25">
      <c r="A144" s="74" t="s">
        <v>140</v>
      </c>
      <c r="B144" s="74"/>
      <c r="C144" s="45" t="s">
        <v>147</v>
      </c>
      <c r="D144" s="46" t="s">
        <v>271</v>
      </c>
      <c r="E144" s="47" t="s">
        <v>148</v>
      </c>
      <c r="F144" s="48" t="s">
        <v>13</v>
      </c>
      <c r="G144" s="46">
        <v>1000</v>
      </c>
      <c r="H144" s="46">
        <v>146</v>
      </c>
      <c r="I144" s="46">
        <v>124</v>
      </c>
      <c r="J144" s="46" t="s">
        <v>149</v>
      </c>
      <c r="K144" s="73">
        <v>2999.7</v>
      </c>
      <c r="L144" s="75">
        <f t="shared" si="46"/>
        <v>2499.75</v>
      </c>
      <c r="M144" s="76">
        <v>0.55000000000000004</v>
      </c>
      <c r="N144" s="77">
        <f>K144-(K144*M144)</f>
        <v>1349.8649999999998</v>
      </c>
      <c r="O144" s="77">
        <f t="shared" si="47"/>
        <v>1124.8874999999998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s="12" customFormat="1" ht="50.1" customHeight="1" x14ac:dyDescent="0.25">
      <c r="A145" s="74" t="s">
        <v>140</v>
      </c>
      <c r="B145" s="74"/>
      <c r="C145" s="45" t="s">
        <v>150</v>
      </c>
      <c r="D145" s="46" t="s">
        <v>271</v>
      </c>
      <c r="E145" s="50" t="s">
        <v>151</v>
      </c>
      <c r="F145" s="48" t="s">
        <v>13</v>
      </c>
      <c r="G145" s="46">
        <v>1000</v>
      </c>
      <c r="H145" s="46">
        <v>146</v>
      </c>
      <c r="I145" s="46">
        <v>139</v>
      </c>
      <c r="J145" s="46" t="s">
        <v>152</v>
      </c>
      <c r="K145" s="73">
        <v>2964</v>
      </c>
      <c r="L145" s="75">
        <f t="shared" si="46"/>
        <v>2470</v>
      </c>
      <c r="M145" s="76">
        <v>0.55000000000000004</v>
      </c>
      <c r="N145" s="77">
        <f>K145-(K145*M145)</f>
        <v>1333.8</v>
      </c>
      <c r="O145" s="77">
        <f t="shared" si="47"/>
        <v>1111.5</v>
      </c>
    </row>
    <row r="146" spans="1:26" s="13" customFormat="1" ht="50.1" customHeight="1" x14ac:dyDescent="0.25">
      <c r="A146" s="74" t="s">
        <v>140</v>
      </c>
      <c r="B146" s="74"/>
      <c r="C146" s="45" t="s">
        <v>153</v>
      </c>
      <c r="D146" s="46" t="s">
        <v>271</v>
      </c>
      <c r="E146" s="50" t="s">
        <v>154</v>
      </c>
      <c r="F146" s="48" t="s">
        <v>13</v>
      </c>
      <c r="G146" s="46">
        <v>1000</v>
      </c>
      <c r="H146" s="46">
        <v>146</v>
      </c>
      <c r="I146" s="46">
        <v>189</v>
      </c>
      <c r="J146" s="46" t="s">
        <v>155</v>
      </c>
      <c r="K146" s="79">
        <v>2957.5</v>
      </c>
      <c r="L146" s="75">
        <f t="shared" si="46"/>
        <v>2464.5833333333335</v>
      </c>
      <c r="M146" s="76">
        <v>0.55000000000000004</v>
      </c>
      <c r="N146" s="77">
        <f>K146-(K146*M146)</f>
        <v>1330.8749999999998</v>
      </c>
      <c r="O146" s="77">
        <f t="shared" si="47"/>
        <v>1109.0624999999998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s="12" customFormat="1" ht="15.75" customHeight="1" x14ac:dyDescent="0.25">
      <c r="A147" s="80" t="s">
        <v>349</v>
      </c>
      <c r="B147" s="80"/>
      <c r="C147" s="97"/>
      <c r="D147" s="114"/>
      <c r="E147" s="139"/>
      <c r="F147" s="80"/>
      <c r="G147" s="80"/>
      <c r="H147" s="80"/>
      <c r="I147" s="80"/>
      <c r="J147" s="80"/>
      <c r="K147" s="84"/>
      <c r="L147" s="84"/>
      <c r="M147" s="117"/>
      <c r="N147" s="118"/>
      <c r="O147" s="118"/>
    </row>
    <row r="148" spans="1:26" s="13" customFormat="1" ht="50.1" customHeight="1" x14ac:dyDescent="0.25">
      <c r="A148" s="74" t="s">
        <v>140</v>
      </c>
      <c r="B148" s="74"/>
      <c r="C148" s="45" t="s">
        <v>350</v>
      </c>
      <c r="D148" s="46" t="s">
        <v>271</v>
      </c>
      <c r="E148" s="50" t="s">
        <v>351</v>
      </c>
      <c r="F148" s="48" t="s">
        <v>13</v>
      </c>
      <c r="G148" s="46">
        <v>500</v>
      </c>
      <c r="H148" s="46">
        <v>160</v>
      </c>
      <c r="I148" s="46">
        <v>424</v>
      </c>
      <c r="J148" s="46" t="s">
        <v>352</v>
      </c>
      <c r="K148" s="94">
        <v>4905.25</v>
      </c>
      <c r="L148" s="75">
        <f>K148/1.2</f>
        <v>4087.7083333333335</v>
      </c>
      <c r="M148" s="76">
        <v>0.55000000000000004</v>
      </c>
      <c r="N148" s="77">
        <f>K148-(K148*M148)</f>
        <v>2207.3624999999997</v>
      </c>
      <c r="O148" s="77">
        <f>N148/1.2</f>
        <v>1839.4687499999998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s="12" customFormat="1" ht="15.75" customHeight="1" x14ac:dyDescent="0.25">
      <c r="A149" s="88" t="s">
        <v>353</v>
      </c>
      <c r="B149" s="88"/>
      <c r="C149" s="140"/>
      <c r="D149" s="88"/>
      <c r="E149" s="141"/>
      <c r="F149" s="88"/>
      <c r="G149" s="88"/>
      <c r="H149" s="88"/>
      <c r="I149" s="88"/>
      <c r="J149" s="88"/>
      <c r="K149" s="84"/>
      <c r="L149" s="84"/>
      <c r="M149" s="117"/>
      <c r="N149" s="118"/>
      <c r="O149" s="118"/>
    </row>
    <row r="150" spans="1:26" s="13" customFormat="1" ht="50.1" customHeight="1" x14ac:dyDescent="0.25">
      <c r="A150" s="44" t="s">
        <v>140</v>
      </c>
      <c r="B150" s="44"/>
      <c r="C150" s="45" t="s">
        <v>354</v>
      </c>
      <c r="D150" s="142"/>
      <c r="E150" s="143" t="s">
        <v>355</v>
      </c>
      <c r="F150" s="48" t="s">
        <v>13</v>
      </c>
      <c r="G150" s="46">
        <v>119</v>
      </c>
      <c r="H150" s="46">
        <v>28</v>
      </c>
      <c r="I150" s="46">
        <v>14</v>
      </c>
      <c r="J150" s="46">
        <v>0.02</v>
      </c>
      <c r="K150" s="94">
        <v>137.94999999999999</v>
      </c>
      <c r="L150" s="75">
        <f>K150/1.2</f>
        <v>114.95833333333333</v>
      </c>
      <c r="M150" s="76">
        <v>0.55000000000000004</v>
      </c>
      <c r="N150" s="77">
        <f>K150-(K150*M150)</f>
        <v>62.077499999999986</v>
      </c>
      <c r="O150" s="77">
        <f>N150/1.2</f>
        <v>51.731249999999989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s="12" customFormat="1" ht="15.75" customHeight="1" x14ac:dyDescent="0.25">
      <c r="A151" s="80" t="s">
        <v>356</v>
      </c>
      <c r="B151" s="80"/>
      <c r="C151" s="97"/>
      <c r="D151" s="80"/>
      <c r="E151" s="115"/>
      <c r="F151" s="80"/>
      <c r="G151" s="80"/>
      <c r="H151" s="80"/>
      <c r="I151" s="80"/>
      <c r="J151" s="80"/>
      <c r="K151" s="84"/>
      <c r="L151" s="84"/>
      <c r="M151" s="144"/>
      <c r="N151" s="145"/>
      <c r="O151" s="145"/>
    </row>
    <row r="152" spans="1:26" s="39" customFormat="1" ht="50.1" customHeight="1" collapsed="1" x14ac:dyDescent="0.25">
      <c r="A152" s="70"/>
      <c r="B152" s="70"/>
      <c r="C152" s="25" t="s">
        <v>156</v>
      </c>
      <c r="D152" s="16" t="s">
        <v>290</v>
      </c>
      <c r="E152" s="17" t="s">
        <v>157</v>
      </c>
      <c r="F152" s="18" t="s">
        <v>13</v>
      </c>
      <c r="G152" s="16">
        <v>1000</v>
      </c>
      <c r="H152" s="16">
        <v>146</v>
      </c>
      <c r="I152" s="16">
        <v>80</v>
      </c>
      <c r="J152" s="16">
        <v>1.1000000000000001</v>
      </c>
      <c r="K152" s="75">
        <v>470</v>
      </c>
      <c r="L152" s="75">
        <f t="shared" ref="L152:L154" si="48">K152/1.2</f>
        <v>391.66666666666669</v>
      </c>
      <c r="M152" s="76">
        <v>0.55000000000000004</v>
      </c>
      <c r="N152" s="77">
        <f>K152-(K152*M152)</f>
        <v>211.5</v>
      </c>
      <c r="O152" s="77">
        <f t="shared" ref="O152:O154" si="49">N152/1.2</f>
        <v>176.25</v>
      </c>
    </row>
    <row r="153" spans="1:26" s="39" customFormat="1" ht="50.1" customHeight="1" collapsed="1" x14ac:dyDescent="0.25">
      <c r="A153" s="70"/>
      <c r="B153" s="70"/>
      <c r="C153" s="25" t="s">
        <v>158</v>
      </c>
      <c r="D153" s="16" t="s">
        <v>290</v>
      </c>
      <c r="E153" s="17" t="s">
        <v>159</v>
      </c>
      <c r="F153" s="18" t="s">
        <v>13</v>
      </c>
      <c r="G153" s="16">
        <v>1000</v>
      </c>
      <c r="H153" s="16">
        <v>146</v>
      </c>
      <c r="I153" s="16">
        <v>117</v>
      </c>
      <c r="J153" s="16">
        <v>1.4</v>
      </c>
      <c r="K153" s="73">
        <v>556</v>
      </c>
      <c r="L153" s="75">
        <f t="shared" si="48"/>
        <v>463.33333333333337</v>
      </c>
      <c r="M153" s="76">
        <v>0.55000000000000004</v>
      </c>
      <c r="N153" s="77">
        <f>K153-(K153*M153)</f>
        <v>250.2</v>
      </c>
      <c r="O153" s="77">
        <f t="shared" si="49"/>
        <v>208.5</v>
      </c>
    </row>
    <row r="154" spans="1:26" s="39" customFormat="1" ht="50.1" customHeight="1" collapsed="1" x14ac:dyDescent="0.25">
      <c r="A154" s="70"/>
      <c r="B154" s="70"/>
      <c r="C154" s="25" t="s">
        <v>160</v>
      </c>
      <c r="D154" s="16" t="s">
        <v>290</v>
      </c>
      <c r="E154" s="17" t="s">
        <v>161</v>
      </c>
      <c r="F154" s="18" t="s">
        <v>13</v>
      </c>
      <c r="G154" s="16">
        <v>1000</v>
      </c>
      <c r="H154" s="16">
        <v>146</v>
      </c>
      <c r="I154" s="16">
        <v>152</v>
      </c>
      <c r="J154" s="16">
        <v>1.7</v>
      </c>
      <c r="K154" s="79">
        <v>711.7</v>
      </c>
      <c r="L154" s="75">
        <f t="shared" si="48"/>
        <v>593.08333333333337</v>
      </c>
      <c r="M154" s="76">
        <v>0.55000000000000004</v>
      </c>
      <c r="N154" s="77">
        <f>K154-(K154*M154)</f>
        <v>320.26499999999999</v>
      </c>
      <c r="O154" s="77">
        <f t="shared" si="49"/>
        <v>266.88749999999999</v>
      </c>
    </row>
    <row r="155" spans="1:26" s="12" customFormat="1" ht="15.75" customHeight="1" x14ac:dyDescent="0.25">
      <c r="A155" s="80" t="s">
        <v>357</v>
      </c>
      <c r="B155" s="81"/>
      <c r="C155" s="82"/>
      <c r="D155" s="81"/>
      <c r="E155" s="83"/>
      <c r="F155" s="81"/>
      <c r="G155" s="81"/>
      <c r="H155" s="81"/>
      <c r="I155" s="81"/>
      <c r="J155" s="81"/>
      <c r="K155" s="84"/>
      <c r="L155" s="85"/>
      <c r="M155" s="137"/>
      <c r="N155" s="138"/>
      <c r="O155" s="138"/>
    </row>
    <row r="156" spans="1:26" s="20" customFormat="1" ht="50.1" customHeight="1" x14ac:dyDescent="0.25">
      <c r="A156" s="27"/>
      <c r="B156" s="27"/>
      <c r="C156" s="25">
        <v>509</v>
      </c>
      <c r="D156" s="16" t="s">
        <v>290</v>
      </c>
      <c r="E156" s="17" t="s">
        <v>162</v>
      </c>
      <c r="F156" s="18" t="s">
        <v>13</v>
      </c>
      <c r="G156" s="16">
        <v>500</v>
      </c>
      <c r="H156" s="16">
        <v>138</v>
      </c>
      <c r="I156" s="16">
        <v>21</v>
      </c>
      <c r="J156" s="16">
        <v>1.24</v>
      </c>
      <c r="K156" s="94">
        <v>577</v>
      </c>
      <c r="L156" s="75">
        <f>K156/1.2</f>
        <v>480.83333333333337</v>
      </c>
      <c r="M156" s="76">
        <v>0.55000000000000004</v>
      </c>
      <c r="N156" s="77">
        <f>K156-(K156*M156)</f>
        <v>259.64999999999998</v>
      </c>
      <c r="O156" s="77">
        <f>N156/1.2</f>
        <v>216.375</v>
      </c>
    </row>
    <row r="157" spans="1:26" s="12" customFormat="1" ht="15.75" customHeight="1" x14ac:dyDescent="0.25">
      <c r="A157" s="88" t="s">
        <v>358</v>
      </c>
      <c r="B157" s="89"/>
      <c r="C157" s="90"/>
      <c r="D157" s="89"/>
      <c r="E157" s="91"/>
      <c r="F157" s="89"/>
      <c r="G157" s="89"/>
      <c r="H157" s="89"/>
      <c r="I157" s="89"/>
      <c r="J157" s="89"/>
      <c r="K157" s="84"/>
      <c r="L157" s="85"/>
      <c r="M157" s="137"/>
      <c r="N157" s="138"/>
      <c r="O157" s="138"/>
    </row>
    <row r="158" spans="1:26" s="12" customFormat="1" ht="50.1" customHeight="1" x14ac:dyDescent="0.25">
      <c r="A158" s="14"/>
      <c r="B158" s="14"/>
      <c r="C158" s="25">
        <v>106</v>
      </c>
      <c r="D158" s="16" t="s">
        <v>48</v>
      </c>
      <c r="E158" s="17" t="s">
        <v>359</v>
      </c>
      <c r="F158" s="18" t="s">
        <v>288</v>
      </c>
      <c r="G158" s="16"/>
      <c r="H158" s="16"/>
      <c r="I158" s="16"/>
      <c r="J158" s="16"/>
      <c r="K158" s="94">
        <v>43.89</v>
      </c>
      <c r="L158" s="75">
        <f>K158/1.2</f>
        <v>36.575000000000003</v>
      </c>
      <c r="M158" s="76">
        <v>0.4</v>
      </c>
      <c r="N158" s="77">
        <f>K158-(K158*M158)</f>
        <v>26.334</v>
      </c>
      <c r="O158" s="77">
        <f>N158/1.2</f>
        <v>21.945</v>
      </c>
    </row>
    <row r="159" spans="1:26" s="12" customFormat="1" ht="15.75" customHeight="1" x14ac:dyDescent="0.25">
      <c r="A159" s="80" t="s">
        <v>360</v>
      </c>
      <c r="B159" s="81"/>
      <c r="C159" s="82"/>
      <c r="D159" s="81"/>
      <c r="E159" s="83"/>
      <c r="F159" s="81"/>
      <c r="G159" s="81"/>
      <c r="H159" s="81"/>
      <c r="I159" s="81"/>
      <c r="J159" s="81"/>
      <c r="K159" s="84"/>
      <c r="L159" s="85"/>
      <c r="M159" s="146"/>
      <c r="N159" s="147"/>
      <c r="O159" s="147"/>
    </row>
    <row r="160" spans="1:26" s="20" customFormat="1" ht="50.1" customHeight="1" x14ac:dyDescent="0.25">
      <c r="A160" s="74"/>
      <c r="B160" s="74"/>
      <c r="C160" s="15" t="s">
        <v>163</v>
      </c>
      <c r="D160" s="16" t="s">
        <v>361</v>
      </c>
      <c r="E160" s="17" t="s">
        <v>164</v>
      </c>
      <c r="F160" s="18" t="s">
        <v>13</v>
      </c>
      <c r="G160" s="16">
        <v>1000</v>
      </c>
      <c r="H160" s="16">
        <v>149</v>
      </c>
      <c r="I160" s="16">
        <v>81.5</v>
      </c>
      <c r="J160" s="16">
        <v>3</v>
      </c>
      <c r="K160" s="75">
        <v>1338.52</v>
      </c>
      <c r="L160" s="75">
        <f t="shared" ref="L160:L165" si="50">K160/1.2</f>
        <v>1115.4333333333334</v>
      </c>
      <c r="M160" s="76">
        <v>0.4</v>
      </c>
      <c r="N160" s="77">
        <f t="shared" ref="N160:N165" si="51">K160-(K160*M160)</f>
        <v>803.11199999999997</v>
      </c>
      <c r="O160" s="77">
        <f t="shared" ref="O160:O165" si="52">N160/1.2</f>
        <v>669.26</v>
      </c>
    </row>
    <row r="161" spans="1:26" s="20" customFormat="1" ht="50.1" customHeight="1" x14ac:dyDescent="0.25">
      <c r="A161" s="74"/>
      <c r="B161" s="74"/>
      <c r="C161" s="15" t="s">
        <v>165</v>
      </c>
      <c r="D161" s="16" t="s">
        <v>361</v>
      </c>
      <c r="E161" s="17" t="s">
        <v>166</v>
      </c>
      <c r="F161" s="18" t="s">
        <v>13</v>
      </c>
      <c r="G161" s="16">
        <v>1000</v>
      </c>
      <c r="H161" s="16">
        <v>149</v>
      </c>
      <c r="I161" s="16">
        <v>98.5</v>
      </c>
      <c r="J161" s="16">
        <v>3.2</v>
      </c>
      <c r="K161" s="73">
        <v>1402.3899999999999</v>
      </c>
      <c r="L161" s="75">
        <f t="shared" si="50"/>
        <v>1168.6583333333333</v>
      </c>
      <c r="M161" s="76">
        <v>0.4</v>
      </c>
      <c r="N161" s="77">
        <f t="shared" si="51"/>
        <v>841.43399999999986</v>
      </c>
      <c r="O161" s="77">
        <f t="shared" si="52"/>
        <v>701.19499999999994</v>
      </c>
    </row>
    <row r="162" spans="1:26" s="20" customFormat="1" ht="50.1" customHeight="1" x14ac:dyDescent="0.25">
      <c r="A162" s="74"/>
      <c r="B162" s="74"/>
      <c r="C162" s="15" t="s">
        <v>167</v>
      </c>
      <c r="D162" s="16" t="s">
        <v>361</v>
      </c>
      <c r="E162" s="17" t="s">
        <v>168</v>
      </c>
      <c r="F162" s="18" t="s">
        <v>13</v>
      </c>
      <c r="G162" s="16">
        <v>1000</v>
      </c>
      <c r="H162" s="16">
        <v>149</v>
      </c>
      <c r="I162" s="16">
        <v>118.5</v>
      </c>
      <c r="J162" s="16">
        <v>3.32</v>
      </c>
      <c r="K162" s="73">
        <v>1431.44</v>
      </c>
      <c r="L162" s="75">
        <f t="shared" si="50"/>
        <v>1192.8666666666668</v>
      </c>
      <c r="M162" s="76">
        <v>0.4</v>
      </c>
      <c r="N162" s="77">
        <f t="shared" si="51"/>
        <v>858.86400000000003</v>
      </c>
      <c r="O162" s="77">
        <f t="shared" si="52"/>
        <v>715.72</v>
      </c>
    </row>
    <row r="163" spans="1:26" s="20" customFormat="1" ht="50.1" customHeight="1" x14ac:dyDescent="0.25">
      <c r="A163" s="74"/>
      <c r="B163" s="74"/>
      <c r="C163" s="15" t="s">
        <v>169</v>
      </c>
      <c r="D163" s="16" t="s">
        <v>361</v>
      </c>
      <c r="E163" s="17" t="s">
        <v>170</v>
      </c>
      <c r="F163" s="18" t="s">
        <v>13</v>
      </c>
      <c r="G163" s="16">
        <v>1000</v>
      </c>
      <c r="H163" s="16">
        <v>149</v>
      </c>
      <c r="I163" s="16">
        <v>138.5</v>
      </c>
      <c r="J163" s="16">
        <v>3.46</v>
      </c>
      <c r="K163" s="73">
        <v>1576.63</v>
      </c>
      <c r="L163" s="75">
        <f t="shared" si="50"/>
        <v>1313.8583333333336</v>
      </c>
      <c r="M163" s="76">
        <v>0.4</v>
      </c>
      <c r="N163" s="77">
        <f t="shared" si="51"/>
        <v>945.97800000000007</v>
      </c>
      <c r="O163" s="77">
        <f t="shared" si="52"/>
        <v>788.31500000000005</v>
      </c>
    </row>
    <row r="164" spans="1:26" s="20" customFormat="1" ht="50.1" customHeight="1" x14ac:dyDescent="0.25">
      <c r="A164" s="74"/>
      <c r="B164" s="74"/>
      <c r="C164" s="15" t="s">
        <v>171</v>
      </c>
      <c r="D164" s="16" t="s">
        <v>361</v>
      </c>
      <c r="E164" s="17" t="s">
        <v>172</v>
      </c>
      <c r="F164" s="18" t="s">
        <v>13</v>
      </c>
      <c r="G164" s="16">
        <v>1000</v>
      </c>
      <c r="H164" s="16">
        <v>149</v>
      </c>
      <c r="I164" s="16">
        <v>153.5</v>
      </c>
      <c r="J164" s="16">
        <v>3.59</v>
      </c>
      <c r="K164" s="73">
        <v>1613.2750000000001</v>
      </c>
      <c r="L164" s="75">
        <f t="shared" si="50"/>
        <v>1344.3958333333335</v>
      </c>
      <c r="M164" s="76">
        <v>0.45</v>
      </c>
      <c r="N164" s="77">
        <f t="shared" si="51"/>
        <v>887.30124999999998</v>
      </c>
      <c r="O164" s="77">
        <f t="shared" si="52"/>
        <v>739.41770833333339</v>
      </c>
    </row>
    <row r="165" spans="1:26" s="20" customFormat="1" ht="50.1" customHeight="1" x14ac:dyDescent="0.25">
      <c r="A165" s="74"/>
      <c r="B165" s="74"/>
      <c r="C165" s="15" t="s">
        <v>173</v>
      </c>
      <c r="D165" s="16" t="s">
        <v>361</v>
      </c>
      <c r="E165" s="17" t="s">
        <v>174</v>
      </c>
      <c r="F165" s="18" t="s">
        <v>13</v>
      </c>
      <c r="G165" s="16">
        <v>1000</v>
      </c>
      <c r="H165" s="16">
        <v>149</v>
      </c>
      <c r="I165" s="16">
        <v>203.5</v>
      </c>
      <c r="J165" s="16">
        <v>4.07</v>
      </c>
      <c r="K165" s="79">
        <v>1749.6</v>
      </c>
      <c r="L165" s="75">
        <f t="shared" si="50"/>
        <v>1458</v>
      </c>
      <c r="M165" s="76">
        <v>0.45</v>
      </c>
      <c r="N165" s="77">
        <f t="shared" si="51"/>
        <v>962.28</v>
      </c>
      <c r="O165" s="77">
        <f t="shared" si="52"/>
        <v>801.9</v>
      </c>
    </row>
    <row r="166" spans="1:26" s="12" customFormat="1" ht="15.75" customHeight="1" x14ac:dyDescent="0.25">
      <c r="A166" s="80" t="s">
        <v>362</v>
      </c>
      <c r="B166" s="81"/>
      <c r="C166" s="82"/>
      <c r="D166" s="81"/>
      <c r="E166" s="83"/>
      <c r="F166" s="81"/>
      <c r="G166" s="81"/>
      <c r="H166" s="81"/>
      <c r="I166" s="81"/>
      <c r="J166" s="81"/>
      <c r="K166" s="84"/>
      <c r="L166" s="85"/>
      <c r="M166" s="146"/>
      <c r="N166" s="147"/>
      <c r="O166" s="147"/>
    </row>
    <row r="167" spans="1:26" s="13" customFormat="1" ht="50.1" customHeight="1" x14ac:dyDescent="0.25">
      <c r="A167" s="74"/>
      <c r="B167" s="74"/>
      <c r="C167" s="15" t="s">
        <v>175</v>
      </c>
      <c r="D167" s="16" t="s">
        <v>361</v>
      </c>
      <c r="E167" s="17" t="s">
        <v>176</v>
      </c>
      <c r="F167" s="18" t="s">
        <v>13</v>
      </c>
      <c r="G167" s="16">
        <v>500</v>
      </c>
      <c r="H167" s="16">
        <v>160</v>
      </c>
      <c r="I167" s="16">
        <v>438</v>
      </c>
      <c r="J167" s="16">
        <v>3.75</v>
      </c>
      <c r="K167" s="94">
        <v>3223.36</v>
      </c>
      <c r="L167" s="75">
        <f>K167/1.2</f>
        <v>2686.1333333333337</v>
      </c>
      <c r="M167" s="76">
        <v>0.5</v>
      </c>
      <c r="N167" s="77">
        <f>K167-(K167*M167)</f>
        <v>1611.68</v>
      </c>
      <c r="O167" s="77">
        <f>N167/1.2</f>
        <v>1343.0666666666668</v>
      </c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s="12" customFormat="1" ht="15.75" customHeight="1" x14ac:dyDescent="0.25">
      <c r="A168" s="80" t="s">
        <v>363</v>
      </c>
      <c r="B168" s="81"/>
      <c r="C168" s="82"/>
      <c r="D168" s="81"/>
      <c r="E168" s="83"/>
      <c r="F168" s="81"/>
      <c r="G168" s="81"/>
      <c r="H168" s="81"/>
      <c r="I168" s="81"/>
      <c r="J168" s="81"/>
      <c r="K168" s="84"/>
      <c r="L168" s="85"/>
      <c r="M168" s="137"/>
      <c r="N168" s="138"/>
      <c r="O168" s="138"/>
    </row>
    <row r="169" spans="1:26" s="20" customFormat="1" ht="50.1" customHeight="1" x14ac:dyDescent="0.25">
      <c r="A169" s="27"/>
      <c r="B169" s="27"/>
      <c r="C169" s="25">
        <v>509</v>
      </c>
      <c r="D169" s="16" t="s">
        <v>290</v>
      </c>
      <c r="E169" s="17" t="s">
        <v>162</v>
      </c>
      <c r="F169" s="18" t="s">
        <v>13</v>
      </c>
      <c r="G169" s="16">
        <v>500</v>
      </c>
      <c r="H169" s="16">
        <v>138</v>
      </c>
      <c r="I169" s="16">
        <v>21</v>
      </c>
      <c r="J169" s="16">
        <v>1.24</v>
      </c>
      <c r="K169" s="75">
        <v>577</v>
      </c>
      <c r="L169" s="75">
        <f t="shared" ref="L169:L171" si="53">K169/1.2</f>
        <v>480.83333333333337</v>
      </c>
      <c r="M169" s="76">
        <v>0.55000000000000004</v>
      </c>
      <c r="N169" s="77">
        <f>K169-(K169*M169)</f>
        <v>259.64999999999998</v>
      </c>
      <c r="O169" s="77">
        <f t="shared" ref="O169:O171" si="54">N169/1.2</f>
        <v>216.375</v>
      </c>
    </row>
    <row r="170" spans="1:26" s="20" customFormat="1" ht="50.1" customHeight="1" x14ac:dyDescent="0.25">
      <c r="A170" s="27"/>
      <c r="B170" s="27"/>
      <c r="C170" s="25" t="s">
        <v>177</v>
      </c>
      <c r="D170" s="16" t="s">
        <v>364</v>
      </c>
      <c r="E170" s="17" t="s">
        <v>178</v>
      </c>
      <c r="F170" s="18" t="s">
        <v>13</v>
      </c>
      <c r="G170" s="16">
        <v>500</v>
      </c>
      <c r="H170" s="16">
        <v>140</v>
      </c>
      <c r="I170" s="16">
        <v>21</v>
      </c>
      <c r="J170" s="16">
        <v>4.45</v>
      </c>
      <c r="K170" s="73">
        <v>1116.1500000000001</v>
      </c>
      <c r="L170" s="75">
        <f t="shared" si="53"/>
        <v>930.12500000000011</v>
      </c>
      <c r="M170" s="76">
        <v>0.5</v>
      </c>
      <c r="N170" s="77">
        <f>K170-(K170*M170)</f>
        <v>558.07500000000005</v>
      </c>
      <c r="O170" s="77">
        <f t="shared" si="54"/>
        <v>465.06250000000006</v>
      </c>
    </row>
    <row r="171" spans="1:26" s="20" customFormat="1" ht="50.1" customHeight="1" x14ac:dyDescent="0.25">
      <c r="A171" s="27"/>
      <c r="B171" s="27"/>
      <c r="C171" s="25" t="s">
        <v>179</v>
      </c>
      <c r="D171" s="16" t="s">
        <v>361</v>
      </c>
      <c r="E171" s="17" t="s">
        <v>180</v>
      </c>
      <c r="F171" s="18" t="s">
        <v>13</v>
      </c>
      <c r="G171" s="16">
        <v>500</v>
      </c>
      <c r="H171" s="16">
        <v>140</v>
      </c>
      <c r="I171" s="16">
        <v>21</v>
      </c>
      <c r="J171" s="16">
        <v>4.4000000000000004</v>
      </c>
      <c r="K171" s="79">
        <v>1410.15</v>
      </c>
      <c r="L171" s="75">
        <f t="shared" si="53"/>
        <v>1175.1250000000002</v>
      </c>
      <c r="M171" s="76">
        <v>0.5</v>
      </c>
      <c r="N171" s="77">
        <f>K171-(K171*M171)</f>
        <v>705.07500000000005</v>
      </c>
      <c r="O171" s="77">
        <f t="shared" si="54"/>
        <v>587.56250000000011</v>
      </c>
    </row>
    <row r="172" spans="1:26" s="12" customFormat="1" ht="15.75" customHeight="1" x14ac:dyDescent="0.25">
      <c r="A172" s="88" t="s">
        <v>365</v>
      </c>
      <c r="B172" s="89"/>
      <c r="C172" s="90"/>
      <c r="D172" s="89"/>
      <c r="E172" s="91"/>
      <c r="F172" s="89"/>
      <c r="G172" s="89"/>
      <c r="H172" s="89"/>
      <c r="I172" s="89"/>
      <c r="J172" s="89"/>
      <c r="K172" s="84"/>
      <c r="L172" s="85"/>
      <c r="M172" s="146"/>
      <c r="N172" s="147"/>
      <c r="O172" s="147"/>
    </row>
    <row r="173" spans="1:26" s="13" customFormat="1" ht="50.1" customHeight="1" x14ac:dyDescent="0.25">
      <c r="A173" s="38"/>
      <c r="B173" s="38"/>
      <c r="C173" s="25">
        <v>106</v>
      </c>
      <c r="D173" s="16" t="s">
        <v>48</v>
      </c>
      <c r="E173" s="17" t="s">
        <v>359</v>
      </c>
      <c r="F173" s="18" t="s">
        <v>288</v>
      </c>
      <c r="G173" s="16"/>
      <c r="H173" s="16"/>
      <c r="I173" s="16"/>
      <c r="J173" s="16"/>
      <c r="K173" s="94">
        <v>43.89</v>
      </c>
      <c r="L173" s="75">
        <f>K173/1.2</f>
        <v>36.575000000000003</v>
      </c>
      <c r="M173" s="76">
        <v>0.4</v>
      </c>
      <c r="N173" s="77">
        <f>K173-(K173*M173)</f>
        <v>26.334</v>
      </c>
      <c r="O173" s="77">
        <f>N173/1.2</f>
        <v>21.945</v>
      </c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s="12" customFormat="1" ht="15.75" customHeight="1" x14ac:dyDescent="0.25">
      <c r="A174" s="80" t="s">
        <v>366</v>
      </c>
      <c r="B174" s="81"/>
      <c r="C174" s="148"/>
      <c r="D174" s="149"/>
      <c r="E174" s="83"/>
      <c r="F174" s="149"/>
      <c r="G174" s="149"/>
      <c r="H174" s="149"/>
      <c r="I174" s="149"/>
      <c r="J174" s="149"/>
      <c r="K174" s="150"/>
      <c r="L174" s="151"/>
      <c r="M174" s="137"/>
      <c r="N174" s="138"/>
      <c r="O174" s="138"/>
    </row>
    <row r="175" spans="1:26" s="12" customFormat="1" ht="15.75" customHeight="1" x14ac:dyDescent="0.25">
      <c r="A175" s="88" t="s">
        <v>367</v>
      </c>
      <c r="B175" s="88"/>
      <c r="C175" s="140"/>
      <c r="D175" s="88"/>
      <c r="E175" s="141"/>
      <c r="F175" s="88"/>
      <c r="G175" s="88"/>
      <c r="H175" s="88"/>
      <c r="I175" s="88"/>
      <c r="J175" s="88"/>
      <c r="K175" s="84"/>
      <c r="L175" s="84"/>
      <c r="M175" s="144"/>
      <c r="N175" s="145"/>
      <c r="O175" s="145"/>
    </row>
    <row r="176" spans="1:26" s="20" customFormat="1" ht="50.1" customHeight="1" x14ac:dyDescent="0.25">
      <c r="A176" s="27"/>
      <c r="B176" s="27"/>
      <c r="C176" s="25">
        <v>815</v>
      </c>
      <c r="D176" s="16" t="s">
        <v>290</v>
      </c>
      <c r="E176" s="17" t="s">
        <v>181</v>
      </c>
      <c r="F176" s="18" t="s">
        <v>123</v>
      </c>
      <c r="G176" s="19">
        <v>1000</v>
      </c>
      <c r="H176" s="16">
        <v>196</v>
      </c>
      <c r="I176" s="16">
        <v>100</v>
      </c>
      <c r="J176" s="16">
        <v>1.59</v>
      </c>
      <c r="K176" s="75">
        <v>796</v>
      </c>
      <c r="L176" s="75">
        <f t="shared" ref="L176:L177" si="55">K176/1.2</f>
        <v>663.33333333333337</v>
      </c>
      <c r="M176" s="76">
        <v>0.55000000000000004</v>
      </c>
      <c r="N176" s="77">
        <f>K176-(K176*M176)</f>
        <v>358.2</v>
      </c>
      <c r="O176" s="77">
        <f t="shared" ref="O176:O177" si="56">N176/1.2</f>
        <v>298.5</v>
      </c>
    </row>
    <row r="177" spans="1:26" s="51" customFormat="1" ht="50.1" customHeight="1" x14ac:dyDescent="0.25">
      <c r="A177" s="27"/>
      <c r="B177" s="27"/>
      <c r="C177" s="25">
        <v>816</v>
      </c>
      <c r="D177" s="16" t="s">
        <v>290</v>
      </c>
      <c r="E177" s="17" t="s">
        <v>182</v>
      </c>
      <c r="F177" s="18" t="s">
        <v>123</v>
      </c>
      <c r="G177" s="19">
        <v>1000</v>
      </c>
      <c r="H177" s="16">
        <v>196</v>
      </c>
      <c r="I177" s="16">
        <v>185</v>
      </c>
      <c r="J177" s="16">
        <v>2.41</v>
      </c>
      <c r="K177" s="79">
        <v>897</v>
      </c>
      <c r="L177" s="75">
        <f t="shared" si="55"/>
        <v>747.5</v>
      </c>
      <c r="M177" s="76">
        <v>0.55000000000000004</v>
      </c>
      <c r="N177" s="77">
        <f>K177-(K177*M177)</f>
        <v>403.65</v>
      </c>
      <c r="O177" s="77">
        <f t="shared" si="56"/>
        <v>336.375</v>
      </c>
    </row>
    <row r="178" spans="1:26" s="152" customFormat="1" ht="15.75" customHeight="1" x14ac:dyDescent="0.25">
      <c r="A178" s="88" t="s">
        <v>368</v>
      </c>
      <c r="B178" s="89"/>
      <c r="C178" s="90"/>
      <c r="D178" s="89"/>
      <c r="E178" s="91"/>
      <c r="F178" s="89"/>
      <c r="G178" s="89"/>
      <c r="H178" s="89"/>
      <c r="I178" s="89"/>
      <c r="J178" s="89"/>
      <c r="K178" s="84"/>
      <c r="L178" s="85"/>
      <c r="M178" s="137"/>
      <c r="N178" s="138"/>
      <c r="O178" s="138"/>
    </row>
    <row r="179" spans="1:26" s="20" customFormat="1" ht="50.1" customHeight="1" x14ac:dyDescent="0.25">
      <c r="A179" s="27"/>
      <c r="B179" s="27"/>
      <c r="C179" s="25">
        <v>8154</v>
      </c>
      <c r="D179" s="16" t="s">
        <v>290</v>
      </c>
      <c r="E179" s="17" t="s">
        <v>183</v>
      </c>
      <c r="F179" s="18" t="s">
        <v>123</v>
      </c>
      <c r="G179" s="19">
        <v>1000</v>
      </c>
      <c r="H179" s="16">
        <v>198</v>
      </c>
      <c r="I179" s="16">
        <v>102</v>
      </c>
      <c r="J179" s="16">
        <v>2.77</v>
      </c>
      <c r="K179" s="75">
        <v>1351.38</v>
      </c>
      <c r="L179" s="75">
        <f t="shared" ref="L179:L180" si="57">K179/1.2</f>
        <v>1126.1500000000001</v>
      </c>
      <c r="M179" s="76">
        <v>0.55000000000000004</v>
      </c>
      <c r="N179" s="77">
        <f>K179-(K179*M179)</f>
        <v>608.12099999999998</v>
      </c>
      <c r="O179" s="77">
        <f t="shared" ref="O179:O180" si="58">N179/1.2</f>
        <v>506.76749999999998</v>
      </c>
    </row>
    <row r="180" spans="1:26" s="20" customFormat="1" ht="50.1" customHeight="1" x14ac:dyDescent="0.25">
      <c r="A180" s="27"/>
      <c r="B180" s="27"/>
      <c r="C180" s="25">
        <v>8164</v>
      </c>
      <c r="D180" s="16" t="s">
        <v>290</v>
      </c>
      <c r="E180" s="17" t="s">
        <v>184</v>
      </c>
      <c r="F180" s="18" t="s">
        <v>123</v>
      </c>
      <c r="G180" s="19">
        <v>1000</v>
      </c>
      <c r="H180" s="16">
        <v>198</v>
      </c>
      <c r="I180" s="16">
        <v>187</v>
      </c>
      <c r="J180" s="16">
        <v>3.6</v>
      </c>
      <c r="K180" s="79">
        <v>1445.4</v>
      </c>
      <c r="L180" s="75">
        <f t="shared" si="57"/>
        <v>1204.5000000000002</v>
      </c>
      <c r="M180" s="76">
        <v>0.55000000000000004</v>
      </c>
      <c r="N180" s="77">
        <f>K180-(K180*M180)</f>
        <v>650.42999999999995</v>
      </c>
      <c r="O180" s="77">
        <f t="shared" si="58"/>
        <v>542.02499999999998</v>
      </c>
    </row>
    <row r="181" spans="1:26" s="12" customFormat="1" ht="15.75" customHeight="1" x14ac:dyDescent="0.25">
      <c r="A181" s="88" t="s">
        <v>369</v>
      </c>
      <c r="B181" s="89"/>
      <c r="C181" s="90"/>
      <c r="D181" s="89"/>
      <c r="E181" s="91"/>
      <c r="F181" s="89"/>
      <c r="G181" s="89"/>
      <c r="H181" s="89"/>
      <c r="I181" s="89"/>
      <c r="J181" s="89"/>
      <c r="K181" s="84"/>
      <c r="L181" s="85"/>
      <c r="M181" s="137"/>
      <c r="N181" s="138"/>
      <c r="O181" s="138"/>
    </row>
    <row r="182" spans="1:26" s="12" customFormat="1" ht="50.1" customHeight="1" x14ac:dyDescent="0.25">
      <c r="A182" s="153"/>
      <c r="B182" s="153"/>
      <c r="C182" s="25">
        <v>118</v>
      </c>
      <c r="D182" s="16" t="s">
        <v>48</v>
      </c>
      <c r="E182" s="17" t="s">
        <v>370</v>
      </c>
      <c r="F182" s="18" t="s">
        <v>123</v>
      </c>
      <c r="G182" s="16">
        <v>176</v>
      </c>
      <c r="H182" s="16">
        <v>28</v>
      </c>
      <c r="I182" s="16">
        <v>15</v>
      </c>
      <c r="J182" s="16">
        <v>0.06</v>
      </c>
      <c r="K182" s="75">
        <v>110.21</v>
      </c>
      <c r="L182" s="75">
        <f t="shared" ref="L182:L184" si="59">K182/1.2</f>
        <v>91.841666666666669</v>
      </c>
      <c r="M182" s="76">
        <v>0.55000000000000004</v>
      </c>
      <c r="N182" s="77">
        <f>K182-(K182*M182)</f>
        <v>49.594499999999989</v>
      </c>
      <c r="O182" s="77">
        <f t="shared" ref="O182:O184" si="60">N182/1.2</f>
        <v>41.328749999999992</v>
      </c>
    </row>
    <row r="183" spans="1:26" s="13" customFormat="1" ht="50.1" customHeight="1" x14ac:dyDescent="0.25">
      <c r="A183" s="74"/>
      <c r="B183" s="74"/>
      <c r="C183" s="25" t="s">
        <v>371</v>
      </c>
      <c r="D183" s="16"/>
      <c r="E183" s="17" t="s">
        <v>372</v>
      </c>
      <c r="F183" s="18" t="s">
        <v>123</v>
      </c>
      <c r="G183" s="16">
        <v>176</v>
      </c>
      <c r="H183" s="16">
        <v>28</v>
      </c>
      <c r="I183" s="16">
        <v>15</v>
      </c>
      <c r="J183" s="16">
        <v>0.12</v>
      </c>
      <c r="K183" s="73">
        <v>171.95489999999998</v>
      </c>
      <c r="L183" s="75">
        <f t="shared" si="59"/>
        <v>143.29575</v>
      </c>
      <c r="M183" s="76">
        <v>0.5</v>
      </c>
      <c r="N183" s="77">
        <f>K183-(K183*M183)</f>
        <v>85.97744999999999</v>
      </c>
      <c r="O183" s="77">
        <f t="shared" si="60"/>
        <v>71.647874999999999</v>
      </c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s="12" customFormat="1" ht="50.1" customHeight="1" x14ac:dyDescent="0.25">
      <c r="A184" s="14"/>
      <c r="B184" s="14"/>
      <c r="C184" s="25">
        <v>18151</v>
      </c>
      <c r="D184" s="16" t="s">
        <v>48</v>
      </c>
      <c r="E184" s="17" t="s">
        <v>373</v>
      </c>
      <c r="F184" s="18" t="s">
        <v>123</v>
      </c>
      <c r="G184" s="16">
        <v>202</v>
      </c>
      <c r="H184" s="16">
        <v>4</v>
      </c>
      <c r="I184" s="16">
        <v>235</v>
      </c>
      <c r="J184" s="16">
        <v>0.17</v>
      </c>
      <c r="K184" s="79">
        <v>185.85</v>
      </c>
      <c r="L184" s="75">
        <f t="shared" si="59"/>
        <v>154.875</v>
      </c>
      <c r="M184" s="76">
        <v>0.55000000000000004</v>
      </c>
      <c r="N184" s="77">
        <f>K184-(K184*M184)</f>
        <v>83.632499999999993</v>
      </c>
      <c r="O184" s="77">
        <f t="shared" si="60"/>
        <v>69.693749999999994</v>
      </c>
    </row>
    <row r="185" spans="1:26" s="12" customFormat="1" ht="15.75" customHeight="1" x14ac:dyDescent="0.25">
      <c r="A185" s="80" t="s">
        <v>374</v>
      </c>
      <c r="B185" s="81"/>
      <c r="C185" s="82"/>
      <c r="D185" s="81"/>
      <c r="E185" s="83"/>
      <c r="F185" s="81"/>
      <c r="G185" s="81"/>
      <c r="H185" s="81"/>
      <c r="I185" s="81"/>
      <c r="J185" s="81"/>
      <c r="K185" s="84"/>
      <c r="L185" s="85"/>
      <c r="M185" s="137"/>
      <c r="N185" s="138"/>
      <c r="O185" s="138"/>
    </row>
    <row r="186" spans="1:26" s="20" customFormat="1" ht="50.1" customHeight="1" x14ac:dyDescent="0.25">
      <c r="A186" s="74"/>
      <c r="B186" s="74"/>
      <c r="C186" s="25">
        <v>518</v>
      </c>
      <c r="D186" s="16" t="s">
        <v>271</v>
      </c>
      <c r="E186" s="17" t="s">
        <v>185</v>
      </c>
      <c r="F186" s="18" t="s">
        <v>123</v>
      </c>
      <c r="G186" s="16">
        <v>1000</v>
      </c>
      <c r="H186" s="16">
        <v>186</v>
      </c>
      <c r="I186" s="16">
        <v>15</v>
      </c>
      <c r="J186" s="16">
        <v>2.9</v>
      </c>
      <c r="K186" s="75">
        <v>1384.68</v>
      </c>
      <c r="L186" s="75">
        <f t="shared" ref="L186:L189" si="61">K186/1.2</f>
        <v>1153.9000000000001</v>
      </c>
      <c r="M186" s="76">
        <v>0.55000000000000004</v>
      </c>
      <c r="N186" s="77">
        <f>K186-(K186*M186)</f>
        <v>623.10599999999999</v>
      </c>
      <c r="O186" s="77">
        <f t="shared" ref="O186:O189" si="62">N186/1.2</f>
        <v>519.255</v>
      </c>
    </row>
    <row r="187" spans="1:26" s="20" customFormat="1" ht="50.1" customHeight="1" x14ac:dyDescent="0.25">
      <c r="A187" s="74"/>
      <c r="B187" s="74"/>
      <c r="C187" s="25">
        <v>511</v>
      </c>
      <c r="D187" s="16" t="s">
        <v>275</v>
      </c>
      <c r="E187" s="17" t="s">
        <v>186</v>
      </c>
      <c r="F187" s="18" t="s">
        <v>123</v>
      </c>
      <c r="G187" s="16">
        <v>1000</v>
      </c>
      <c r="H187" s="16">
        <v>187</v>
      </c>
      <c r="I187" s="16">
        <v>22</v>
      </c>
      <c r="J187" s="16">
        <v>4.8</v>
      </c>
      <c r="K187" s="73">
        <v>2997.0236999999997</v>
      </c>
      <c r="L187" s="75">
        <f t="shared" si="61"/>
        <v>2497.5197499999999</v>
      </c>
      <c r="M187" s="76">
        <v>0.55000000000000004</v>
      </c>
      <c r="N187" s="77">
        <f>K187-(K187*M187)</f>
        <v>1348.6606649999997</v>
      </c>
      <c r="O187" s="77">
        <f t="shared" si="62"/>
        <v>1123.8838874999997</v>
      </c>
    </row>
    <row r="188" spans="1:26" s="20" customFormat="1" ht="50.1" customHeight="1" x14ac:dyDescent="0.25">
      <c r="A188" s="27"/>
      <c r="B188" s="27"/>
      <c r="C188" s="25">
        <v>516</v>
      </c>
      <c r="D188" s="16" t="s">
        <v>290</v>
      </c>
      <c r="E188" s="17" t="s">
        <v>187</v>
      </c>
      <c r="F188" s="18" t="s">
        <v>123</v>
      </c>
      <c r="G188" s="16">
        <v>500</v>
      </c>
      <c r="H188" s="16">
        <v>186</v>
      </c>
      <c r="I188" s="16">
        <v>23</v>
      </c>
      <c r="J188" s="16">
        <v>3.54</v>
      </c>
      <c r="K188" s="73">
        <v>1457.4</v>
      </c>
      <c r="L188" s="75">
        <f t="shared" si="61"/>
        <v>1214.5000000000002</v>
      </c>
      <c r="M188" s="76">
        <v>0.55000000000000004</v>
      </c>
      <c r="N188" s="77">
        <f>K188-(K188*M188)</f>
        <v>655.82999999999993</v>
      </c>
      <c r="O188" s="77">
        <f t="shared" si="62"/>
        <v>546.52499999999998</v>
      </c>
    </row>
    <row r="189" spans="1:26" s="20" customFormat="1" ht="50.1" customHeight="1" x14ac:dyDescent="0.25">
      <c r="A189" s="27"/>
      <c r="B189" s="27"/>
      <c r="C189" s="25">
        <v>517</v>
      </c>
      <c r="D189" s="16" t="s">
        <v>290</v>
      </c>
      <c r="E189" s="17" t="s">
        <v>188</v>
      </c>
      <c r="F189" s="18" t="s">
        <v>123</v>
      </c>
      <c r="G189" s="16">
        <v>500</v>
      </c>
      <c r="H189" s="16">
        <v>186</v>
      </c>
      <c r="I189" s="16">
        <v>23</v>
      </c>
      <c r="J189" s="16">
        <v>3.9</v>
      </c>
      <c r="K189" s="79">
        <v>1457.4</v>
      </c>
      <c r="L189" s="75">
        <f t="shared" si="61"/>
        <v>1214.5000000000002</v>
      </c>
      <c r="M189" s="76">
        <v>0.55000000000000004</v>
      </c>
      <c r="N189" s="77">
        <f>K189-(K189*M189)</f>
        <v>655.82999999999993</v>
      </c>
      <c r="O189" s="77">
        <f t="shared" si="62"/>
        <v>546.52499999999998</v>
      </c>
    </row>
    <row r="190" spans="1:26" s="12" customFormat="1" ht="15.75" customHeight="1" x14ac:dyDescent="0.25">
      <c r="A190" s="80" t="s">
        <v>375</v>
      </c>
      <c r="B190" s="81"/>
      <c r="C190" s="82"/>
      <c r="D190" s="81"/>
      <c r="E190" s="83"/>
      <c r="F190" s="81"/>
      <c r="G190" s="81"/>
      <c r="H190" s="81"/>
      <c r="I190" s="81"/>
      <c r="J190" s="81"/>
      <c r="K190" s="150"/>
      <c r="L190" s="151"/>
      <c r="M190" s="137"/>
      <c r="N190" s="138"/>
      <c r="O190" s="138"/>
    </row>
    <row r="191" spans="1:26" s="20" customFormat="1" ht="50.1" customHeight="1" collapsed="1" x14ac:dyDescent="0.25">
      <c r="A191" s="27"/>
      <c r="B191" s="27"/>
      <c r="C191" s="25" t="s">
        <v>189</v>
      </c>
      <c r="D191" s="16" t="s">
        <v>290</v>
      </c>
      <c r="E191" s="17" t="s">
        <v>190</v>
      </c>
      <c r="F191" s="18" t="s">
        <v>123</v>
      </c>
      <c r="G191" s="19">
        <v>1000</v>
      </c>
      <c r="H191" s="16">
        <v>196</v>
      </c>
      <c r="I191" s="16">
        <v>117</v>
      </c>
      <c r="J191" s="16">
        <v>1.86</v>
      </c>
      <c r="K191" s="106">
        <v>1052</v>
      </c>
      <c r="L191" s="75">
        <f>K191/1.2</f>
        <v>876.66666666666674</v>
      </c>
      <c r="M191" s="76">
        <v>0.55000000000000004</v>
      </c>
      <c r="N191" s="77">
        <f>K191-(K191*M191)</f>
        <v>473.4</v>
      </c>
      <c r="O191" s="77">
        <f>N191/1.2</f>
        <v>394.5</v>
      </c>
    </row>
    <row r="192" spans="1:26" s="12" customFormat="1" ht="15.75" customHeight="1" x14ac:dyDescent="0.25">
      <c r="A192" s="80" t="s">
        <v>376</v>
      </c>
      <c r="B192" s="81"/>
      <c r="C192" s="82"/>
      <c r="D192" s="81"/>
      <c r="E192" s="83"/>
      <c r="F192" s="81"/>
      <c r="G192" s="81"/>
      <c r="H192" s="81"/>
      <c r="I192" s="81"/>
      <c r="J192" s="81"/>
      <c r="K192" s="150"/>
      <c r="L192" s="151"/>
      <c r="M192" s="137"/>
      <c r="N192" s="138"/>
      <c r="O192" s="138"/>
    </row>
    <row r="193" spans="1:26" s="20" customFormat="1" ht="50.1" customHeight="1" x14ac:dyDescent="0.25">
      <c r="A193" s="27"/>
      <c r="B193" s="27"/>
      <c r="C193" s="25">
        <v>512</v>
      </c>
      <c r="D193" s="16" t="s">
        <v>290</v>
      </c>
      <c r="E193" s="17" t="s">
        <v>191</v>
      </c>
      <c r="F193" s="18" t="s">
        <v>123</v>
      </c>
      <c r="G193" s="16">
        <v>500</v>
      </c>
      <c r="H193" s="16">
        <v>188</v>
      </c>
      <c r="I193" s="16">
        <v>21</v>
      </c>
      <c r="J193" s="16">
        <v>2.0699999999999998</v>
      </c>
      <c r="K193" s="106">
        <v>919</v>
      </c>
      <c r="L193" s="75">
        <f>K193/1.2</f>
        <v>765.83333333333337</v>
      </c>
      <c r="M193" s="76">
        <v>0.55000000000000004</v>
      </c>
      <c r="N193" s="77">
        <f>K193-(K193*M193)</f>
        <v>413.54999999999995</v>
      </c>
      <c r="O193" s="77">
        <f>N193/1.2</f>
        <v>344.625</v>
      </c>
    </row>
    <row r="194" spans="1:26" s="13" customFormat="1" ht="15.75" customHeight="1" x14ac:dyDescent="0.25">
      <c r="A194" s="88" t="s">
        <v>377</v>
      </c>
      <c r="B194" s="89"/>
      <c r="C194" s="90"/>
      <c r="D194" s="89"/>
      <c r="E194" s="91"/>
      <c r="F194" s="89"/>
      <c r="G194" s="89"/>
      <c r="H194" s="89"/>
      <c r="I194" s="89"/>
      <c r="J194" s="89"/>
      <c r="K194" s="150"/>
      <c r="L194" s="151"/>
      <c r="M194" s="137"/>
      <c r="N194" s="138"/>
      <c r="O194" s="138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s="12" customFormat="1" ht="50.1" customHeight="1" x14ac:dyDescent="0.25">
      <c r="A195" s="14"/>
      <c r="B195" s="14"/>
      <c r="C195" s="25">
        <v>106</v>
      </c>
      <c r="D195" s="16" t="s">
        <v>48</v>
      </c>
      <c r="E195" s="17" t="s">
        <v>359</v>
      </c>
      <c r="F195" s="18" t="s">
        <v>288</v>
      </c>
      <c r="G195" s="16"/>
      <c r="H195" s="16"/>
      <c r="I195" s="16"/>
      <c r="J195" s="16"/>
      <c r="K195" s="106">
        <v>43.89</v>
      </c>
      <c r="L195" s="75">
        <f>K195/1.2</f>
        <v>36.575000000000003</v>
      </c>
      <c r="M195" s="76">
        <v>0.4</v>
      </c>
      <c r="N195" s="77">
        <f>K195-(K195*M195)</f>
        <v>26.334</v>
      </c>
      <c r="O195" s="77">
        <f>N195/1.2</f>
        <v>21.945</v>
      </c>
    </row>
    <row r="196" spans="1:26" s="12" customFormat="1" ht="15.75" customHeight="1" x14ac:dyDescent="0.25">
      <c r="A196" s="80" t="s">
        <v>378</v>
      </c>
      <c r="B196" s="81"/>
      <c r="C196" s="82"/>
      <c r="D196" s="81"/>
      <c r="E196" s="83"/>
      <c r="F196" s="81"/>
      <c r="G196" s="81"/>
      <c r="H196" s="81"/>
      <c r="I196" s="81"/>
      <c r="J196" s="81"/>
      <c r="K196" s="150"/>
      <c r="L196" s="151"/>
      <c r="M196" s="146"/>
      <c r="N196" s="147"/>
      <c r="O196" s="147"/>
    </row>
    <row r="197" spans="1:26" s="20" customFormat="1" ht="50.1" customHeight="1" x14ac:dyDescent="0.25">
      <c r="A197" s="74"/>
      <c r="B197" s="74"/>
      <c r="C197" s="15" t="s">
        <v>192</v>
      </c>
      <c r="D197" s="16" t="s">
        <v>361</v>
      </c>
      <c r="E197" s="17" t="s">
        <v>193</v>
      </c>
      <c r="F197" s="18" t="s">
        <v>123</v>
      </c>
      <c r="G197" s="16">
        <v>1000</v>
      </c>
      <c r="H197" s="16">
        <v>199</v>
      </c>
      <c r="I197" s="16">
        <v>118.5</v>
      </c>
      <c r="J197" s="16">
        <v>3.8</v>
      </c>
      <c r="K197" s="75">
        <v>2071.0949999999998</v>
      </c>
      <c r="L197" s="75">
        <f t="shared" ref="L197:L198" si="63">K197/1.2</f>
        <v>1725.9124999999999</v>
      </c>
      <c r="M197" s="76">
        <v>0.55000000000000004</v>
      </c>
      <c r="N197" s="77">
        <f>K197-(K197*M197)</f>
        <v>931.99274999999989</v>
      </c>
      <c r="O197" s="77">
        <f t="shared" ref="O197:O198" si="64">N197/1.2</f>
        <v>776.66062499999998</v>
      </c>
    </row>
    <row r="198" spans="1:26" s="20" customFormat="1" ht="50.1" customHeight="1" x14ac:dyDescent="0.25">
      <c r="A198" s="74"/>
      <c r="B198" s="74"/>
      <c r="C198" s="15" t="s">
        <v>194</v>
      </c>
      <c r="D198" s="16" t="s">
        <v>361</v>
      </c>
      <c r="E198" s="17" t="s">
        <v>195</v>
      </c>
      <c r="F198" s="18" t="s">
        <v>123</v>
      </c>
      <c r="G198" s="16">
        <v>1000</v>
      </c>
      <c r="H198" s="16">
        <v>199</v>
      </c>
      <c r="I198" s="16">
        <v>203.5</v>
      </c>
      <c r="J198" s="16">
        <v>4.5</v>
      </c>
      <c r="K198" s="95">
        <v>2134.1550000000002</v>
      </c>
      <c r="L198" s="75">
        <f t="shared" si="63"/>
        <v>1778.4625000000003</v>
      </c>
      <c r="M198" s="76">
        <v>0.55000000000000004</v>
      </c>
      <c r="N198" s="77">
        <f>K198-(K198*M198)</f>
        <v>960.36975000000007</v>
      </c>
      <c r="O198" s="77">
        <f t="shared" si="64"/>
        <v>800.30812500000013</v>
      </c>
    </row>
    <row r="199" spans="1:26" s="12" customFormat="1" ht="15.75" customHeight="1" x14ac:dyDescent="0.25">
      <c r="A199" s="80" t="s">
        <v>379</v>
      </c>
      <c r="B199" s="81"/>
      <c r="C199" s="82"/>
      <c r="D199" s="81"/>
      <c r="E199" s="83"/>
      <c r="F199" s="81"/>
      <c r="G199" s="81"/>
      <c r="H199" s="81"/>
      <c r="I199" s="81"/>
      <c r="J199" s="81"/>
      <c r="K199" s="150"/>
      <c r="L199" s="151"/>
      <c r="M199" s="137"/>
      <c r="N199" s="138"/>
      <c r="O199" s="138"/>
    </row>
    <row r="200" spans="1:26" s="20" customFormat="1" ht="50.1" customHeight="1" x14ac:dyDescent="0.25">
      <c r="A200" s="27"/>
      <c r="B200" s="27"/>
      <c r="C200" s="25">
        <v>512</v>
      </c>
      <c r="D200" s="16" t="s">
        <v>290</v>
      </c>
      <c r="E200" s="17" t="s">
        <v>191</v>
      </c>
      <c r="F200" s="18" t="s">
        <v>123</v>
      </c>
      <c r="G200" s="16">
        <v>500</v>
      </c>
      <c r="H200" s="16">
        <v>188</v>
      </c>
      <c r="I200" s="16">
        <v>21</v>
      </c>
      <c r="J200" s="16">
        <v>2.0699999999999998</v>
      </c>
      <c r="K200" s="75">
        <v>919</v>
      </c>
      <c r="L200" s="75">
        <f t="shared" ref="L200:L202" si="65">K200/1.2</f>
        <v>765.83333333333337</v>
      </c>
      <c r="M200" s="76">
        <v>0.55000000000000004</v>
      </c>
      <c r="N200" s="77">
        <f>K200-(K200*M200)</f>
        <v>413.54999999999995</v>
      </c>
      <c r="O200" s="77">
        <f t="shared" ref="O200:O202" si="66">N200/1.2</f>
        <v>344.625</v>
      </c>
    </row>
    <row r="201" spans="1:26" s="20" customFormat="1" ht="50.1" customHeight="1" x14ac:dyDescent="0.25">
      <c r="A201" s="27"/>
      <c r="B201" s="27"/>
      <c r="C201" s="25" t="s">
        <v>196</v>
      </c>
      <c r="D201" s="16" t="s">
        <v>364</v>
      </c>
      <c r="E201" s="17" t="s">
        <v>197</v>
      </c>
      <c r="F201" s="18" t="s">
        <v>123</v>
      </c>
      <c r="G201" s="16">
        <v>500</v>
      </c>
      <c r="H201" s="16">
        <v>190</v>
      </c>
      <c r="I201" s="16">
        <v>21</v>
      </c>
      <c r="J201" s="16">
        <v>6.4</v>
      </c>
      <c r="K201" s="73">
        <v>1879.5</v>
      </c>
      <c r="L201" s="75">
        <f t="shared" si="65"/>
        <v>1566.25</v>
      </c>
      <c r="M201" s="76">
        <v>0.5</v>
      </c>
      <c r="N201" s="77">
        <f>K201-(K201*M201)</f>
        <v>939.75</v>
      </c>
      <c r="O201" s="77">
        <f t="shared" si="66"/>
        <v>783.125</v>
      </c>
    </row>
    <row r="202" spans="1:26" s="20" customFormat="1" ht="50.1" customHeight="1" x14ac:dyDescent="0.25">
      <c r="A202" s="27"/>
      <c r="B202" s="27"/>
      <c r="C202" s="25" t="s">
        <v>198</v>
      </c>
      <c r="D202" s="16" t="s">
        <v>361</v>
      </c>
      <c r="E202" s="17" t="s">
        <v>197</v>
      </c>
      <c r="F202" s="18" t="s">
        <v>123</v>
      </c>
      <c r="G202" s="16">
        <v>500</v>
      </c>
      <c r="H202" s="16">
        <v>190</v>
      </c>
      <c r="I202" s="16">
        <v>21</v>
      </c>
      <c r="J202" s="16">
        <v>7.2</v>
      </c>
      <c r="K202" s="73">
        <v>2055.9</v>
      </c>
      <c r="L202" s="75">
        <f t="shared" si="65"/>
        <v>1713.2500000000002</v>
      </c>
      <c r="M202" s="76">
        <v>0.5</v>
      </c>
      <c r="N202" s="77">
        <f>K202-(K202*M202)</f>
        <v>1027.95</v>
      </c>
      <c r="O202" s="77">
        <f t="shared" si="66"/>
        <v>856.62500000000011</v>
      </c>
    </row>
    <row r="203" spans="1:26" s="12" customFormat="1" ht="15.75" customHeight="1" x14ac:dyDescent="0.25">
      <c r="A203" s="88" t="s">
        <v>380</v>
      </c>
      <c r="B203" s="89"/>
      <c r="C203" s="90"/>
      <c r="D203" s="89"/>
      <c r="E203" s="91"/>
      <c r="F203" s="89"/>
      <c r="G203" s="89"/>
      <c r="H203" s="89"/>
      <c r="I203" s="89"/>
      <c r="J203" s="89"/>
      <c r="K203" s="150"/>
      <c r="L203" s="151"/>
      <c r="M203" s="146"/>
      <c r="N203" s="147"/>
      <c r="O203" s="147"/>
    </row>
    <row r="204" spans="1:26" s="12" customFormat="1" ht="50.1" customHeight="1" x14ac:dyDescent="0.25">
      <c r="A204" s="14"/>
      <c r="B204" s="14"/>
      <c r="C204" s="25">
        <v>106</v>
      </c>
      <c r="D204" s="16" t="s">
        <v>48</v>
      </c>
      <c r="E204" s="17" t="s">
        <v>359</v>
      </c>
      <c r="F204" s="18" t="s">
        <v>288</v>
      </c>
      <c r="G204" s="16"/>
      <c r="H204" s="16"/>
      <c r="I204" s="16"/>
      <c r="J204" s="16"/>
      <c r="K204" s="94">
        <v>43.89</v>
      </c>
      <c r="L204" s="75">
        <f>K204/1.2</f>
        <v>36.575000000000003</v>
      </c>
      <c r="M204" s="76">
        <v>0.4</v>
      </c>
      <c r="N204" s="77">
        <f>K204-(K204*M204)</f>
        <v>26.334</v>
      </c>
      <c r="O204" s="77">
        <f>N204/1.2</f>
        <v>21.945</v>
      </c>
    </row>
    <row r="205" spans="1:26" s="13" customFormat="1" ht="15.75" customHeight="1" x14ac:dyDescent="0.25">
      <c r="A205" s="80" t="s">
        <v>381</v>
      </c>
      <c r="B205" s="81"/>
      <c r="C205" s="148"/>
      <c r="D205" s="149"/>
      <c r="E205" s="83"/>
      <c r="F205" s="149"/>
      <c r="G205" s="149"/>
      <c r="H205" s="149"/>
      <c r="I205" s="149"/>
      <c r="J205" s="149"/>
      <c r="K205" s="84"/>
      <c r="L205" s="85"/>
      <c r="M205" s="137"/>
      <c r="N205" s="138"/>
      <c r="O205" s="138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s="12" customFormat="1" ht="15.75" customHeight="1" x14ac:dyDescent="0.25">
      <c r="A206" s="88" t="s">
        <v>382</v>
      </c>
      <c r="B206" s="88"/>
      <c r="C206" s="140"/>
      <c r="D206" s="88"/>
      <c r="E206" s="141"/>
      <c r="F206" s="88"/>
      <c r="G206" s="88"/>
      <c r="H206" s="88"/>
      <c r="I206" s="88"/>
      <c r="J206" s="88"/>
      <c r="K206" s="150"/>
      <c r="L206" s="150"/>
      <c r="M206" s="144"/>
      <c r="N206" s="145"/>
      <c r="O206" s="145"/>
    </row>
    <row r="207" spans="1:26" s="20" customFormat="1" ht="50.1" customHeight="1" x14ac:dyDescent="0.25">
      <c r="A207" s="27"/>
      <c r="B207" s="27"/>
      <c r="C207" s="25">
        <v>821</v>
      </c>
      <c r="D207" s="16" t="s">
        <v>290</v>
      </c>
      <c r="E207" s="17" t="s">
        <v>199</v>
      </c>
      <c r="F207" s="18" t="s">
        <v>200</v>
      </c>
      <c r="G207" s="19">
        <v>1000</v>
      </c>
      <c r="H207" s="16">
        <v>246</v>
      </c>
      <c r="I207" s="16">
        <v>100</v>
      </c>
      <c r="J207" s="16">
        <v>1.9</v>
      </c>
      <c r="K207" s="75">
        <v>972</v>
      </c>
      <c r="L207" s="75">
        <f t="shared" ref="L207:L209" si="67">K207/1.2</f>
        <v>810</v>
      </c>
      <c r="M207" s="76">
        <v>0.55000000000000004</v>
      </c>
      <c r="N207" s="77">
        <f>K207-(K207*M207)</f>
        <v>437.4</v>
      </c>
      <c r="O207" s="77">
        <f t="shared" ref="O207:O209" si="68">N207/1.2</f>
        <v>364.5</v>
      </c>
    </row>
    <row r="208" spans="1:26" s="20" customFormat="1" ht="50.1" customHeight="1" x14ac:dyDescent="0.25">
      <c r="A208" s="27"/>
      <c r="B208" s="27"/>
      <c r="C208" s="25">
        <v>820</v>
      </c>
      <c r="D208" s="16" t="s">
        <v>290</v>
      </c>
      <c r="E208" s="17" t="s">
        <v>201</v>
      </c>
      <c r="F208" s="18" t="s">
        <v>200</v>
      </c>
      <c r="G208" s="19">
        <v>1000</v>
      </c>
      <c r="H208" s="16">
        <v>246</v>
      </c>
      <c r="I208" s="16">
        <v>185</v>
      </c>
      <c r="J208" s="16">
        <v>2.65</v>
      </c>
      <c r="K208" s="73">
        <v>1090</v>
      </c>
      <c r="L208" s="75">
        <f t="shared" si="67"/>
        <v>908.33333333333337</v>
      </c>
      <c r="M208" s="76">
        <v>0.55000000000000004</v>
      </c>
      <c r="N208" s="77">
        <f>K208-(K208*M208)</f>
        <v>490.5</v>
      </c>
      <c r="O208" s="77">
        <f t="shared" si="68"/>
        <v>408.75</v>
      </c>
    </row>
    <row r="209" spans="1:26" s="20" customFormat="1" ht="50.1" customHeight="1" x14ac:dyDescent="0.25">
      <c r="A209" s="27"/>
      <c r="B209" s="27"/>
      <c r="C209" s="25">
        <v>822</v>
      </c>
      <c r="D209" s="16" t="s">
        <v>290</v>
      </c>
      <c r="E209" s="17" t="s">
        <v>202</v>
      </c>
      <c r="F209" s="18" t="s">
        <v>200</v>
      </c>
      <c r="G209" s="19">
        <v>1000</v>
      </c>
      <c r="H209" s="16">
        <v>246</v>
      </c>
      <c r="I209" s="16">
        <v>235</v>
      </c>
      <c r="J209" s="16">
        <v>3.05</v>
      </c>
      <c r="K209" s="95">
        <v>1175</v>
      </c>
      <c r="L209" s="75">
        <f t="shared" si="67"/>
        <v>979.16666666666674</v>
      </c>
      <c r="M209" s="76">
        <v>0.55000000000000004</v>
      </c>
      <c r="N209" s="77">
        <f>K209-(K209*M209)</f>
        <v>528.75</v>
      </c>
      <c r="O209" s="77">
        <f t="shared" si="68"/>
        <v>440.625</v>
      </c>
    </row>
    <row r="210" spans="1:26" s="12" customFormat="1" ht="15.75" customHeight="1" x14ac:dyDescent="0.25">
      <c r="A210" s="80" t="s">
        <v>383</v>
      </c>
      <c r="B210" s="81"/>
      <c r="C210" s="82"/>
      <c r="D210" s="81"/>
      <c r="E210" s="83"/>
      <c r="F210" s="81"/>
      <c r="G210" s="81"/>
      <c r="H210" s="81"/>
      <c r="I210" s="81"/>
      <c r="J210" s="81"/>
      <c r="K210" s="150"/>
      <c r="L210" s="151"/>
      <c r="M210" s="137"/>
      <c r="N210" s="138"/>
      <c r="O210" s="138"/>
    </row>
    <row r="211" spans="1:26" s="13" customFormat="1" ht="50.1" customHeight="1" x14ac:dyDescent="0.25">
      <c r="A211" s="74"/>
      <c r="B211" s="74"/>
      <c r="C211" s="25">
        <v>828</v>
      </c>
      <c r="D211" s="16" t="s">
        <v>290</v>
      </c>
      <c r="E211" s="17" t="s">
        <v>203</v>
      </c>
      <c r="F211" s="18" t="s">
        <v>384</v>
      </c>
      <c r="G211" s="19">
        <v>500</v>
      </c>
      <c r="H211" s="16">
        <v>260</v>
      </c>
      <c r="I211" s="16">
        <v>460</v>
      </c>
      <c r="J211" s="16">
        <v>2.58</v>
      </c>
      <c r="K211" s="106">
        <v>3717</v>
      </c>
      <c r="L211" s="75">
        <f>K211/1.2</f>
        <v>3097.5</v>
      </c>
      <c r="M211" s="76">
        <v>0.55000000000000004</v>
      </c>
      <c r="N211" s="77">
        <f>K211-(K211*M211)</f>
        <v>1672.6499999999999</v>
      </c>
      <c r="O211" s="77">
        <f>N211/1.2</f>
        <v>1393.875</v>
      </c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s="12" customFormat="1" ht="15.75" customHeight="1" x14ac:dyDescent="0.25">
      <c r="A212" s="88" t="s">
        <v>385</v>
      </c>
      <c r="B212" s="89"/>
      <c r="C212" s="90"/>
      <c r="D212" s="89"/>
      <c r="E212" s="91"/>
      <c r="F212" s="89"/>
      <c r="G212" s="89"/>
      <c r="H212" s="89"/>
      <c r="I212" s="89"/>
      <c r="J212" s="89"/>
      <c r="K212" s="150"/>
      <c r="L212" s="151"/>
      <c r="M212" s="137"/>
      <c r="N212" s="138"/>
      <c r="O212" s="138"/>
    </row>
    <row r="213" spans="1:26" s="20" customFormat="1" ht="50.1" customHeight="1" x14ac:dyDescent="0.25">
      <c r="A213" s="27"/>
      <c r="B213" s="27"/>
      <c r="C213" s="25">
        <v>8214</v>
      </c>
      <c r="D213" s="16" t="s">
        <v>290</v>
      </c>
      <c r="E213" s="17" t="s">
        <v>204</v>
      </c>
      <c r="F213" s="18" t="s">
        <v>200</v>
      </c>
      <c r="G213" s="19">
        <v>1000</v>
      </c>
      <c r="H213" s="16">
        <v>248</v>
      </c>
      <c r="I213" s="16">
        <v>102</v>
      </c>
      <c r="J213" s="16">
        <v>2.9</v>
      </c>
      <c r="K213" s="75">
        <v>1500.12</v>
      </c>
      <c r="L213" s="75">
        <f t="shared" ref="L213:L215" si="69">K213/1.2</f>
        <v>1250.0999999999999</v>
      </c>
      <c r="M213" s="76">
        <v>0.55000000000000004</v>
      </c>
      <c r="N213" s="77">
        <f>K213-(K213*M213)</f>
        <v>675.05399999999986</v>
      </c>
      <c r="O213" s="77">
        <f t="shared" ref="O213:O215" si="70">N213/1.2</f>
        <v>562.54499999999996</v>
      </c>
    </row>
    <row r="214" spans="1:26" s="20" customFormat="1" ht="50.1" customHeight="1" x14ac:dyDescent="0.25">
      <c r="A214" s="27"/>
      <c r="B214" s="27"/>
      <c r="C214" s="25">
        <v>8204</v>
      </c>
      <c r="D214" s="16" t="s">
        <v>290</v>
      </c>
      <c r="E214" s="17" t="s">
        <v>205</v>
      </c>
      <c r="F214" s="18" t="s">
        <v>200</v>
      </c>
      <c r="G214" s="19">
        <v>1000</v>
      </c>
      <c r="H214" s="16">
        <v>248</v>
      </c>
      <c r="I214" s="16">
        <v>188</v>
      </c>
      <c r="J214" s="16">
        <v>3.65</v>
      </c>
      <c r="K214" s="73">
        <v>1611.42</v>
      </c>
      <c r="L214" s="75">
        <f t="shared" si="69"/>
        <v>1342.8500000000001</v>
      </c>
      <c r="M214" s="76">
        <v>0.55000000000000004</v>
      </c>
      <c r="N214" s="77">
        <f>K214-(K214*M214)</f>
        <v>725.13900000000001</v>
      </c>
      <c r="O214" s="77">
        <f t="shared" si="70"/>
        <v>604.28250000000003</v>
      </c>
    </row>
    <row r="215" spans="1:26" s="20" customFormat="1" ht="50.1" customHeight="1" x14ac:dyDescent="0.25">
      <c r="A215" s="27"/>
      <c r="B215" s="27"/>
      <c r="C215" s="25">
        <v>8224</v>
      </c>
      <c r="D215" s="16" t="s">
        <v>290</v>
      </c>
      <c r="E215" s="17" t="s">
        <v>206</v>
      </c>
      <c r="F215" s="18" t="s">
        <v>200</v>
      </c>
      <c r="G215" s="19">
        <v>1000</v>
      </c>
      <c r="H215" s="16">
        <v>248</v>
      </c>
      <c r="I215" s="16">
        <v>238</v>
      </c>
      <c r="J215" s="16">
        <v>4.05</v>
      </c>
      <c r="K215" s="95">
        <v>1592</v>
      </c>
      <c r="L215" s="75">
        <f t="shared" si="69"/>
        <v>1326.6666666666667</v>
      </c>
      <c r="M215" s="76">
        <v>0.55000000000000004</v>
      </c>
      <c r="N215" s="77">
        <f>K215-(K215*M215)</f>
        <v>716.4</v>
      </c>
      <c r="O215" s="77">
        <f t="shared" si="70"/>
        <v>597</v>
      </c>
    </row>
    <row r="216" spans="1:26" s="13" customFormat="1" ht="15.75" customHeight="1" x14ac:dyDescent="0.25">
      <c r="A216" s="80" t="s">
        <v>386</v>
      </c>
      <c r="B216" s="81"/>
      <c r="C216" s="82"/>
      <c r="D216" s="81"/>
      <c r="E216" s="83"/>
      <c r="F216" s="81"/>
      <c r="G216" s="81"/>
      <c r="H216" s="81"/>
      <c r="I216" s="81"/>
      <c r="J216" s="81"/>
      <c r="K216" s="150"/>
      <c r="L216" s="151"/>
      <c r="M216" s="137"/>
      <c r="N216" s="138"/>
      <c r="O216" s="138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s="12" customFormat="1" ht="50.1" customHeight="1" x14ac:dyDescent="0.25">
      <c r="A217" s="74"/>
      <c r="B217" s="74"/>
      <c r="C217" s="25">
        <v>8284</v>
      </c>
      <c r="D217" s="16" t="s">
        <v>290</v>
      </c>
      <c r="E217" s="17" t="s">
        <v>207</v>
      </c>
      <c r="F217" s="18" t="s">
        <v>384</v>
      </c>
      <c r="G217" s="19">
        <v>500</v>
      </c>
      <c r="H217" s="16">
        <v>260</v>
      </c>
      <c r="I217" s="16">
        <v>463</v>
      </c>
      <c r="J217" s="16">
        <v>3.18</v>
      </c>
      <c r="K217" s="106">
        <v>3805.1439999999998</v>
      </c>
      <c r="L217" s="75">
        <f>K217/1.2</f>
        <v>3170.9533333333334</v>
      </c>
      <c r="M217" s="76">
        <v>0.55000000000000004</v>
      </c>
      <c r="N217" s="77">
        <f>K217-(K217*M217)</f>
        <v>1712.3147999999997</v>
      </c>
      <c r="O217" s="77">
        <f>N217/1.2</f>
        <v>1426.9289999999999</v>
      </c>
    </row>
    <row r="218" spans="1:26" s="12" customFormat="1" ht="15.75" customHeight="1" x14ac:dyDescent="0.25">
      <c r="A218" s="88" t="s">
        <v>387</v>
      </c>
      <c r="B218" s="89"/>
      <c r="C218" s="90"/>
      <c r="D218" s="89"/>
      <c r="E218" s="91"/>
      <c r="F218" s="89"/>
      <c r="G218" s="89"/>
      <c r="H218" s="89"/>
      <c r="I218" s="89"/>
      <c r="J218" s="89"/>
      <c r="K218" s="150"/>
      <c r="L218" s="151"/>
      <c r="M218" s="137"/>
      <c r="N218" s="138"/>
      <c r="O218" s="138"/>
    </row>
    <row r="219" spans="1:26" s="12" customFormat="1" ht="50.1" customHeight="1" x14ac:dyDescent="0.25">
      <c r="A219" s="14"/>
      <c r="B219" s="14"/>
      <c r="C219" s="25">
        <v>128</v>
      </c>
      <c r="D219" s="16" t="s">
        <v>48</v>
      </c>
      <c r="E219" s="17" t="s">
        <v>388</v>
      </c>
      <c r="F219" s="18" t="s">
        <v>200</v>
      </c>
      <c r="G219" s="16">
        <v>226</v>
      </c>
      <c r="H219" s="16">
        <v>40</v>
      </c>
      <c r="I219" s="16">
        <v>36</v>
      </c>
      <c r="J219" s="16">
        <v>0.25</v>
      </c>
      <c r="K219" s="75">
        <v>125</v>
      </c>
      <c r="L219" s="75">
        <f t="shared" ref="L219:L222" si="71">K219/1.2</f>
        <v>104.16666666666667</v>
      </c>
      <c r="M219" s="76">
        <v>0.55000000000000004</v>
      </c>
      <c r="N219" s="77">
        <f>K219-(K219*M219)</f>
        <v>56.25</v>
      </c>
      <c r="O219" s="77">
        <f t="shared" ref="O219:O222" si="72">N219/1.2</f>
        <v>46.875</v>
      </c>
    </row>
    <row r="220" spans="1:26" s="12" customFormat="1" ht="50.1" customHeight="1" x14ac:dyDescent="0.25">
      <c r="A220" s="74"/>
      <c r="B220" s="74"/>
      <c r="C220" s="25" t="s">
        <v>389</v>
      </c>
      <c r="D220" s="16" t="s">
        <v>48</v>
      </c>
      <c r="E220" s="17" t="s">
        <v>390</v>
      </c>
      <c r="F220" s="18" t="s">
        <v>200</v>
      </c>
      <c r="G220" s="16">
        <v>226</v>
      </c>
      <c r="H220" s="16">
        <v>40</v>
      </c>
      <c r="I220" s="16">
        <v>36</v>
      </c>
      <c r="J220" s="16">
        <v>0.25</v>
      </c>
      <c r="K220" s="73">
        <v>223.74</v>
      </c>
      <c r="L220" s="75">
        <f t="shared" si="71"/>
        <v>186.45000000000002</v>
      </c>
      <c r="M220" s="76">
        <v>0.55000000000000004</v>
      </c>
      <c r="N220" s="77">
        <f>K220-(K220*M220)</f>
        <v>100.68299999999999</v>
      </c>
      <c r="O220" s="77">
        <f t="shared" si="72"/>
        <v>83.902500000000003</v>
      </c>
    </row>
    <row r="221" spans="1:26" s="155" customFormat="1" ht="50.1" customHeight="1" x14ac:dyDescent="0.25">
      <c r="A221" s="14"/>
      <c r="B221" s="14"/>
      <c r="C221" s="25">
        <v>18201</v>
      </c>
      <c r="D221" s="16"/>
      <c r="E221" s="17" t="s">
        <v>391</v>
      </c>
      <c r="F221" s="18" t="s">
        <v>200</v>
      </c>
      <c r="G221" s="16">
        <v>252</v>
      </c>
      <c r="H221" s="16">
        <v>4</v>
      </c>
      <c r="I221" s="16">
        <v>235</v>
      </c>
      <c r="J221" s="16">
        <v>0.21</v>
      </c>
      <c r="K221" s="73">
        <v>235</v>
      </c>
      <c r="L221" s="75">
        <f t="shared" si="71"/>
        <v>195.83333333333334</v>
      </c>
      <c r="M221" s="76">
        <v>0.55000000000000004</v>
      </c>
      <c r="N221" s="77">
        <f>K221-(K221*M221)</f>
        <v>105.75</v>
      </c>
      <c r="O221" s="77">
        <f t="shared" si="72"/>
        <v>88.125</v>
      </c>
      <c r="P221" s="154"/>
      <c r="Q221" s="154"/>
      <c r="R221" s="154"/>
      <c r="S221" s="154"/>
      <c r="T221" s="154"/>
      <c r="U221" s="154"/>
      <c r="V221" s="154"/>
      <c r="W221" s="154"/>
      <c r="X221" s="154"/>
      <c r="Y221" s="154"/>
      <c r="Z221" s="154"/>
    </row>
    <row r="222" spans="1:26" s="155" customFormat="1" ht="50.1" customHeight="1" x14ac:dyDescent="0.25">
      <c r="A222" s="74"/>
      <c r="B222" s="156"/>
      <c r="C222" s="52">
        <v>1820</v>
      </c>
      <c r="D222" s="52" t="s">
        <v>48</v>
      </c>
      <c r="E222" s="53" t="s">
        <v>392</v>
      </c>
      <c r="F222" s="157" t="s">
        <v>48</v>
      </c>
      <c r="G222" s="52" t="s">
        <v>48</v>
      </c>
      <c r="H222" s="52" t="s">
        <v>48</v>
      </c>
      <c r="I222" s="52" t="s">
        <v>48</v>
      </c>
      <c r="J222" s="52" t="s">
        <v>48</v>
      </c>
      <c r="K222" s="79">
        <v>564.48</v>
      </c>
      <c r="L222" s="75">
        <f t="shared" si="71"/>
        <v>470.40000000000003</v>
      </c>
      <c r="M222" s="76">
        <v>0.45</v>
      </c>
      <c r="N222" s="77">
        <f>K222-(K222*M222)</f>
        <v>310.464</v>
      </c>
      <c r="O222" s="77">
        <f t="shared" si="72"/>
        <v>258.72000000000003</v>
      </c>
      <c r="P222" s="154"/>
      <c r="Q222" s="154"/>
      <c r="R222" s="154"/>
      <c r="S222" s="154"/>
      <c r="T222" s="154"/>
      <c r="U222" s="154"/>
      <c r="V222" s="154"/>
      <c r="W222" s="154"/>
      <c r="X222" s="154"/>
      <c r="Y222" s="154"/>
      <c r="Z222" s="154"/>
    </row>
    <row r="223" spans="1:26" s="12" customFormat="1" ht="15.75" customHeight="1" x14ac:dyDescent="0.25">
      <c r="A223" s="80" t="s">
        <v>393</v>
      </c>
      <c r="B223" s="81"/>
      <c r="C223" s="82"/>
      <c r="D223" s="81"/>
      <c r="E223" s="83"/>
      <c r="F223" s="81"/>
      <c r="G223" s="81"/>
      <c r="H223" s="81"/>
      <c r="I223" s="81"/>
      <c r="J223" s="81"/>
      <c r="K223" s="84"/>
      <c r="L223" s="85"/>
      <c r="M223" s="137"/>
      <c r="N223" s="138"/>
      <c r="O223" s="138"/>
    </row>
    <row r="224" spans="1:26" s="20" customFormat="1" ht="50.1" customHeight="1" x14ac:dyDescent="0.25">
      <c r="A224" s="74"/>
      <c r="B224" s="74"/>
      <c r="C224" s="25">
        <v>528</v>
      </c>
      <c r="D224" s="16" t="s">
        <v>271</v>
      </c>
      <c r="E224" s="17" t="s">
        <v>208</v>
      </c>
      <c r="F224" s="18" t="s">
        <v>200</v>
      </c>
      <c r="G224" s="16">
        <v>1000</v>
      </c>
      <c r="H224" s="16">
        <v>236</v>
      </c>
      <c r="I224" s="16">
        <v>20</v>
      </c>
      <c r="J224" s="16">
        <v>3.4</v>
      </c>
      <c r="K224" s="75">
        <v>2168.1239999999998</v>
      </c>
      <c r="L224" s="75">
        <f t="shared" ref="L224:L228" si="73">K224/1.2</f>
        <v>1806.77</v>
      </c>
      <c r="M224" s="76">
        <v>0.55000000000000004</v>
      </c>
      <c r="N224" s="77">
        <f>K224-(K224*M224)</f>
        <v>975.65579999999977</v>
      </c>
      <c r="O224" s="77">
        <f t="shared" ref="O224:O228" si="74">N224/1.2</f>
        <v>813.04649999999981</v>
      </c>
    </row>
    <row r="225" spans="1:26" s="20" customFormat="1" ht="50.1" customHeight="1" x14ac:dyDescent="0.25">
      <c r="A225" s="74"/>
      <c r="B225" s="74"/>
      <c r="C225" s="25">
        <v>522</v>
      </c>
      <c r="D225" s="16" t="s">
        <v>275</v>
      </c>
      <c r="E225" s="17" t="s">
        <v>209</v>
      </c>
      <c r="F225" s="18" t="s">
        <v>200</v>
      </c>
      <c r="G225" s="16">
        <v>1000</v>
      </c>
      <c r="H225" s="16">
        <v>237</v>
      </c>
      <c r="I225" s="16">
        <v>22</v>
      </c>
      <c r="J225" s="16">
        <v>5.7</v>
      </c>
      <c r="K225" s="73">
        <v>3475.3375999999998</v>
      </c>
      <c r="L225" s="75">
        <f t="shared" si="73"/>
        <v>2896.1146666666668</v>
      </c>
      <c r="M225" s="76">
        <v>0.55000000000000004</v>
      </c>
      <c r="N225" s="77">
        <f>K225-(K225*M225)</f>
        <v>1563.9019199999998</v>
      </c>
      <c r="O225" s="77">
        <f t="shared" si="74"/>
        <v>1303.2515999999998</v>
      </c>
    </row>
    <row r="226" spans="1:26" s="12" customFormat="1" ht="50.1" customHeight="1" x14ac:dyDescent="0.25">
      <c r="A226" s="74"/>
      <c r="B226" s="74"/>
      <c r="C226" s="25">
        <v>523</v>
      </c>
      <c r="D226" s="16" t="s">
        <v>271</v>
      </c>
      <c r="E226" s="17" t="s">
        <v>394</v>
      </c>
      <c r="F226" s="18" t="s">
        <v>200</v>
      </c>
      <c r="G226" s="16">
        <v>1000</v>
      </c>
      <c r="H226" s="16">
        <v>236</v>
      </c>
      <c r="I226" s="16">
        <v>15</v>
      </c>
      <c r="J226" s="16">
        <v>3.54</v>
      </c>
      <c r="K226" s="73">
        <v>3789.48</v>
      </c>
      <c r="L226" s="75">
        <f t="shared" si="73"/>
        <v>3157.9</v>
      </c>
      <c r="M226" s="76">
        <v>0.4</v>
      </c>
      <c r="N226" s="77">
        <f>K226-(K226*M226)</f>
        <v>2273.6880000000001</v>
      </c>
      <c r="O226" s="77">
        <f t="shared" si="74"/>
        <v>1894.7400000000002</v>
      </c>
    </row>
    <row r="227" spans="1:26" s="20" customFormat="1" ht="50.1" customHeight="1" collapsed="1" x14ac:dyDescent="0.25">
      <c r="A227" s="27"/>
      <c r="B227" s="27"/>
      <c r="C227" s="25">
        <v>524</v>
      </c>
      <c r="D227" s="16" t="s">
        <v>290</v>
      </c>
      <c r="E227" s="17" t="s">
        <v>210</v>
      </c>
      <c r="F227" s="18" t="s">
        <v>200</v>
      </c>
      <c r="G227" s="16">
        <v>500</v>
      </c>
      <c r="H227" s="16">
        <v>237</v>
      </c>
      <c r="I227" s="16">
        <v>24</v>
      </c>
      <c r="J227" s="16">
        <v>5</v>
      </c>
      <c r="K227" s="73">
        <v>1695</v>
      </c>
      <c r="L227" s="75">
        <f t="shared" si="73"/>
        <v>1412.5</v>
      </c>
      <c r="M227" s="76">
        <v>0.55000000000000004</v>
      </c>
      <c r="N227" s="77">
        <f>K227-(K227*M227)</f>
        <v>762.74999999999989</v>
      </c>
      <c r="O227" s="77">
        <f t="shared" si="74"/>
        <v>635.62499999999989</v>
      </c>
    </row>
    <row r="228" spans="1:26" s="20" customFormat="1" ht="50.1" customHeight="1" x14ac:dyDescent="0.25">
      <c r="A228" s="27"/>
      <c r="B228" s="27"/>
      <c r="C228" s="25">
        <v>527</v>
      </c>
      <c r="D228" s="16" t="s">
        <v>290</v>
      </c>
      <c r="E228" s="17" t="s">
        <v>211</v>
      </c>
      <c r="F228" s="18" t="s">
        <v>200</v>
      </c>
      <c r="G228" s="16">
        <v>500</v>
      </c>
      <c r="H228" s="16">
        <v>237</v>
      </c>
      <c r="I228" s="16">
        <v>24</v>
      </c>
      <c r="J228" s="16">
        <v>6.1</v>
      </c>
      <c r="K228" s="79">
        <v>1695</v>
      </c>
      <c r="L228" s="75">
        <f t="shared" si="73"/>
        <v>1412.5</v>
      </c>
      <c r="M228" s="76">
        <v>0.55000000000000004</v>
      </c>
      <c r="N228" s="77">
        <f>K228-(K228*M228)</f>
        <v>762.74999999999989</v>
      </c>
      <c r="O228" s="77">
        <f t="shared" si="74"/>
        <v>635.62499999999989</v>
      </c>
    </row>
    <row r="229" spans="1:26" s="12" customFormat="1" ht="15.75" customHeight="1" x14ac:dyDescent="0.25">
      <c r="A229" s="80" t="s">
        <v>395</v>
      </c>
      <c r="B229" s="81"/>
      <c r="C229" s="82"/>
      <c r="D229" s="81"/>
      <c r="E229" s="83"/>
      <c r="F229" s="81"/>
      <c r="G229" s="81"/>
      <c r="H229" s="81"/>
      <c r="I229" s="81"/>
      <c r="J229" s="81"/>
      <c r="K229" s="84"/>
      <c r="L229" s="85"/>
      <c r="M229" s="146"/>
      <c r="N229" s="147"/>
      <c r="O229" s="147"/>
    </row>
    <row r="230" spans="1:26" s="20" customFormat="1" ht="50.1" customHeight="1" x14ac:dyDescent="0.25">
      <c r="A230" s="107"/>
      <c r="B230" s="107"/>
      <c r="C230" s="15" t="s">
        <v>212</v>
      </c>
      <c r="D230" s="16" t="s">
        <v>361</v>
      </c>
      <c r="E230" s="17" t="s">
        <v>213</v>
      </c>
      <c r="F230" s="18" t="s">
        <v>200</v>
      </c>
      <c r="G230" s="16">
        <v>1000</v>
      </c>
      <c r="H230" s="16">
        <v>249</v>
      </c>
      <c r="I230" s="16">
        <v>118.5</v>
      </c>
      <c r="J230" s="16">
        <v>2.92</v>
      </c>
      <c r="K230" s="75">
        <v>3147.54</v>
      </c>
      <c r="L230" s="75">
        <f t="shared" ref="L230:L232" si="75">K230/1.2</f>
        <v>2622.9500000000003</v>
      </c>
      <c r="M230" s="76">
        <v>0.55000000000000004</v>
      </c>
      <c r="N230" s="77">
        <f>K230-(K230*M230)</f>
        <v>1416.3929999999998</v>
      </c>
      <c r="O230" s="77">
        <f t="shared" ref="O230:O232" si="76">N230/1.2</f>
        <v>1180.3274999999999</v>
      </c>
    </row>
    <row r="231" spans="1:26" s="20" customFormat="1" ht="50.1" customHeight="1" x14ac:dyDescent="0.25">
      <c r="A231" s="107"/>
      <c r="B231" s="107"/>
      <c r="C231" s="15" t="s">
        <v>214</v>
      </c>
      <c r="D231" s="16" t="s">
        <v>361</v>
      </c>
      <c r="E231" s="17" t="s">
        <v>215</v>
      </c>
      <c r="F231" s="18" t="s">
        <v>200</v>
      </c>
      <c r="G231" s="16">
        <v>1000</v>
      </c>
      <c r="H231" s="16">
        <v>249</v>
      </c>
      <c r="I231" s="16">
        <v>203.5</v>
      </c>
      <c r="J231" s="16">
        <v>4.74</v>
      </c>
      <c r="K231" s="73">
        <v>3295.08</v>
      </c>
      <c r="L231" s="75">
        <f t="shared" si="75"/>
        <v>2745.9</v>
      </c>
      <c r="M231" s="76">
        <v>0.55000000000000004</v>
      </c>
      <c r="N231" s="77">
        <f>K231-(K231*M231)</f>
        <v>1482.7859999999998</v>
      </c>
      <c r="O231" s="77">
        <f t="shared" si="76"/>
        <v>1235.655</v>
      </c>
    </row>
    <row r="232" spans="1:26" s="20" customFormat="1" ht="50.1" customHeight="1" x14ac:dyDescent="0.25">
      <c r="A232" s="107"/>
      <c r="B232" s="107"/>
      <c r="C232" s="15" t="s">
        <v>216</v>
      </c>
      <c r="D232" s="16" t="s">
        <v>361</v>
      </c>
      <c r="E232" s="17" t="s">
        <v>217</v>
      </c>
      <c r="F232" s="18" t="s">
        <v>200</v>
      </c>
      <c r="G232" s="16">
        <v>1000</v>
      </c>
      <c r="H232" s="16">
        <v>249</v>
      </c>
      <c r="I232" s="16">
        <v>253</v>
      </c>
      <c r="J232" s="16">
        <v>5.35</v>
      </c>
      <c r="K232" s="79">
        <v>3295.6</v>
      </c>
      <c r="L232" s="75">
        <f t="shared" si="75"/>
        <v>2746.3333333333335</v>
      </c>
      <c r="M232" s="76">
        <v>0.55000000000000004</v>
      </c>
      <c r="N232" s="77">
        <f>K232-(K232*M232)</f>
        <v>1483.0199999999998</v>
      </c>
      <c r="O232" s="77">
        <f t="shared" si="76"/>
        <v>1235.8499999999999</v>
      </c>
    </row>
    <row r="233" spans="1:26" s="13" customFormat="1" ht="15.75" customHeight="1" x14ac:dyDescent="0.25">
      <c r="A233" s="80" t="s">
        <v>396</v>
      </c>
      <c r="B233" s="81"/>
      <c r="C233" s="82"/>
      <c r="D233" s="81"/>
      <c r="E233" s="83"/>
      <c r="F233" s="81"/>
      <c r="G233" s="81"/>
      <c r="H233" s="81"/>
      <c r="I233" s="81"/>
      <c r="J233" s="81"/>
      <c r="K233" s="84"/>
      <c r="L233" s="85"/>
      <c r="M233" s="146"/>
      <c r="N233" s="147"/>
      <c r="O233" s="147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s="12" customFormat="1" ht="50.1" customHeight="1" x14ac:dyDescent="0.25">
      <c r="A234" s="107"/>
      <c r="B234" s="107"/>
      <c r="C234" s="15" t="s">
        <v>218</v>
      </c>
      <c r="D234" s="16" t="s">
        <v>361</v>
      </c>
      <c r="E234" s="17" t="s">
        <v>219</v>
      </c>
      <c r="F234" s="18" t="s">
        <v>397</v>
      </c>
      <c r="G234" s="16">
        <v>540</v>
      </c>
      <c r="H234" s="16">
        <v>260</v>
      </c>
      <c r="I234" s="16">
        <v>478</v>
      </c>
      <c r="J234" s="16">
        <v>3.86</v>
      </c>
      <c r="K234" s="94">
        <v>6893.67</v>
      </c>
      <c r="L234" s="75">
        <f>K234/1.2</f>
        <v>5744.7250000000004</v>
      </c>
      <c r="M234" s="76">
        <v>0.55000000000000004</v>
      </c>
      <c r="N234" s="77">
        <f>K234-(K234*M234)</f>
        <v>3102.1514999999999</v>
      </c>
      <c r="O234" s="77">
        <f>N234/1.2</f>
        <v>2585.1262500000003</v>
      </c>
    </row>
    <row r="235" spans="1:26" s="12" customFormat="1" ht="15.75" customHeight="1" x14ac:dyDescent="0.25">
      <c r="A235" s="80" t="s">
        <v>398</v>
      </c>
      <c r="B235" s="81"/>
      <c r="C235" s="82"/>
      <c r="D235" s="81"/>
      <c r="E235" s="83"/>
      <c r="F235" s="81"/>
      <c r="G235" s="81"/>
      <c r="H235" s="81"/>
      <c r="I235" s="81"/>
      <c r="J235" s="81"/>
      <c r="K235" s="84"/>
      <c r="L235" s="85"/>
      <c r="M235" s="146"/>
      <c r="N235" s="147"/>
      <c r="O235" s="147"/>
    </row>
    <row r="236" spans="1:26" s="20" customFormat="1" ht="50.1" customHeight="1" x14ac:dyDescent="0.25">
      <c r="A236" s="27"/>
      <c r="B236" s="27"/>
      <c r="C236" s="29">
        <v>525</v>
      </c>
      <c r="D236" s="16" t="s">
        <v>290</v>
      </c>
      <c r="E236" s="17" t="s">
        <v>220</v>
      </c>
      <c r="F236" s="18" t="s">
        <v>200</v>
      </c>
      <c r="G236" s="19">
        <v>500</v>
      </c>
      <c r="H236" s="16">
        <v>236</v>
      </c>
      <c r="I236" s="16">
        <v>42</v>
      </c>
      <c r="J236" s="31">
        <v>2.59</v>
      </c>
      <c r="K236" s="75">
        <v>1234</v>
      </c>
      <c r="L236" s="75">
        <f t="shared" ref="L236:L239" si="77">K236/1.2</f>
        <v>1028.3333333333335</v>
      </c>
      <c r="M236" s="76">
        <v>0.5</v>
      </c>
      <c r="N236" s="77">
        <f>K236-(K236*M236)</f>
        <v>617</v>
      </c>
      <c r="O236" s="77">
        <f t="shared" ref="O236:O239" si="78">N236/1.2</f>
        <v>514.16666666666674</v>
      </c>
    </row>
    <row r="237" spans="1:26" s="20" customFormat="1" ht="50.1" customHeight="1" x14ac:dyDescent="0.25">
      <c r="A237" s="27"/>
      <c r="B237" s="27"/>
      <c r="C237" s="29">
        <v>526</v>
      </c>
      <c r="D237" s="16" t="s">
        <v>290</v>
      </c>
      <c r="E237" s="17" t="s">
        <v>221</v>
      </c>
      <c r="F237" s="18" t="s">
        <v>200</v>
      </c>
      <c r="G237" s="19">
        <v>500</v>
      </c>
      <c r="H237" s="16">
        <v>238</v>
      </c>
      <c r="I237" s="16">
        <v>42</v>
      </c>
      <c r="J237" s="16">
        <v>2.64</v>
      </c>
      <c r="K237" s="73">
        <v>1234</v>
      </c>
      <c r="L237" s="75">
        <f t="shared" si="77"/>
        <v>1028.3333333333335</v>
      </c>
      <c r="M237" s="76">
        <v>0.5</v>
      </c>
      <c r="N237" s="77">
        <f>K237-(K237*M237)</f>
        <v>617</v>
      </c>
      <c r="O237" s="77">
        <f t="shared" si="78"/>
        <v>514.16666666666674</v>
      </c>
    </row>
    <row r="238" spans="1:26" s="20" customFormat="1" ht="50.1" customHeight="1" x14ac:dyDescent="0.25">
      <c r="A238" s="54"/>
      <c r="B238" s="54"/>
      <c r="C238" s="25" t="s">
        <v>222</v>
      </c>
      <c r="D238" s="16" t="s">
        <v>364</v>
      </c>
      <c r="E238" s="17" t="s">
        <v>223</v>
      </c>
      <c r="F238" s="18" t="s">
        <v>200</v>
      </c>
      <c r="G238" s="16">
        <v>500</v>
      </c>
      <c r="H238" s="16">
        <v>240</v>
      </c>
      <c r="I238" s="16">
        <v>21</v>
      </c>
      <c r="J238" s="16">
        <v>8.5</v>
      </c>
      <c r="K238" s="73">
        <v>2397.15</v>
      </c>
      <c r="L238" s="75">
        <f t="shared" si="77"/>
        <v>1997.6250000000002</v>
      </c>
      <c r="M238" s="76">
        <v>0.5</v>
      </c>
      <c r="N238" s="77">
        <f>K238-(K238*M238)</f>
        <v>1198.575</v>
      </c>
      <c r="O238" s="77">
        <f t="shared" si="78"/>
        <v>998.81250000000011</v>
      </c>
    </row>
    <row r="239" spans="1:26" s="20" customFormat="1" ht="50.1" customHeight="1" x14ac:dyDescent="0.25">
      <c r="A239" s="54"/>
      <c r="B239" s="54"/>
      <c r="C239" s="25" t="s">
        <v>224</v>
      </c>
      <c r="D239" s="16" t="s">
        <v>361</v>
      </c>
      <c r="E239" s="17" t="s">
        <v>225</v>
      </c>
      <c r="F239" s="18" t="s">
        <v>200</v>
      </c>
      <c r="G239" s="16">
        <v>500</v>
      </c>
      <c r="H239" s="16">
        <v>240</v>
      </c>
      <c r="I239" s="16">
        <v>21</v>
      </c>
      <c r="J239" s="16">
        <v>9.52</v>
      </c>
      <c r="K239" s="79">
        <v>2751.76</v>
      </c>
      <c r="L239" s="75">
        <f t="shared" si="77"/>
        <v>2293.1333333333337</v>
      </c>
      <c r="M239" s="76">
        <v>0.5</v>
      </c>
      <c r="N239" s="77">
        <f>K239-(K239*M239)</f>
        <v>1375.88</v>
      </c>
      <c r="O239" s="77">
        <f t="shared" si="78"/>
        <v>1146.5666666666668</v>
      </c>
    </row>
    <row r="240" spans="1:26" s="159" customFormat="1" ht="15.75" customHeight="1" x14ac:dyDescent="0.25">
      <c r="A240" s="88" t="s">
        <v>399</v>
      </c>
      <c r="B240" s="89"/>
      <c r="C240" s="90"/>
      <c r="D240" s="89"/>
      <c r="E240" s="91"/>
      <c r="F240" s="89"/>
      <c r="G240" s="89"/>
      <c r="H240" s="89"/>
      <c r="I240" s="89"/>
      <c r="J240" s="89"/>
      <c r="K240" s="84"/>
      <c r="L240" s="85"/>
      <c r="M240" s="86"/>
      <c r="N240" s="87"/>
      <c r="O240" s="87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</row>
    <row r="241" spans="1:26" s="13" customFormat="1" ht="50.1" customHeight="1" x14ac:dyDescent="0.25">
      <c r="A241" s="38"/>
      <c r="B241" s="38"/>
      <c r="C241" s="25">
        <v>106</v>
      </c>
      <c r="D241" s="16" t="s">
        <v>48</v>
      </c>
      <c r="E241" s="17" t="s">
        <v>359</v>
      </c>
      <c r="F241" s="18" t="s">
        <v>288</v>
      </c>
      <c r="G241" s="16"/>
      <c r="H241" s="16"/>
      <c r="I241" s="16"/>
      <c r="J241" s="16"/>
      <c r="K241" s="94">
        <v>43.89</v>
      </c>
      <c r="L241" s="75">
        <f>K241/1.2</f>
        <v>36.575000000000003</v>
      </c>
      <c r="M241" s="76">
        <v>0.4</v>
      </c>
      <c r="N241" s="77">
        <f>K241-(K241*M241)</f>
        <v>26.334</v>
      </c>
      <c r="O241" s="77">
        <f>N241/1.2</f>
        <v>21.945</v>
      </c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s="12" customFormat="1" ht="15.75" customHeight="1" x14ac:dyDescent="0.25">
      <c r="A242" s="80" t="s">
        <v>400</v>
      </c>
      <c r="B242" s="81"/>
      <c r="C242" s="148"/>
      <c r="D242" s="149"/>
      <c r="E242" s="83"/>
      <c r="F242" s="149"/>
      <c r="G242" s="149"/>
      <c r="H242" s="149"/>
      <c r="I242" s="149"/>
      <c r="J242" s="149"/>
      <c r="K242" s="150"/>
      <c r="L242" s="151"/>
      <c r="M242" s="92"/>
      <c r="N242" s="93"/>
      <c r="O242" s="93"/>
    </row>
    <row r="243" spans="1:26" s="13" customFormat="1" ht="15.75" customHeight="1" x14ac:dyDescent="0.25">
      <c r="A243" s="80" t="s">
        <v>401</v>
      </c>
      <c r="B243" s="80"/>
      <c r="C243" s="97"/>
      <c r="D243" s="80"/>
      <c r="E243" s="115"/>
      <c r="F243" s="80"/>
      <c r="G243" s="80"/>
      <c r="H243" s="80"/>
      <c r="I243" s="80"/>
      <c r="J243" s="80"/>
      <c r="K243" s="84"/>
      <c r="L243" s="84"/>
      <c r="M243" s="160"/>
      <c r="N243" s="161"/>
      <c r="O243" s="161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s="20" customFormat="1" ht="50.1" customHeight="1" x14ac:dyDescent="0.25">
      <c r="A244" s="27"/>
      <c r="B244" s="27"/>
      <c r="C244" s="25">
        <v>832</v>
      </c>
      <c r="D244" s="16" t="s">
        <v>290</v>
      </c>
      <c r="E244" s="17" t="s">
        <v>226</v>
      </c>
      <c r="F244" s="18" t="s">
        <v>34</v>
      </c>
      <c r="G244" s="19">
        <v>1000</v>
      </c>
      <c r="H244" s="16">
        <v>380</v>
      </c>
      <c r="I244" s="16">
        <v>280</v>
      </c>
      <c r="J244" s="16">
        <v>7.05</v>
      </c>
      <c r="K244" s="75">
        <v>4133</v>
      </c>
      <c r="L244" s="75">
        <f t="shared" ref="L244:L246" si="79">K244/1.2</f>
        <v>3444.166666666667</v>
      </c>
      <c r="M244" s="76">
        <v>0.55000000000000004</v>
      </c>
      <c r="N244" s="77">
        <f>K244-(K244*M244)</f>
        <v>1859.85</v>
      </c>
      <c r="O244" s="77">
        <f t="shared" ref="O244:O246" si="80">N244/1.2</f>
        <v>1549.875</v>
      </c>
    </row>
    <row r="245" spans="1:26" s="20" customFormat="1" ht="50.1" customHeight="1" x14ac:dyDescent="0.25">
      <c r="A245" s="27"/>
      <c r="B245" s="27"/>
      <c r="C245" s="25">
        <v>830</v>
      </c>
      <c r="D245" s="16" t="s">
        <v>290</v>
      </c>
      <c r="E245" s="17" t="s">
        <v>227</v>
      </c>
      <c r="F245" s="18" t="s">
        <v>34</v>
      </c>
      <c r="G245" s="19">
        <v>1000</v>
      </c>
      <c r="H245" s="16">
        <v>380</v>
      </c>
      <c r="I245" s="16">
        <v>380</v>
      </c>
      <c r="J245" s="16">
        <v>7.6</v>
      </c>
      <c r="K245" s="73">
        <v>4261</v>
      </c>
      <c r="L245" s="75">
        <f t="shared" si="79"/>
        <v>3550.8333333333335</v>
      </c>
      <c r="M245" s="76">
        <v>0.55000000000000004</v>
      </c>
      <c r="N245" s="77">
        <f>K245-(K245*M245)</f>
        <v>1917.4499999999998</v>
      </c>
      <c r="O245" s="77">
        <f t="shared" si="80"/>
        <v>1597.875</v>
      </c>
    </row>
    <row r="246" spans="1:26" s="20" customFormat="1" ht="50.1" customHeight="1" x14ac:dyDescent="0.25">
      <c r="A246" s="27"/>
      <c r="B246" s="27"/>
      <c r="C246" s="25">
        <v>834</v>
      </c>
      <c r="D246" s="16" t="s">
        <v>290</v>
      </c>
      <c r="E246" s="17" t="s">
        <v>228</v>
      </c>
      <c r="F246" s="18" t="s">
        <v>34</v>
      </c>
      <c r="G246" s="19">
        <v>1000</v>
      </c>
      <c r="H246" s="16">
        <v>380</v>
      </c>
      <c r="I246" s="16">
        <v>480</v>
      </c>
      <c r="J246" s="16">
        <v>9.6</v>
      </c>
      <c r="K246" s="79">
        <v>5040</v>
      </c>
      <c r="L246" s="75">
        <f t="shared" si="79"/>
        <v>4200</v>
      </c>
      <c r="M246" s="76">
        <v>0.55000000000000004</v>
      </c>
      <c r="N246" s="77">
        <f>K246-(K246*M246)</f>
        <v>2268</v>
      </c>
      <c r="O246" s="77">
        <f t="shared" si="80"/>
        <v>1890</v>
      </c>
    </row>
    <row r="247" spans="1:26" s="13" customFormat="1" ht="15.75" customHeight="1" x14ac:dyDescent="0.25">
      <c r="A247" s="88" t="s">
        <v>402</v>
      </c>
      <c r="B247" s="89"/>
      <c r="C247" s="90"/>
      <c r="D247" s="89"/>
      <c r="E247" s="91"/>
      <c r="F247" s="89"/>
      <c r="G247" s="89"/>
      <c r="H247" s="89"/>
      <c r="I247" s="89"/>
      <c r="J247" s="89"/>
      <c r="K247" s="84"/>
      <c r="L247" s="85"/>
      <c r="M247" s="92"/>
      <c r="N247" s="93"/>
      <c r="O247" s="93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s="12" customFormat="1" ht="50.1" customHeight="1" x14ac:dyDescent="0.25">
      <c r="A248" s="14"/>
      <c r="B248" s="14"/>
      <c r="C248" s="25" t="s">
        <v>403</v>
      </c>
      <c r="D248" s="16" t="s">
        <v>48</v>
      </c>
      <c r="E248" s="17" t="s">
        <v>404</v>
      </c>
      <c r="F248" s="18" t="s">
        <v>34</v>
      </c>
      <c r="G248" s="16">
        <v>52</v>
      </c>
      <c r="H248" s="16">
        <v>18</v>
      </c>
      <c r="I248" s="16">
        <v>12</v>
      </c>
      <c r="J248" s="16">
        <v>0.3</v>
      </c>
      <c r="K248" s="75">
        <v>259.56</v>
      </c>
      <c r="L248" s="75">
        <f t="shared" ref="L248:L249" si="81">K248/1.2</f>
        <v>216.3</v>
      </c>
      <c r="M248" s="76">
        <v>0.55000000000000004</v>
      </c>
      <c r="N248" s="77">
        <f>K248-(K248*M248)</f>
        <v>116.80199999999999</v>
      </c>
      <c r="O248" s="77">
        <f t="shared" ref="O248:O249" si="82">N248/1.2</f>
        <v>97.334999999999994</v>
      </c>
    </row>
    <row r="249" spans="1:26" s="12" customFormat="1" ht="50.1" customHeight="1" x14ac:dyDescent="0.25">
      <c r="A249" s="74"/>
      <c r="B249" s="156"/>
      <c r="C249" s="52">
        <v>1831</v>
      </c>
      <c r="D249" s="133" t="s">
        <v>48</v>
      </c>
      <c r="E249" s="135" t="s">
        <v>405</v>
      </c>
      <c r="F249" s="136" t="s">
        <v>48</v>
      </c>
      <c r="G249" s="133" t="s">
        <v>48</v>
      </c>
      <c r="H249" s="133" t="s">
        <v>48</v>
      </c>
      <c r="I249" s="133" t="s">
        <v>48</v>
      </c>
      <c r="J249" s="133" t="s">
        <v>48</v>
      </c>
      <c r="K249" s="79">
        <v>604.79999999999995</v>
      </c>
      <c r="L249" s="75">
        <f t="shared" si="81"/>
        <v>504</v>
      </c>
      <c r="M249" s="76">
        <v>0.55000000000000004</v>
      </c>
      <c r="N249" s="77">
        <f>K249-(K249*M249)</f>
        <v>272.15999999999997</v>
      </c>
      <c r="O249" s="77">
        <f t="shared" si="82"/>
        <v>226.79999999999998</v>
      </c>
    </row>
    <row r="250" spans="1:26" ht="15.75" customHeight="1" x14ac:dyDescent="0.25">
      <c r="A250" s="80" t="s">
        <v>406</v>
      </c>
      <c r="B250" s="81"/>
      <c r="C250" s="82"/>
      <c r="D250" s="81"/>
      <c r="E250" s="83"/>
      <c r="F250" s="81"/>
      <c r="G250" s="81"/>
      <c r="H250" s="81"/>
      <c r="I250" s="81"/>
      <c r="J250" s="81"/>
      <c r="K250" s="84"/>
      <c r="L250" s="85"/>
      <c r="M250" s="92"/>
      <c r="N250" s="93"/>
      <c r="O250" s="93"/>
    </row>
    <row r="251" spans="1:26" s="20" customFormat="1" ht="50.1" customHeight="1" collapsed="1" x14ac:dyDescent="0.25">
      <c r="A251" s="74"/>
      <c r="B251" s="74"/>
      <c r="C251" s="25">
        <v>531</v>
      </c>
      <c r="D251" s="16" t="s">
        <v>271</v>
      </c>
      <c r="E251" s="17" t="s">
        <v>229</v>
      </c>
      <c r="F251" s="18" t="s">
        <v>34</v>
      </c>
      <c r="G251" s="16">
        <v>1000</v>
      </c>
      <c r="H251" s="16">
        <v>375</v>
      </c>
      <c r="I251" s="16">
        <v>25</v>
      </c>
      <c r="J251" s="16">
        <v>7.9</v>
      </c>
      <c r="K251" s="75">
        <v>4473.924</v>
      </c>
      <c r="L251" s="75">
        <f t="shared" ref="L251:L252" si="83">K251/1.2</f>
        <v>3728.27</v>
      </c>
      <c r="M251" s="76">
        <v>0.55000000000000004</v>
      </c>
      <c r="N251" s="77">
        <f>K251-(K251*M251)</f>
        <v>2013.2657999999997</v>
      </c>
      <c r="O251" s="77">
        <f t="shared" ref="O251:O252" si="84">N251/1.2</f>
        <v>1677.7214999999999</v>
      </c>
    </row>
    <row r="252" spans="1:26" s="20" customFormat="1" ht="50.1" customHeight="1" x14ac:dyDescent="0.25">
      <c r="A252" s="54"/>
      <c r="B252" s="54"/>
      <c r="C252" s="25">
        <v>534</v>
      </c>
      <c r="D252" s="16" t="s">
        <v>290</v>
      </c>
      <c r="E252" s="17" t="s">
        <v>230</v>
      </c>
      <c r="F252" s="18" t="s">
        <v>34</v>
      </c>
      <c r="G252" s="16">
        <v>500</v>
      </c>
      <c r="H252" s="16">
        <v>358</v>
      </c>
      <c r="I252" s="16">
        <v>40</v>
      </c>
      <c r="J252" s="16">
        <v>11</v>
      </c>
      <c r="K252" s="79">
        <v>5674.2</v>
      </c>
      <c r="L252" s="75">
        <f t="shared" si="83"/>
        <v>4728.5</v>
      </c>
      <c r="M252" s="76">
        <v>0.55000000000000004</v>
      </c>
      <c r="N252" s="77">
        <f>K252-(K252*M252)</f>
        <v>2553.39</v>
      </c>
      <c r="O252" s="77">
        <f t="shared" si="84"/>
        <v>2127.8249999999998</v>
      </c>
    </row>
    <row r="253" spans="1:26" s="12" customFormat="1" ht="15.75" customHeight="1" x14ac:dyDescent="0.25">
      <c r="A253" s="80" t="s">
        <v>407</v>
      </c>
      <c r="B253" s="81"/>
      <c r="C253" s="82"/>
      <c r="D253" s="81"/>
      <c r="E253" s="83"/>
      <c r="F253" s="81"/>
      <c r="G253" s="81"/>
      <c r="H253" s="81"/>
      <c r="I253" s="81"/>
      <c r="J253" s="81"/>
      <c r="K253" s="84"/>
      <c r="L253" s="85"/>
      <c r="M253" s="92"/>
      <c r="N253" s="93"/>
      <c r="O253" s="93"/>
    </row>
    <row r="254" spans="1:26" s="20" customFormat="1" ht="50.1" customHeight="1" collapsed="1" x14ac:dyDescent="0.25">
      <c r="A254" s="27"/>
      <c r="B254" s="27"/>
      <c r="C254" s="25" t="s">
        <v>231</v>
      </c>
      <c r="D254" s="16" t="s">
        <v>290</v>
      </c>
      <c r="E254" s="17" t="s">
        <v>232</v>
      </c>
      <c r="F254" s="18" t="s">
        <v>34</v>
      </c>
      <c r="G254" s="19">
        <v>1000</v>
      </c>
      <c r="H254" s="16">
        <v>380</v>
      </c>
      <c r="I254" s="16">
        <v>294</v>
      </c>
      <c r="J254" s="16">
        <v>7.35</v>
      </c>
      <c r="K254" s="75">
        <v>4443</v>
      </c>
      <c r="L254" s="75">
        <f t="shared" ref="L254:L255" si="85">K254/1.2</f>
        <v>3702.5</v>
      </c>
      <c r="M254" s="76">
        <v>0.55000000000000004</v>
      </c>
      <c r="N254" s="77">
        <f>K254-(K254*M254)</f>
        <v>1999.35</v>
      </c>
      <c r="O254" s="77">
        <f t="shared" ref="O254:O255" si="86">N254/1.2</f>
        <v>1666.125</v>
      </c>
    </row>
    <row r="255" spans="1:26" s="20" customFormat="1" ht="50.1" customHeight="1" x14ac:dyDescent="0.25">
      <c r="A255" s="27"/>
      <c r="B255" s="27"/>
      <c r="C255" s="25" t="s">
        <v>233</v>
      </c>
      <c r="D255" s="16" t="s">
        <v>290</v>
      </c>
      <c r="E255" s="17" t="s">
        <v>234</v>
      </c>
      <c r="F255" s="18" t="s">
        <v>34</v>
      </c>
      <c r="G255" s="19">
        <v>1000</v>
      </c>
      <c r="H255" s="16">
        <v>380</v>
      </c>
      <c r="I255" s="16">
        <v>494</v>
      </c>
      <c r="J255" s="16">
        <v>10.32</v>
      </c>
      <c r="K255" s="79">
        <v>5307</v>
      </c>
      <c r="L255" s="75">
        <f t="shared" si="85"/>
        <v>4422.5</v>
      </c>
      <c r="M255" s="76">
        <v>0.55000000000000004</v>
      </c>
      <c r="N255" s="77">
        <f>K255-(K255*M255)</f>
        <v>2388.1499999999996</v>
      </c>
      <c r="O255" s="77">
        <f t="shared" si="86"/>
        <v>1990.1249999999998</v>
      </c>
    </row>
    <row r="256" spans="1:26" s="12" customFormat="1" ht="15.75" customHeight="1" x14ac:dyDescent="0.25">
      <c r="A256" s="80" t="s">
        <v>408</v>
      </c>
      <c r="B256" s="81"/>
      <c r="C256" s="82"/>
      <c r="D256" s="81"/>
      <c r="E256" s="83"/>
      <c r="F256" s="81"/>
      <c r="G256" s="81"/>
      <c r="H256" s="81"/>
      <c r="I256" s="81"/>
      <c r="J256" s="81"/>
      <c r="K256" s="84"/>
      <c r="L256" s="85"/>
      <c r="M256" s="92"/>
      <c r="N256" s="93"/>
      <c r="O256" s="93"/>
    </row>
    <row r="257" spans="1:26" s="20" customFormat="1" ht="50.1" customHeight="1" x14ac:dyDescent="0.25">
      <c r="A257" s="27"/>
      <c r="B257" s="27"/>
      <c r="C257" s="29">
        <v>535</v>
      </c>
      <c r="D257" s="16" t="s">
        <v>290</v>
      </c>
      <c r="E257" s="17" t="s">
        <v>235</v>
      </c>
      <c r="F257" s="18" t="s">
        <v>34</v>
      </c>
      <c r="G257" s="19">
        <v>500</v>
      </c>
      <c r="H257" s="16">
        <v>358</v>
      </c>
      <c r="I257" s="16">
        <v>42</v>
      </c>
      <c r="J257" s="31">
        <v>3.52</v>
      </c>
      <c r="K257" s="75">
        <v>2650</v>
      </c>
      <c r="L257" s="75">
        <f t="shared" ref="L257:L258" si="87">K257/1.2</f>
        <v>2208.3333333333335</v>
      </c>
      <c r="M257" s="76">
        <v>0.55000000000000004</v>
      </c>
      <c r="N257" s="77">
        <f>K257-(K257*M257)</f>
        <v>1192.4999999999998</v>
      </c>
      <c r="O257" s="77">
        <f t="shared" ref="O257:O258" si="88">N257/1.2</f>
        <v>993.74999999999989</v>
      </c>
    </row>
    <row r="258" spans="1:26" s="20" customFormat="1" ht="50.1" customHeight="1" x14ac:dyDescent="0.25">
      <c r="A258" s="27"/>
      <c r="B258" s="27"/>
      <c r="C258" s="29">
        <v>536</v>
      </c>
      <c r="D258" s="16" t="s">
        <v>290</v>
      </c>
      <c r="E258" s="17" t="s">
        <v>236</v>
      </c>
      <c r="F258" s="18" t="s">
        <v>34</v>
      </c>
      <c r="G258" s="19">
        <v>500</v>
      </c>
      <c r="H258" s="16">
        <v>358</v>
      </c>
      <c r="I258" s="16">
        <v>42</v>
      </c>
      <c r="J258" s="16">
        <v>3.98</v>
      </c>
      <c r="K258" s="79">
        <v>2650</v>
      </c>
      <c r="L258" s="75">
        <f t="shared" si="87"/>
        <v>2208.3333333333335</v>
      </c>
      <c r="M258" s="76">
        <v>0.55000000000000004</v>
      </c>
      <c r="N258" s="77">
        <f>K258-(K258*M258)</f>
        <v>1192.4999999999998</v>
      </c>
      <c r="O258" s="77">
        <f t="shared" si="88"/>
        <v>993.74999999999989</v>
      </c>
    </row>
    <row r="259" spans="1:26" s="13" customFormat="1" ht="15.75" customHeight="1" x14ac:dyDescent="0.25">
      <c r="A259" s="88" t="s">
        <v>377</v>
      </c>
      <c r="B259" s="89"/>
      <c r="C259" s="90"/>
      <c r="D259" s="89"/>
      <c r="E259" s="91"/>
      <c r="F259" s="89"/>
      <c r="G259" s="89"/>
      <c r="H259" s="89"/>
      <c r="I259" s="89"/>
      <c r="J259" s="89"/>
      <c r="K259" s="84"/>
      <c r="L259" s="85"/>
      <c r="M259" s="92"/>
      <c r="N259" s="93"/>
      <c r="O259" s="93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s="12" customFormat="1" ht="50.1" customHeight="1" x14ac:dyDescent="0.25">
      <c r="A260" s="14"/>
      <c r="B260" s="14"/>
      <c r="C260" s="25">
        <v>106</v>
      </c>
      <c r="D260" s="16" t="s">
        <v>48</v>
      </c>
      <c r="E260" s="17" t="s">
        <v>359</v>
      </c>
      <c r="F260" s="18" t="s">
        <v>288</v>
      </c>
      <c r="G260" s="16"/>
      <c r="H260" s="16"/>
      <c r="I260" s="16"/>
      <c r="J260" s="16"/>
      <c r="K260" s="94">
        <v>43.89</v>
      </c>
      <c r="L260" s="75">
        <f>K260/1.2</f>
        <v>36.575000000000003</v>
      </c>
      <c r="M260" s="76">
        <v>0.4</v>
      </c>
      <c r="N260" s="77">
        <f>K260-(K260*M260)</f>
        <v>26.334</v>
      </c>
      <c r="O260" s="77">
        <f>N260/1.2</f>
        <v>21.945</v>
      </c>
    </row>
    <row r="261" spans="1:26" s="13" customFormat="1" ht="15.75" customHeight="1" x14ac:dyDescent="0.25">
      <c r="A261" s="80" t="s">
        <v>409</v>
      </c>
      <c r="B261" s="81"/>
      <c r="C261" s="82"/>
      <c r="D261" s="81"/>
      <c r="E261" s="83"/>
      <c r="F261" s="81"/>
      <c r="G261" s="81"/>
      <c r="H261" s="81"/>
      <c r="I261" s="81"/>
      <c r="J261" s="81"/>
      <c r="K261" s="84"/>
      <c r="L261" s="85"/>
      <c r="M261" s="86"/>
      <c r="N261" s="87"/>
      <c r="O261" s="87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s="20" customFormat="1" ht="50.1" customHeight="1" x14ac:dyDescent="0.25">
      <c r="A262" s="74"/>
      <c r="B262" s="74"/>
      <c r="C262" s="15" t="s">
        <v>237</v>
      </c>
      <c r="D262" s="16" t="s">
        <v>361</v>
      </c>
      <c r="E262" s="17" t="s">
        <v>238</v>
      </c>
      <c r="F262" s="18" t="s">
        <v>34</v>
      </c>
      <c r="G262" s="19">
        <v>1000</v>
      </c>
      <c r="H262" s="16">
        <v>383</v>
      </c>
      <c r="I262" s="16">
        <v>295.5</v>
      </c>
      <c r="J262" s="16">
        <v>9.0500000000000007</v>
      </c>
      <c r="K262" s="75">
        <v>6516.71</v>
      </c>
      <c r="L262" s="75">
        <f t="shared" ref="L262:L264" si="89">K262/1.2</f>
        <v>5430.5916666666672</v>
      </c>
      <c r="M262" s="76">
        <v>0.55000000000000004</v>
      </c>
      <c r="N262" s="77">
        <f>K262-(K262*M262)</f>
        <v>2932.5194999999999</v>
      </c>
      <c r="O262" s="77">
        <f t="shared" ref="O262:O264" si="90">N262/1.2</f>
        <v>2443.7662500000001</v>
      </c>
    </row>
    <row r="263" spans="1:26" s="20" customFormat="1" ht="50.1" customHeight="1" x14ac:dyDescent="0.25">
      <c r="A263" s="107"/>
      <c r="B263" s="107"/>
      <c r="C263" s="15" t="s">
        <v>239</v>
      </c>
      <c r="D263" s="16" t="s">
        <v>361</v>
      </c>
      <c r="E263" s="17" t="s">
        <v>240</v>
      </c>
      <c r="F263" s="18" t="s">
        <v>34</v>
      </c>
      <c r="G263" s="16">
        <v>1000</v>
      </c>
      <c r="H263" s="16">
        <v>383</v>
      </c>
      <c r="I263" s="16">
        <v>395.5</v>
      </c>
      <c r="J263" s="16">
        <v>9.6</v>
      </c>
      <c r="K263" s="73">
        <v>6968.9</v>
      </c>
      <c r="L263" s="75">
        <f t="shared" si="89"/>
        <v>5807.416666666667</v>
      </c>
      <c r="M263" s="76">
        <v>0.55000000000000004</v>
      </c>
      <c r="N263" s="77">
        <f>K263-(K263*M263)</f>
        <v>3136.0049999999997</v>
      </c>
      <c r="O263" s="77">
        <f t="shared" si="90"/>
        <v>2613.3374999999996</v>
      </c>
    </row>
    <row r="264" spans="1:26" s="20" customFormat="1" ht="50.1" customHeight="1" x14ac:dyDescent="0.25">
      <c r="A264" s="74"/>
      <c r="B264" s="74"/>
      <c r="C264" s="15" t="s">
        <v>241</v>
      </c>
      <c r="D264" s="16" t="s">
        <v>361</v>
      </c>
      <c r="E264" s="17" t="s">
        <v>242</v>
      </c>
      <c r="F264" s="18" t="s">
        <v>34</v>
      </c>
      <c r="G264" s="19">
        <v>1000</v>
      </c>
      <c r="H264" s="16">
        <v>383</v>
      </c>
      <c r="I264" s="16">
        <v>495.5</v>
      </c>
      <c r="J264" s="16">
        <v>11.6</v>
      </c>
      <c r="K264" s="79">
        <v>7192.91</v>
      </c>
      <c r="L264" s="75">
        <f t="shared" si="89"/>
        <v>5994.0916666666672</v>
      </c>
      <c r="M264" s="76">
        <v>0.55000000000000004</v>
      </c>
      <c r="N264" s="77">
        <f>K264-(K264*M264)</f>
        <v>3236.8094999999994</v>
      </c>
      <c r="O264" s="77">
        <f t="shared" si="90"/>
        <v>2697.3412499999995</v>
      </c>
    </row>
    <row r="265" spans="1:26" s="13" customFormat="1" ht="15.75" customHeight="1" x14ac:dyDescent="0.25">
      <c r="A265" s="80" t="s">
        <v>410</v>
      </c>
      <c r="B265" s="81"/>
      <c r="C265" s="82"/>
      <c r="D265" s="81"/>
      <c r="E265" s="83"/>
      <c r="F265" s="81"/>
      <c r="G265" s="81"/>
      <c r="H265" s="81"/>
      <c r="I265" s="81"/>
      <c r="J265" s="81"/>
      <c r="K265" s="84"/>
      <c r="L265" s="85"/>
      <c r="M265" s="86"/>
      <c r="N265" s="87"/>
      <c r="O265" s="87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s="20" customFormat="1" ht="50.1" customHeight="1" x14ac:dyDescent="0.25">
      <c r="A266" s="54"/>
      <c r="B266" s="54"/>
      <c r="C266" s="25" t="s">
        <v>243</v>
      </c>
      <c r="D266" s="16" t="s">
        <v>361</v>
      </c>
      <c r="E266" s="17" t="s">
        <v>244</v>
      </c>
      <c r="F266" s="18" t="s">
        <v>34</v>
      </c>
      <c r="G266" s="16">
        <v>500</v>
      </c>
      <c r="H266" s="16">
        <v>375</v>
      </c>
      <c r="I266" s="16">
        <v>21</v>
      </c>
      <c r="J266" s="16">
        <v>19.100000000000001</v>
      </c>
      <c r="K266" s="94">
        <v>6018.1</v>
      </c>
      <c r="L266" s="75">
        <f>K266/1.2</f>
        <v>5015.0833333333339</v>
      </c>
      <c r="M266" s="76">
        <v>0.5</v>
      </c>
      <c r="N266" s="77">
        <f>K266-(K266*M266)</f>
        <v>3009.05</v>
      </c>
      <c r="O266" s="77">
        <f>N266/1.2</f>
        <v>2507.541666666667</v>
      </c>
    </row>
    <row r="267" spans="1:26" s="162" customFormat="1" ht="15.75" customHeight="1" x14ac:dyDescent="0.25">
      <c r="A267" s="88" t="s">
        <v>411</v>
      </c>
      <c r="B267" s="89"/>
      <c r="C267" s="90"/>
      <c r="D267" s="89"/>
      <c r="E267" s="91"/>
      <c r="F267" s="89"/>
      <c r="G267" s="89"/>
      <c r="H267" s="89"/>
      <c r="I267" s="89"/>
      <c r="J267" s="89"/>
      <c r="K267" s="84"/>
      <c r="L267" s="85"/>
      <c r="M267" s="86"/>
      <c r="N267" s="87"/>
      <c r="O267" s="87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s="13" customFormat="1" ht="50.1" customHeight="1" x14ac:dyDescent="0.25">
      <c r="A268" s="38"/>
      <c r="B268" s="38"/>
      <c r="C268" s="25">
        <v>106</v>
      </c>
      <c r="D268" s="16" t="s">
        <v>48</v>
      </c>
      <c r="E268" s="17" t="s">
        <v>359</v>
      </c>
      <c r="F268" s="18" t="s">
        <v>288</v>
      </c>
      <c r="G268" s="16"/>
      <c r="H268" s="16"/>
      <c r="I268" s="16"/>
      <c r="J268" s="16"/>
      <c r="K268" s="94">
        <v>43.89</v>
      </c>
      <c r="L268" s="75">
        <f>K268/1.2</f>
        <v>36.575000000000003</v>
      </c>
      <c r="M268" s="76">
        <v>0.4</v>
      </c>
      <c r="N268" s="77">
        <f>K268-(K268*M268)</f>
        <v>26.334</v>
      </c>
      <c r="O268" s="77">
        <f>N268/1.2</f>
        <v>21.945</v>
      </c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s="12" customFormat="1" ht="15.75" customHeight="1" x14ac:dyDescent="0.25">
      <c r="A269" s="80" t="s">
        <v>412</v>
      </c>
      <c r="B269" s="81"/>
      <c r="C269" s="82"/>
      <c r="D269" s="81"/>
      <c r="E269" s="83"/>
      <c r="F269" s="81"/>
      <c r="G269" s="81"/>
      <c r="H269" s="81"/>
      <c r="I269" s="81"/>
      <c r="J269" s="81"/>
      <c r="K269" s="84"/>
      <c r="L269" s="85"/>
      <c r="M269" s="92"/>
      <c r="N269" s="93"/>
      <c r="O269" s="93"/>
    </row>
    <row r="270" spans="1:26" s="12" customFormat="1" ht="15.75" customHeight="1" x14ac:dyDescent="0.25">
      <c r="A270" s="88" t="s">
        <v>413</v>
      </c>
      <c r="B270" s="88"/>
      <c r="C270" s="140"/>
      <c r="D270" s="88"/>
      <c r="E270" s="141"/>
      <c r="F270" s="88"/>
      <c r="G270" s="88"/>
      <c r="H270" s="88"/>
      <c r="I270" s="88"/>
      <c r="J270" s="88"/>
      <c r="K270" s="84"/>
      <c r="L270" s="84"/>
      <c r="M270" s="117"/>
      <c r="N270" s="118"/>
      <c r="O270" s="118"/>
    </row>
    <row r="271" spans="1:26" s="20" customFormat="1" ht="50.1" customHeight="1" x14ac:dyDescent="0.25">
      <c r="A271" s="163"/>
      <c r="B271" s="163"/>
      <c r="C271" s="164">
        <v>249</v>
      </c>
      <c r="D271" s="165" t="s">
        <v>290</v>
      </c>
      <c r="E271" s="166" t="s">
        <v>414</v>
      </c>
      <c r="F271" s="167" t="s">
        <v>288</v>
      </c>
      <c r="G271" s="165">
        <v>200</v>
      </c>
      <c r="H271" s="165">
        <v>200</v>
      </c>
      <c r="I271" s="165">
        <v>200</v>
      </c>
      <c r="J271" s="165">
        <v>2.1</v>
      </c>
      <c r="K271" s="75">
        <v>339.04</v>
      </c>
      <c r="L271" s="75">
        <f t="shared" ref="L271:L273" si="91">K271/1.2</f>
        <v>282.53333333333336</v>
      </c>
      <c r="M271" s="76">
        <v>0.5</v>
      </c>
      <c r="N271" s="77">
        <f>K271-(K271*M271)</f>
        <v>169.52</v>
      </c>
      <c r="O271" s="77">
        <f t="shared" ref="O271:O273" si="92">N271/1.2</f>
        <v>141.26666666666668</v>
      </c>
    </row>
    <row r="272" spans="1:26" s="20" customFormat="1" ht="50.1" customHeight="1" x14ac:dyDescent="0.25">
      <c r="A272" s="163"/>
      <c r="B272" s="163"/>
      <c r="C272" s="164">
        <v>212</v>
      </c>
      <c r="D272" s="165" t="s">
        <v>48</v>
      </c>
      <c r="E272" s="166" t="s">
        <v>415</v>
      </c>
      <c r="F272" s="167" t="s">
        <v>288</v>
      </c>
      <c r="G272" s="165">
        <v>158.80000000000001</v>
      </c>
      <c r="H272" s="165">
        <v>2.5</v>
      </c>
      <c r="I272" s="165">
        <v>130</v>
      </c>
      <c r="J272" s="165">
        <v>0.06</v>
      </c>
      <c r="K272" s="73">
        <v>49.05</v>
      </c>
      <c r="L272" s="75">
        <f t="shared" si="91"/>
        <v>40.875</v>
      </c>
      <c r="M272" s="76">
        <v>0.5</v>
      </c>
      <c r="N272" s="77">
        <f>K272-(K272*M272)</f>
        <v>24.524999999999999</v>
      </c>
      <c r="O272" s="77">
        <f t="shared" si="92"/>
        <v>20.4375</v>
      </c>
    </row>
    <row r="273" spans="1:15" s="20" customFormat="1" ht="50.1" customHeight="1" x14ac:dyDescent="0.25">
      <c r="A273" s="163"/>
      <c r="B273" s="163"/>
      <c r="C273" s="164">
        <v>213</v>
      </c>
      <c r="D273" s="165" t="s">
        <v>48</v>
      </c>
      <c r="E273" s="166" t="s">
        <v>416</v>
      </c>
      <c r="F273" s="167" t="s">
        <v>288</v>
      </c>
      <c r="G273" s="165">
        <v>156</v>
      </c>
      <c r="H273" s="165">
        <v>115</v>
      </c>
      <c r="I273" s="165">
        <v>99.5</v>
      </c>
      <c r="J273" s="165">
        <v>0.106</v>
      </c>
      <c r="K273" s="79">
        <v>85</v>
      </c>
      <c r="L273" s="75">
        <f t="shared" si="91"/>
        <v>70.833333333333343</v>
      </c>
      <c r="M273" s="76">
        <v>0.5</v>
      </c>
      <c r="N273" s="77">
        <f>K273-(K273*M273)</f>
        <v>42.5</v>
      </c>
      <c r="O273" s="77">
        <f t="shared" si="92"/>
        <v>35.416666666666671</v>
      </c>
    </row>
    <row r="274" spans="1:15" s="12" customFormat="1" ht="15.75" customHeight="1" x14ac:dyDescent="0.25">
      <c r="A274" s="88" t="s">
        <v>417</v>
      </c>
      <c r="B274" s="89"/>
      <c r="C274" s="90"/>
      <c r="D274" s="114"/>
      <c r="E274" s="91"/>
      <c r="F274" s="89"/>
      <c r="G274" s="89"/>
      <c r="H274" s="89"/>
      <c r="I274" s="89"/>
      <c r="J274" s="89"/>
      <c r="K274" s="84"/>
      <c r="L274" s="85"/>
      <c r="M274" s="92"/>
      <c r="N274" s="93"/>
      <c r="O274" s="93"/>
    </row>
    <row r="275" spans="1:15" s="20" customFormat="1" ht="50.1" customHeight="1" x14ac:dyDescent="0.25">
      <c r="A275" s="163"/>
      <c r="B275" s="163"/>
      <c r="C275" s="164">
        <v>203</v>
      </c>
      <c r="D275" s="165" t="s">
        <v>271</v>
      </c>
      <c r="E275" s="166" t="s">
        <v>418</v>
      </c>
      <c r="F275" s="167" t="s">
        <v>288</v>
      </c>
      <c r="G275" s="165">
        <v>188</v>
      </c>
      <c r="H275" s="165">
        <v>188</v>
      </c>
      <c r="I275" s="165">
        <v>20</v>
      </c>
      <c r="J275" s="165">
        <v>0.19</v>
      </c>
      <c r="K275" s="94">
        <v>124.44</v>
      </c>
      <c r="L275" s="75">
        <f>K275/1.2</f>
        <v>103.7</v>
      </c>
      <c r="M275" s="76">
        <v>0.5</v>
      </c>
      <c r="N275" s="77">
        <f>K275-(K275*M275)</f>
        <v>62.22</v>
      </c>
      <c r="O275" s="77">
        <f>N275/1.2</f>
        <v>51.85</v>
      </c>
    </row>
    <row r="276" spans="1:15" s="12" customFormat="1" ht="15.75" customHeight="1" x14ac:dyDescent="0.25">
      <c r="A276" s="88" t="s">
        <v>419</v>
      </c>
      <c r="B276" s="89"/>
      <c r="C276" s="90"/>
      <c r="D276" s="114"/>
      <c r="E276" s="91"/>
      <c r="F276" s="89"/>
      <c r="G276" s="89"/>
      <c r="H276" s="89"/>
      <c r="I276" s="89"/>
      <c r="J276" s="89"/>
      <c r="K276" s="84"/>
      <c r="L276" s="85"/>
      <c r="M276" s="92"/>
      <c r="N276" s="93"/>
      <c r="O276" s="93"/>
    </row>
    <row r="277" spans="1:15" s="20" customFormat="1" ht="50.1" customHeight="1" x14ac:dyDescent="0.25">
      <c r="A277" s="168"/>
      <c r="B277" s="168"/>
      <c r="C277" s="164" t="s">
        <v>420</v>
      </c>
      <c r="D277" s="165" t="s">
        <v>290</v>
      </c>
      <c r="E277" s="166" t="s">
        <v>421</v>
      </c>
      <c r="F277" s="167" t="s">
        <v>288</v>
      </c>
      <c r="G277" s="165">
        <v>300</v>
      </c>
      <c r="H277" s="165">
        <v>300</v>
      </c>
      <c r="I277" s="165">
        <v>300</v>
      </c>
      <c r="J277" s="165">
        <v>1.5</v>
      </c>
      <c r="K277" s="75">
        <v>662</v>
      </c>
      <c r="L277" s="75">
        <f t="shared" ref="L277:L279" si="93">K277/1.2</f>
        <v>551.66666666666674</v>
      </c>
      <c r="M277" s="76">
        <v>0.5</v>
      </c>
      <c r="N277" s="77">
        <f>K277-(K277*M277)</f>
        <v>331</v>
      </c>
      <c r="O277" s="77">
        <f t="shared" ref="O277:O279" si="94">N277/1.2</f>
        <v>275.83333333333337</v>
      </c>
    </row>
    <row r="278" spans="1:15" s="20" customFormat="1" ht="50.1" customHeight="1" x14ac:dyDescent="0.25">
      <c r="A278" s="163"/>
      <c r="B278" s="163"/>
      <c r="C278" s="164">
        <v>210</v>
      </c>
      <c r="D278" s="165" t="s">
        <v>48</v>
      </c>
      <c r="E278" s="166" t="s">
        <v>422</v>
      </c>
      <c r="F278" s="167" t="s">
        <v>288</v>
      </c>
      <c r="G278" s="165">
        <v>250</v>
      </c>
      <c r="H278" s="165">
        <v>2.5</v>
      </c>
      <c r="I278" s="165">
        <v>242</v>
      </c>
      <c r="J278" s="165">
        <v>0.16</v>
      </c>
      <c r="K278" s="73">
        <v>89.44</v>
      </c>
      <c r="L278" s="75">
        <f t="shared" si="93"/>
        <v>74.533333333333331</v>
      </c>
      <c r="M278" s="76">
        <v>0.5</v>
      </c>
      <c r="N278" s="77">
        <f>K278-(K278*M278)</f>
        <v>44.72</v>
      </c>
      <c r="O278" s="77">
        <f t="shared" si="94"/>
        <v>37.266666666666666</v>
      </c>
    </row>
    <row r="279" spans="1:15" s="20" customFormat="1" ht="50.1" customHeight="1" x14ac:dyDescent="0.25">
      <c r="A279" s="163"/>
      <c r="B279" s="163"/>
      <c r="C279" s="164">
        <v>215</v>
      </c>
      <c r="D279" s="165" t="s">
        <v>48</v>
      </c>
      <c r="E279" s="166" t="s">
        <v>423</v>
      </c>
      <c r="F279" s="167" t="s">
        <v>288</v>
      </c>
      <c r="G279" s="165">
        <v>245</v>
      </c>
      <c r="H279" s="165">
        <v>158</v>
      </c>
      <c r="I279" s="165">
        <v>157</v>
      </c>
      <c r="J279" s="165">
        <v>0.26</v>
      </c>
      <c r="K279" s="79">
        <v>134</v>
      </c>
      <c r="L279" s="75">
        <f t="shared" si="93"/>
        <v>111.66666666666667</v>
      </c>
      <c r="M279" s="76">
        <v>0.5</v>
      </c>
      <c r="N279" s="77">
        <f>K279-(K279*M279)</f>
        <v>67</v>
      </c>
      <c r="O279" s="77">
        <f t="shared" si="94"/>
        <v>55.833333333333336</v>
      </c>
    </row>
    <row r="280" spans="1:15" s="12" customFormat="1" ht="15.75" customHeight="1" x14ac:dyDescent="0.25">
      <c r="A280" s="88" t="s">
        <v>424</v>
      </c>
      <c r="B280" s="89"/>
      <c r="C280" s="90"/>
      <c r="D280" s="114"/>
      <c r="E280" s="91"/>
      <c r="F280" s="89"/>
      <c r="G280" s="89"/>
      <c r="H280" s="89"/>
      <c r="I280" s="89"/>
      <c r="J280" s="89"/>
      <c r="K280" s="84"/>
      <c r="L280" s="85"/>
      <c r="M280" s="92"/>
      <c r="N280" s="93"/>
      <c r="O280" s="93"/>
    </row>
    <row r="281" spans="1:15" s="20" customFormat="1" ht="50.1" customHeight="1" x14ac:dyDescent="0.25">
      <c r="A281" s="168"/>
      <c r="B281" s="168"/>
      <c r="C281" s="164">
        <v>200</v>
      </c>
      <c r="D281" s="165" t="s">
        <v>271</v>
      </c>
      <c r="E281" s="166" t="s">
        <v>425</v>
      </c>
      <c r="F281" s="167" t="s">
        <v>288</v>
      </c>
      <c r="G281" s="165">
        <v>285</v>
      </c>
      <c r="H281" s="165">
        <v>285</v>
      </c>
      <c r="I281" s="165">
        <v>21</v>
      </c>
      <c r="J281" s="165">
        <v>0.75</v>
      </c>
      <c r="K281" s="75">
        <v>597.08000000000004</v>
      </c>
      <c r="L281" s="75">
        <f t="shared" ref="L281:L285" si="95">K281/1.2</f>
        <v>497.56666666666672</v>
      </c>
      <c r="M281" s="76">
        <v>0.55000000000000004</v>
      </c>
      <c r="N281" s="77">
        <f>K281-(K281*M281)</f>
        <v>268.68599999999998</v>
      </c>
      <c r="O281" s="77">
        <f t="shared" ref="O281:O285" si="96">N281/1.2</f>
        <v>223.905</v>
      </c>
    </row>
    <row r="282" spans="1:15" s="20" customFormat="1" ht="50.1" customHeight="1" x14ac:dyDescent="0.25">
      <c r="A282" s="163"/>
      <c r="B282" s="163"/>
      <c r="C282" s="164">
        <v>205</v>
      </c>
      <c r="D282" s="165" t="s">
        <v>290</v>
      </c>
      <c r="E282" s="166" t="s">
        <v>426</v>
      </c>
      <c r="F282" s="167" t="s">
        <v>288</v>
      </c>
      <c r="G282" s="165">
        <v>285</v>
      </c>
      <c r="H282" s="165">
        <v>285</v>
      </c>
      <c r="I282" s="165">
        <v>21</v>
      </c>
      <c r="J282" s="165">
        <v>3.2</v>
      </c>
      <c r="K282" s="73">
        <v>963</v>
      </c>
      <c r="L282" s="75">
        <f t="shared" si="95"/>
        <v>802.5</v>
      </c>
      <c r="M282" s="76">
        <v>0.5</v>
      </c>
      <c r="N282" s="77">
        <f>K282-(K282*M282)</f>
        <v>481.5</v>
      </c>
      <c r="O282" s="77">
        <f t="shared" si="96"/>
        <v>401.25</v>
      </c>
    </row>
    <row r="283" spans="1:15" s="20" customFormat="1" ht="50.1" customHeight="1" x14ac:dyDescent="0.25">
      <c r="A283" s="169"/>
      <c r="B283" s="170"/>
      <c r="C283" s="171" t="s">
        <v>427</v>
      </c>
      <c r="D283" s="165" t="s">
        <v>428</v>
      </c>
      <c r="E283" s="172" t="s">
        <v>426</v>
      </c>
      <c r="F283" s="167" t="s">
        <v>288</v>
      </c>
      <c r="G283" s="173">
        <v>285</v>
      </c>
      <c r="H283" s="173">
        <v>285</v>
      </c>
      <c r="I283" s="173">
        <v>21</v>
      </c>
      <c r="J283" s="173">
        <v>3.2</v>
      </c>
      <c r="K283" s="73">
        <v>923</v>
      </c>
      <c r="L283" s="75">
        <f t="shared" si="95"/>
        <v>769.16666666666674</v>
      </c>
      <c r="M283" s="76">
        <v>0.5</v>
      </c>
      <c r="N283" s="77">
        <f>K283-(K283*M283)</f>
        <v>461.5</v>
      </c>
      <c r="O283" s="77">
        <f t="shared" si="96"/>
        <v>384.58333333333337</v>
      </c>
    </row>
    <row r="284" spans="1:15" s="20" customFormat="1" ht="50.1" customHeight="1" x14ac:dyDescent="0.25">
      <c r="A284" s="168"/>
      <c r="B284" s="168"/>
      <c r="C284" s="164">
        <v>206</v>
      </c>
      <c r="D284" s="165" t="s">
        <v>275</v>
      </c>
      <c r="E284" s="166" t="s">
        <v>429</v>
      </c>
      <c r="F284" s="167" t="s">
        <v>288</v>
      </c>
      <c r="G284" s="165">
        <v>285</v>
      </c>
      <c r="H284" s="165">
        <v>285</v>
      </c>
      <c r="I284" s="165">
        <v>21</v>
      </c>
      <c r="J284" s="165">
        <v>1.7</v>
      </c>
      <c r="K284" s="73">
        <v>1073.3699999999999</v>
      </c>
      <c r="L284" s="75">
        <f t="shared" si="95"/>
        <v>894.47499999999991</v>
      </c>
      <c r="M284" s="76">
        <v>0.5</v>
      </c>
      <c r="N284" s="77">
        <f>K284-(K284*M284)</f>
        <v>536.68499999999995</v>
      </c>
      <c r="O284" s="77">
        <f t="shared" si="96"/>
        <v>447.23749999999995</v>
      </c>
    </row>
    <row r="285" spans="1:15" s="20" customFormat="1" ht="50.1" customHeight="1" x14ac:dyDescent="0.25">
      <c r="A285" s="163"/>
      <c r="B285" s="163"/>
      <c r="C285" s="174">
        <v>208</v>
      </c>
      <c r="D285" s="165" t="s">
        <v>271</v>
      </c>
      <c r="E285" s="166" t="s">
        <v>430</v>
      </c>
      <c r="F285" s="167" t="s">
        <v>288</v>
      </c>
      <c r="G285" s="175">
        <v>285</v>
      </c>
      <c r="H285" s="165">
        <v>285</v>
      </c>
      <c r="I285" s="165">
        <v>21</v>
      </c>
      <c r="J285" s="165">
        <v>0.5</v>
      </c>
      <c r="K285" s="79">
        <v>273</v>
      </c>
      <c r="L285" s="75">
        <f t="shared" si="95"/>
        <v>227.5</v>
      </c>
      <c r="M285" s="76">
        <v>0.55000000000000004</v>
      </c>
      <c r="N285" s="77">
        <f>K285-(K285*M285)</f>
        <v>122.85</v>
      </c>
      <c r="O285" s="77">
        <f t="shared" si="96"/>
        <v>102.375</v>
      </c>
    </row>
    <row r="286" spans="1:15" s="12" customFormat="1" ht="15.75" customHeight="1" x14ac:dyDescent="0.25">
      <c r="A286" s="88" t="s">
        <v>431</v>
      </c>
      <c r="B286" s="89"/>
      <c r="C286" s="90"/>
      <c r="D286" s="114"/>
      <c r="E286" s="91"/>
      <c r="F286" s="89"/>
      <c r="G286" s="89"/>
      <c r="H286" s="89"/>
      <c r="I286" s="89"/>
      <c r="J286" s="89"/>
      <c r="K286" s="84"/>
      <c r="L286" s="85"/>
      <c r="M286" s="86"/>
      <c r="N286" s="87"/>
      <c r="O286" s="87"/>
    </row>
    <row r="287" spans="1:15" s="20" customFormat="1" ht="50.1" customHeight="1" x14ac:dyDescent="0.25">
      <c r="A287" s="176"/>
      <c r="B287" s="176"/>
      <c r="C287" s="164">
        <v>239</v>
      </c>
      <c r="D287" s="165" t="s">
        <v>290</v>
      </c>
      <c r="E287" s="166" t="s">
        <v>432</v>
      </c>
      <c r="F287" s="167" t="s">
        <v>288</v>
      </c>
      <c r="G287" s="165">
        <v>400</v>
      </c>
      <c r="H287" s="165">
        <v>400</v>
      </c>
      <c r="I287" s="165">
        <v>400</v>
      </c>
      <c r="J287" s="165">
        <v>4.21</v>
      </c>
      <c r="K287" s="75">
        <v>1634</v>
      </c>
      <c r="L287" s="75">
        <f t="shared" ref="L287:L289" si="97">K287/1.2</f>
        <v>1361.6666666666667</v>
      </c>
      <c r="M287" s="76">
        <v>0.55000000000000004</v>
      </c>
      <c r="N287" s="77">
        <f>K287-(K287*M287)</f>
        <v>735.3</v>
      </c>
      <c r="O287" s="77">
        <f t="shared" ref="O287:O289" si="98">N287/1.2</f>
        <v>612.75</v>
      </c>
    </row>
    <row r="288" spans="1:15" s="20" customFormat="1" ht="50.1" customHeight="1" x14ac:dyDescent="0.25">
      <c r="A288" s="176"/>
      <c r="B288" s="176"/>
      <c r="C288" s="164">
        <v>211</v>
      </c>
      <c r="D288" s="165" t="s">
        <v>48</v>
      </c>
      <c r="E288" s="166" t="s">
        <v>433</v>
      </c>
      <c r="F288" s="167" t="s">
        <v>288</v>
      </c>
      <c r="G288" s="165">
        <v>353.5</v>
      </c>
      <c r="H288" s="165">
        <v>2.5</v>
      </c>
      <c r="I288" s="165">
        <v>289.5</v>
      </c>
      <c r="J288" s="165">
        <v>0.28999999999999998</v>
      </c>
      <c r="K288" s="73">
        <v>187</v>
      </c>
      <c r="L288" s="75">
        <f t="shared" si="97"/>
        <v>155.83333333333334</v>
      </c>
      <c r="M288" s="76">
        <v>0.55000000000000004</v>
      </c>
      <c r="N288" s="77">
        <f>K288-(K288*M288)</f>
        <v>84.149999999999991</v>
      </c>
      <c r="O288" s="77">
        <f t="shared" si="98"/>
        <v>70.125</v>
      </c>
    </row>
    <row r="289" spans="1:26" s="20" customFormat="1" ht="50.1" customHeight="1" x14ac:dyDescent="0.25">
      <c r="A289" s="176"/>
      <c r="B289" s="176"/>
      <c r="C289" s="164">
        <v>214</v>
      </c>
      <c r="D289" s="165" t="s">
        <v>48</v>
      </c>
      <c r="E289" s="166" t="s">
        <v>434</v>
      </c>
      <c r="F289" s="167" t="s">
        <v>288</v>
      </c>
      <c r="G289" s="165">
        <v>350</v>
      </c>
      <c r="H289" s="165">
        <v>262</v>
      </c>
      <c r="I289" s="165">
        <v>150</v>
      </c>
      <c r="J289" s="165">
        <v>0.48</v>
      </c>
      <c r="K289" s="79">
        <v>385</v>
      </c>
      <c r="L289" s="75">
        <f t="shared" si="97"/>
        <v>320.83333333333337</v>
      </c>
      <c r="M289" s="76">
        <v>0.55000000000000004</v>
      </c>
      <c r="N289" s="77">
        <f>K289-(K289*M289)</f>
        <v>173.24999999999997</v>
      </c>
      <c r="O289" s="77">
        <f t="shared" si="98"/>
        <v>144.37499999999997</v>
      </c>
    </row>
    <row r="290" spans="1:26" s="12" customFormat="1" ht="15.75" customHeight="1" x14ac:dyDescent="0.25">
      <c r="A290" s="88" t="s">
        <v>435</v>
      </c>
      <c r="B290" s="89"/>
      <c r="C290" s="90"/>
      <c r="D290" s="114"/>
      <c r="E290" s="91"/>
      <c r="F290" s="89"/>
      <c r="G290" s="89"/>
      <c r="H290" s="89"/>
      <c r="I290" s="89"/>
      <c r="J290" s="89"/>
      <c r="K290" s="84"/>
      <c r="L290" s="85"/>
      <c r="M290" s="86"/>
      <c r="N290" s="87"/>
      <c r="O290" s="87"/>
    </row>
    <row r="291" spans="1:26" s="20" customFormat="1" ht="50.1" customHeight="1" collapsed="1" x14ac:dyDescent="0.25">
      <c r="A291" s="176"/>
      <c r="B291" s="176"/>
      <c r="C291" s="164">
        <v>207</v>
      </c>
      <c r="D291" s="165" t="s">
        <v>271</v>
      </c>
      <c r="E291" s="166" t="s">
        <v>436</v>
      </c>
      <c r="F291" s="167" t="s">
        <v>288</v>
      </c>
      <c r="G291" s="165">
        <v>390</v>
      </c>
      <c r="H291" s="165">
        <v>390</v>
      </c>
      <c r="I291" s="165">
        <v>35</v>
      </c>
      <c r="J291" s="165">
        <v>1.41</v>
      </c>
      <c r="K291" s="75">
        <v>1122</v>
      </c>
      <c r="L291" s="75">
        <f t="shared" ref="L291:L292" si="99">K291/1.2</f>
        <v>935</v>
      </c>
      <c r="M291" s="76">
        <v>0.55000000000000004</v>
      </c>
      <c r="N291" s="77">
        <f>K291-(K291*M291)</f>
        <v>504.9</v>
      </c>
      <c r="O291" s="77">
        <f t="shared" ref="O291:O292" si="100">N291/1.2</f>
        <v>420.75</v>
      </c>
    </row>
    <row r="292" spans="1:26" s="20" customFormat="1" ht="50.1" customHeight="1" x14ac:dyDescent="0.25">
      <c r="A292" s="176"/>
      <c r="B292" s="176"/>
      <c r="C292" s="177">
        <v>209</v>
      </c>
      <c r="D292" s="165"/>
      <c r="E292" s="166" t="s">
        <v>437</v>
      </c>
      <c r="F292" s="178" t="s">
        <v>288</v>
      </c>
      <c r="G292" s="179">
        <v>390</v>
      </c>
      <c r="H292" s="179">
        <v>390</v>
      </c>
      <c r="I292" s="179">
        <v>35</v>
      </c>
      <c r="J292" s="179">
        <v>1.48</v>
      </c>
      <c r="K292" s="79">
        <v>1485</v>
      </c>
      <c r="L292" s="75">
        <f t="shared" si="99"/>
        <v>1237.5</v>
      </c>
      <c r="M292" s="76">
        <v>0.55000000000000004</v>
      </c>
      <c r="N292" s="77">
        <f>K292-(K292*M292)</f>
        <v>668.24999999999989</v>
      </c>
      <c r="O292" s="77">
        <f t="shared" si="100"/>
        <v>556.87499999999989</v>
      </c>
    </row>
    <row r="293" spans="1:26" s="162" customFormat="1" ht="15.75" customHeight="1" x14ac:dyDescent="0.25">
      <c r="A293" s="88" t="s">
        <v>438</v>
      </c>
      <c r="B293" s="89"/>
      <c r="C293" s="90"/>
      <c r="D293" s="114"/>
      <c r="E293" s="91"/>
      <c r="F293" s="89"/>
      <c r="G293" s="89"/>
      <c r="H293" s="89"/>
      <c r="I293" s="89"/>
      <c r="J293" s="89"/>
      <c r="K293" s="84"/>
      <c r="L293" s="85"/>
      <c r="M293" s="86"/>
      <c r="N293" s="87"/>
      <c r="O293" s="87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s="13" customFormat="1" ht="50.1" customHeight="1" x14ac:dyDescent="0.25">
      <c r="A294" s="180"/>
      <c r="B294" s="180"/>
      <c r="C294" s="164">
        <v>28135</v>
      </c>
      <c r="D294" s="165"/>
      <c r="E294" s="166" t="s">
        <v>439</v>
      </c>
      <c r="F294" s="167" t="s">
        <v>288</v>
      </c>
      <c r="G294" s="165">
        <v>300</v>
      </c>
      <c r="H294" s="165">
        <v>166</v>
      </c>
      <c r="I294" s="165">
        <v>200</v>
      </c>
      <c r="J294" s="165">
        <v>0.9</v>
      </c>
      <c r="K294" s="94">
        <v>500.24</v>
      </c>
      <c r="L294" s="75">
        <f>K294/1.2</f>
        <v>416.86666666666667</v>
      </c>
      <c r="M294" s="76">
        <v>0.55000000000000004</v>
      </c>
      <c r="N294" s="77">
        <f>K294-(K294*M294)</f>
        <v>225.108</v>
      </c>
      <c r="O294" s="77">
        <f>N294/1.2</f>
        <v>187.59</v>
      </c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s="12" customFormat="1" ht="15.75" customHeight="1" x14ac:dyDescent="0.25">
      <c r="A295" s="80" t="s">
        <v>440</v>
      </c>
      <c r="B295" s="81"/>
      <c r="C295" s="82"/>
      <c r="D295" s="114"/>
      <c r="E295" s="83"/>
      <c r="F295" s="81"/>
      <c r="G295" s="81"/>
      <c r="H295" s="81"/>
      <c r="I295" s="81"/>
      <c r="J295" s="81"/>
      <c r="K295" s="84"/>
      <c r="L295" s="85"/>
      <c r="M295" s="92"/>
      <c r="N295" s="93"/>
      <c r="O295" s="93"/>
    </row>
    <row r="296" spans="1:26" s="12" customFormat="1" ht="15.75" customHeight="1" x14ac:dyDescent="0.25">
      <c r="A296" s="80" t="s">
        <v>441</v>
      </c>
      <c r="B296" s="80"/>
      <c r="C296" s="97"/>
      <c r="D296" s="114"/>
      <c r="E296" s="115"/>
      <c r="F296" s="80"/>
      <c r="G296" s="80"/>
      <c r="H296" s="80"/>
      <c r="I296" s="80"/>
      <c r="J296" s="80"/>
      <c r="K296" s="84"/>
      <c r="L296" s="84"/>
      <c r="M296" s="117"/>
      <c r="N296" s="118"/>
      <c r="O296" s="118"/>
    </row>
    <row r="297" spans="1:26" s="13" customFormat="1" ht="50.1" customHeight="1" x14ac:dyDescent="0.25">
      <c r="A297" s="181"/>
      <c r="B297" s="181"/>
      <c r="C297" s="164" t="s">
        <v>442</v>
      </c>
      <c r="D297" s="165" t="s">
        <v>271</v>
      </c>
      <c r="E297" s="166" t="s">
        <v>443</v>
      </c>
      <c r="F297" s="167" t="s">
        <v>288</v>
      </c>
      <c r="G297" s="165">
        <v>750</v>
      </c>
      <c r="H297" s="165">
        <v>750</v>
      </c>
      <c r="I297" s="165">
        <v>80</v>
      </c>
      <c r="J297" s="165">
        <v>9.1999999999999993</v>
      </c>
      <c r="K297" s="75">
        <v>2777</v>
      </c>
      <c r="L297" s="75">
        <f t="shared" ref="L297:L298" si="101">K297/1.2</f>
        <v>2314.166666666667</v>
      </c>
      <c r="M297" s="76">
        <v>0.45</v>
      </c>
      <c r="N297" s="77">
        <f>K297-(K297*M297)</f>
        <v>1527.35</v>
      </c>
      <c r="O297" s="77">
        <f t="shared" ref="O297:O298" si="102">N297/1.2</f>
        <v>1272.7916666666667</v>
      </c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s="12" customFormat="1" ht="50.1" customHeight="1" x14ac:dyDescent="0.25">
      <c r="A298" s="168"/>
      <c r="B298" s="168"/>
      <c r="C298" s="164" t="s">
        <v>444</v>
      </c>
      <c r="D298" s="165" t="s">
        <v>271</v>
      </c>
      <c r="E298" s="166" t="s">
        <v>445</v>
      </c>
      <c r="F298" s="167" t="s">
        <v>288</v>
      </c>
      <c r="G298" s="165">
        <v>750</v>
      </c>
      <c r="H298" s="165">
        <v>750</v>
      </c>
      <c r="I298" s="165">
        <v>80</v>
      </c>
      <c r="J298" s="165">
        <v>9.1999999999999993</v>
      </c>
      <c r="K298" s="79">
        <v>3471.25</v>
      </c>
      <c r="L298" s="75">
        <f t="shared" si="101"/>
        <v>2892.7083333333335</v>
      </c>
      <c r="M298" s="76">
        <v>0.45</v>
      </c>
      <c r="N298" s="77">
        <f>K298-(K298*M298)</f>
        <v>1909.1875</v>
      </c>
      <c r="O298" s="77">
        <f t="shared" si="102"/>
        <v>1590.9895833333335</v>
      </c>
    </row>
    <row r="299" spans="1:26" s="12" customFormat="1" ht="15.75" customHeight="1" x14ac:dyDescent="0.25">
      <c r="A299" s="80" t="s">
        <v>446</v>
      </c>
      <c r="B299" s="81"/>
      <c r="C299" s="82"/>
      <c r="D299" s="114"/>
      <c r="E299" s="83"/>
      <c r="F299" s="81"/>
      <c r="G299" s="81"/>
      <c r="H299" s="81"/>
      <c r="I299" s="81"/>
      <c r="J299" s="81"/>
      <c r="K299" s="84"/>
      <c r="L299" s="85"/>
      <c r="M299" s="92"/>
      <c r="N299" s="93"/>
      <c r="O299" s="93"/>
    </row>
    <row r="300" spans="1:26" s="13" customFormat="1" ht="50.1" customHeight="1" x14ac:dyDescent="0.25">
      <c r="A300" s="108"/>
      <c r="B300" s="108"/>
      <c r="C300" s="164">
        <v>217</v>
      </c>
      <c r="D300" s="165" t="s">
        <v>290</v>
      </c>
      <c r="E300" s="166" t="s">
        <v>447</v>
      </c>
      <c r="F300" s="167" t="s">
        <v>288</v>
      </c>
      <c r="G300" s="165">
        <v>840</v>
      </c>
      <c r="H300" s="165">
        <v>840</v>
      </c>
      <c r="I300" s="165">
        <v>110</v>
      </c>
      <c r="J300" s="165">
        <v>113</v>
      </c>
      <c r="K300" s="75">
        <v>9621</v>
      </c>
      <c r="L300" s="75">
        <f t="shared" ref="L300:L301" si="103">K300/1.2</f>
        <v>8017.5</v>
      </c>
      <c r="M300" s="76">
        <v>0</v>
      </c>
      <c r="N300" s="77">
        <f>K300-(K300*M300)</f>
        <v>9621</v>
      </c>
      <c r="O300" s="77">
        <f t="shared" ref="O300:O301" si="104">N300/1.2</f>
        <v>8017.5</v>
      </c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s="12" customFormat="1" ht="50.1" customHeight="1" x14ac:dyDescent="0.25">
      <c r="A301" s="108"/>
      <c r="B301" s="108"/>
      <c r="C301" s="164">
        <v>218</v>
      </c>
      <c r="D301" s="165" t="s">
        <v>271</v>
      </c>
      <c r="E301" s="166" t="s">
        <v>448</v>
      </c>
      <c r="F301" s="167" t="s">
        <v>288</v>
      </c>
      <c r="G301" s="165">
        <v>745</v>
      </c>
      <c r="H301" s="165">
        <v>745</v>
      </c>
      <c r="I301" s="165">
        <v>65</v>
      </c>
      <c r="J301" s="165">
        <v>55</v>
      </c>
      <c r="K301" s="79">
        <v>6377</v>
      </c>
      <c r="L301" s="75">
        <f t="shared" si="103"/>
        <v>5314.166666666667</v>
      </c>
      <c r="M301" s="76">
        <v>0</v>
      </c>
      <c r="N301" s="77">
        <f>K301-(K301*M301)</f>
        <v>6377</v>
      </c>
      <c r="O301" s="77">
        <f t="shared" si="104"/>
        <v>5314.166666666667</v>
      </c>
    </row>
    <row r="302" spans="1:26" s="12" customFormat="1" ht="15.75" customHeight="1" x14ac:dyDescent="0.25">
      <c r="A302" s="80" t="s">
        <v>449</v>
      </c>
      <c r="B302" s="81"/>
      <c r="C302" s="82"/>
      <c r="D302" s="114"/>
      <c r="E302" s="83"/>
      <c r="F302" s="81"/>
      <c r="G302" s="81"/>
      <c r="H302" s="81"/>
      <c r="I302" s="81"/>
      <c r="J302" s="81"/>
      <c r="K302" s="84"/>
      <c r="L302" s="85"/>
      <c r="M302" s="92"/>
      <c r="N302" s="93"/>
      <c r="O302" s="93"/>
    </row>
    <row r="303" spans="1:26" s="13" customFormat="1" ht="50.1" customHeight="1" x14ac:dyDescent="0.25">
      <c r="A303" s="108"/>
      <c r="B303" s="108"/>
      <c r="C303" s="164">
        <v>219</v>
      </c>
      <c r="D303" s="165" t="s">
        <v>290</v>
      </c>
      <c r="E303" s="166" t="s">
        <v>450</v>
      </c>
      <c r="F303" s="167" t="s">
        <v>288</v>
      </c>
      <c r="G303" s="165">
        <v>990</v>
      </c>
      <c r="H303" s="165">
        <v>500</v>
      </c>
      <c r="I303" s="165">
        <v>90</v>
      </c>
      <c r="J303" s="165">
        <v>105</v>
      </c>
      <c r="K303" s="75">
        <v>13648</v>
      </c>
      <c r="L303" s="75">
        <f t="shared" ref="L303:L304" si="105">K303/1.2</f>
        <v>11373.333333333334</v>
      </c>
      <c r="M303" s="76">
        <v>0.1</v>
      </c>
      <c r="N303" s="77">
        <f>K303-(K303*M303)</f>
        <v>12283.2</v>
      </c>
      <c r="O303" s="77">
        <f t="shared" ref="O303:O304" si="106">N303/1.2</f>
        <v>10236.000000000002</v>
      </c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s="12" customFormat="1" ht="50.1" customHeight="1" x14ac:dyDescent="0.25">
      <c r="A304" s="108"/>
      <c r="B304" s="108"/>
      <c r="C304" s="164">
        <v>220</v>
      </c>
      <c r="D304" s="165" t="s">
        <v>290</v>
      </c>
      <c r="E304" s="166" t="s">
        <v>451</v>
      </c>
      <c r="F304" s="167" t="s">
        <v>288</v>
      </c>
      <c r="G304" s="165">
        <v>840</v>
      </c>
      <c r="H304" s="165">
        <v>840</v>
      </c>
      <c r="I304" s="165">
        <v>100</v>
      </c>
      <c r="J304" s="165">
        <v>109</v>
      </c>
      <c r="K304" s="79">
        <v>10830</v>
      </c>
      <c r="L304" s="75">
        <f t="shared" si="105"/>
        <v>9025</v>
      </c>
      <c r="M304" s="76">
        <v>0</v>
      </c>
      <c r="N304" s="77">
        <f>K304-(K304*M304)</f>
        <v>10830</v>
      </c>
      <c r="O304" s="77">
        <f t="shared" si="106"/>
        <v>9025</v>
      </c>
    </row>
    <row r="305" spans="1:26" s="12" customFormat="1" ht="15.75" customHeight="1" x14ac:dyDescent="0.25">
      <c r="A305" s="80" t="s">
        <v>452</v>
      </c>
      <c r="B305" s="81"/>
      <c r="C305" s="82"/>
      <c r="D305" s="81"/>
      <c r="E305" s="83"/>
      <c r="F305" s="81"/>
      <c r="G305" s="81"/>
      <c r="H305" s="81"/>
      <c r="I305" s="81"/>
      <c r="J305" s="81"/>
      <c r="K305" s="84"/>
      <c r="L305" s="85"/>
      <c r="M305" s="92"/>
      <c r="N305" s="93"/>
      <c r="O305" s="93"/>
    </row>
    <row r="306" spans="1:26" s="20" customFormat="1" ht="50.1" customHeight="1" x14ac:dyDescent="0.25">
      <c r="A306" s="54"/>
      <c r="B306" s="54"/>
      <c r="C306" s="164" t="s">
        <v>453</v>
      </c>
      <c r="D306" s="165" t="s">
        <v>364</v>
      </c>
      <c r="E306" s="166" t="s">
        <v>454</v>
      </c>
      <c r="F306" s="167" t="s">
        <v>288</v>
      </c>
      <c r="G306" s="165">
        <v>750</v>
      </c>
      <c r="H306" s="165">
        <v>200</v>
      </c>
      <c r="I306" s="165">
        <v>27</v>
      </c>
      <c r="J306" s="165">
        <v>13.7</v>
      </c>
      <c r="K306" s="75">
        <v>3748</v>
      </c>
      <c r="L306" s="75">
        <f t="shared" ref="L306:L311" si="107">K306/1.2</f>
        <v>3123.3333333333335</v>
      </c>
      <c r="M306" s="76">
        <v>0.45</v>
      </c>
      <c r="N306" s="77">
        <f t="shared" ref="N306:N311" si="108">K306-(K306*M306)</f>
        <v>2061.3999999999996</v>
      </c>
      <c r="O306" s="77">
        <f t="shared" ref="O306:O311" si="109">N306/1.2</f>
        <v>1717.833333333333</v>
      </c>
    </row>
    <row r="307" spans="1:26" s="20" customFormat="1" ht="50.1" customHeight="1" x14ac:dyDescent="0.25">
      <c r="A307" s="54"/>
      <c r="B307" s="54"/>
      <c r="C307" s="164" t="s">
        <v>455</v>
      </c>
      <c r="D307" s="165" t="s">
        <v>364</v>
      </c>
      <c r="E307" s="166" t="s">
        <v>456</v>
      </c>
      <c r="F307" s="167" t="s">
        <v>288</v>
      </c>
      <c r="G307" s="165">
        <v>750</v>
      </c>
      <c r="H307" s="165">
        <v>250</v>
      </c>
      <c r="I307" s="165">
        <v>27</v>
      </c>
      <c r="J307" s="165">
        <v>19.5</v>
      </c>
      <c r="K307" s="73">
        <v>5325</v>
      </c>
      <c r="L307" s="75">
        <f t="shared" si="107"/>
        <v>4437.5</v>
      </c>
      <c r="M307" s="76">
        <v>0.45</v>
      </c>
      <c r="N307" s="77">
        <f t="shared" si="108"/>
        <v>2928.75</v>
      </c>
      <c r="O307" s="77">
        <f t="shared" si="109"/>
        <v>2440.625</v>
      </c>
    </row>
    <row r="308" spans="1:26" s="20" customFormat="1" ht="50.1" customHeight="1" x14ac:dyDescent="0.25">
      <c r="A308" s="54"/>
      <c r="B308" s="54"/>
      <c r="C308" s="164" t="s">
        <v>457</v>
      </c>
      <c r="D308" s="165" t="s">
        <v>364</v>
      </c>
      <c r="E308" s="166" t="s">
        <v>458</v>
      </c>
      <c r="F308" s="167" t="s">
        <v>288</v>
      </c>
      <c r="G308" s="165">
        <v>750</v>
      </c>
      <c r="H308" s="165">
        <v>300</v>
      </c>
      <c r="I308" s="165">
        <v>27</v>
      </c>
      <c r="J308" s="165">
        <v>24.7</v>
      </c>
      <c r="K308" s="73">
        <v>6768</v>
      </c>
      <c r="L308" s="75">
        <f t="shared" si="107"/>
        <v>5640</v>
      </c>
      <c r="M308" s="76">
        <v>0.45</v>
      </c>
      <c r="N308" s="77">
        <f t="shared" si="108"/>
        <v>3722.4</v>
      </c>
      <c r="O308" s="77">
        <f t="shared" si="109"/>
        <v>3102</v>
      </c>
    </row>
    <row r="309" spans="1:26" s="20" customFormat="1" ht="50.1" customHeight="1" x14ac:dyDescent="0.25">
      <c r="A309" s="54"/>
      <c r="B309" s="54"/>
      <c r="C309" s="164" t="s">
        <v>459</v>
      </c>
      <c r="D309" s="165" t="s">
        <v>364</v>
      </c>
      <c r="E309" s="166" t="s">
        <v>460</v>
      </c>
      <c r="F309" s="167" t="s">
        <v>288</v>
      </c>
      <c r="G309" s="165">
        <v>750</v>
      </c>
      <c r="H309" s="165">
        <v>350</v>
      </c>
      <c r="I309" s="165">
        <v>27</v>
      </c>
      <c r="J309" s="165">
        <v>27.3</v>
      </c>
      <c r="K309" s="73">
        <v>7501</v>
      </c>
      <c r="L309" s="75">
        <f t="shared" si="107"/>
        <v>6250.8333333333339</v>
      </c>
      <c r="M309" s="76">
        <v>0.45</v>
      </c>
      <c r="N309" s="77">
        <f t="shared" si="108"/>
        <v>4125.5499999999993</v>
      </c>
      <c r="O309" s="77">
        <f t="shared" si="109"/>
        <v>3437.958333333333</v>
      </c>
    </row>
    <row r="310" spans="1:26" s="20" customFormat="1" ht="50.1" customHeight="1" x14ac:dyDescent="0.25">
      <c r="A310" s="54"/>
      <c r="B310" s="54"/>
      <c r="C310" s="164" t="s">
        <v>461</v>
      </c>
      <c r="D310" s="165" t="s">
        <v>364</v>
      </c>
      <c r="E310" s="166" t="s">
        <v>462</v>
      </c>
      <c r="F310" s="167" t="s">
        <v>288</v>
      </c>
      <c r="G310" s="165">
        <v>750</v>
      </c>
      <c r="H310" s="165">
        <v>400</v>
      </c>
      <c r="I310" s="165">
        <v>27</v>
      </c>
      <c r="J310" s="165">
        <v>35</v>
      </c>
      <c r="K310" s="73">
        <v>9475</v>
      </c>
      <c r="L310" s="75">
        <f t="shared" si="107"/>
        <v>7895.8333333333339</v>
      </c>
      <c r="M310" s="76">
        <v>0.45</v>
      </c>
      <c r="N310" s="77">
        <f t="shared" si="108"/>
        <v>5211.25</v>
      </c>
      <c r="O310" s="77">
        <f t="shared" si="109"/>
        <v>4342.7083333333339</v>
      </c>
    </row>
    <row r="311" spans="1:26" s="20" customFormat="1" ht="50.1" customHeight="1" x14ac:dyDescent="0.25">
      <c r="A311" s="54"/>
      <c r="B311" s="54"/>
      <c r="C311" s="164" t="s">
        <v>463</v>
      </c>
      <c r="D311" s="165" t="s">
        <v>364</v>
      </c>
      <c r="E311" s="166" t="s">
        <v>464</v>
      </c>
      <c r="F311" s="167" t="s">
        <v>288</v>
      </c>
      <c r="G311" s="165">
        <v>750</v>
      </c>
      <c r="H311" s="165">
        <v>500</v>
      </c>
      <c r="I311" s="165">
        <v>27</v>
      </c>
      <c r="J311" s="165">
        <v>44</v>
      </c>
      <c r="K311" s="79">
        <v>12026</v>
      </c>
      <c r="L311" s="75">
        <f t="shared" si="107"/>
        <v>10021.666666666668</v>
      </c>
      <c r="M311" s="76">
        <v>0.45</v>
      </c>
      <c r="N311" s="77">
        <f t="shared" si="108"/>
        <v>6614.3</v>
      </c>
      <c r="O311" s="77">
        <f t="shared" si="109"/>
        <v>5511.916666666667</v>
      </c>
    </row>
    <row r="312" spans="1:26" s="13" customFormat="1" ht="15.75" customHeight="1" x14ac:dyDescent="0.25">
      <c r="A312" s="80" t="s">
        <v>465</v>
      </c>
      <c r="B312" s="81"/>
      <c r="C312" s="82"/>
      <c r="D312" s="81"/>
      <c r="E312" s="83"/>
      <c r="F312" s="81"/>
      <c r="G312" s="81"/>
      <c r="H312" s="81"/>
      <c r="I312" s="81"/>
      <c r="J312" s="81"/>
      <c r="K312" s="84"/>
      <c r="L312" s="85"/>
      <c r="M312" s="86"/>
      <c r="N312" s="87"/>
      <c r="O312" s="87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s="12" customFormat="1" ht="15.75" customHeight="1" x14ac:dyDescent="0.25">
      <c r="A313" s="80" t="s">
        <v>466</v>
      </c>
      <c r="B313" s="80"/>
      <c r="C313" s="97"/>
      <c r="D313" s="80"/>
      <c r="E313" s="115"/>
      <c r="F313" s="80"/>
      <c r="G313" s="80"/>
      <c r="H313" s="80"/>
      <c r="I313" s="80"/>
      <c r="J313" s="80"/>
      <c r="K313" s="84"/>
      <c r="L313" s="84"/>
      <c r="M313" s="126"/>
      <c r="N313" s="127"/>
      <c r="O313" s="127"/>
    </row>
    <row r="314" spans="1:26" s="12" customFormat="1" ht="50.1" customHeight="1" x14ac:dyDescent="0.25">
      <c r="A314" s="74"/>
      <c r="B314" s="74"/>
      <c r="C314" s="182">
        <v>609</v>
      </c>
      <c r="D314" s="183" t="s">
        <v>290</v>
      </c>
      <c r="E314" s="184" t="s">
        <v>467</v>
      </c>
      <c r="F314" s="185" t="s">
        <v>288</v>
      </c>
      <c r="G314" s="183">
        <v>530</v>
      </c>
      <c r="H314" s="186">
        <v>430</v>
      </c>
      <c r="I314" s="186">
        <v>33</v>
      </c>
      <c r="J314" s="186">
        <v>0.8</v>
      </c>
      <c r="K314" s="75">
        <v>216.315</v>
      </c>
      <c r="L314" s="75">
        <f t="shared" ref="L314:L315" si="110">K314/1.2</f>
        <v>180.26250000000002</v>
      </c>
      <c r="M314" s="76">
        <v>0.3</v>
      </c>
      <c r="N314" s="77">
        <f>K314-(K314*M314)</f>
        <v>151.4205</v>
      </c>
      <c r="O314" s="77">
        <f t="shared" ref="O314:O315" si="111">N314/1.2</f>
        <v>126.18375</v>
      </c>
    </row>
    <row r="315" spans="1:26" s="12" customFormat="1" ht="50.1" customHeight="1" x14ac:dyDescent="0.25">
      <c r="A315" s="14"/>
      <c r="B315" s="14"/>
      <c r="C315" s="182">
        <v>610</v>
      </c>
      <c r="D315" s="183" t="s">
        <v>290</v>
      </c>
      <c r="E315" s="184" t="s">
        <v>468</v>
      </c>
      <c r="F315" s="185" t="s">
        <v>288</v>
      </c>
      <c r="G315" s="183">
        <v>530</v>
      </c>
      <c r="H315" s="186">
        <v>430</v>
      </c>
      <c r="I315" s="186">
        <v>33</v>
      </c>
      <c r="J315" s="186">
        <v>0.8</v>
      </c>
      <c r="K315" s="79">
        <v>179.55</v>
      </c>
      <c r="L315" s="75">
        <f t="shared" si="110"/>
        <v>149.62500000000003</v>
      </c>
      <c r="M315" s="76">
        <v>0.3</v>
      </c>
      <c r="N315" s="77">
        <f>K315-(K315*M315)</f>
        <v>125.685</v>
      </c>
      <c r="O315" s="77">
        <f t="shared" si="111"/>
        <v>104.73750000000001</v>
      </c>
    </row>
    <row r="316" spans="1:26" s="12" customFormat="1" ht="15.75" customHeight="1" x14ac:dyDescent="0.25">
      <c r="A316" s="80" t="s">
        <v>469</v>
      </c>
      <c r="B316" s="81"/>
      <c r="C316" s="82"/>
      <c r="D316" s="187"/>
      <c r="E316" s="83"/>
      <c r="F316" s="81"/>
      <c r="G316" s="81"/>
      <c r="H316" s="81"/>
      <c r="I316" s="81"/>
      <c r="J316" s="81"/>
      <c r="K316" s="84"/>
      <c r="L316" s="85"/>
      <c r="M316" s="86"/>
      <c r="N316" s="87"/>
      <c r="O316" s="87"/>
    </row>
    <row r="317" spans="1:26" s="12" customFormat="1" ht="50.1" customHeight="1" x14ac:dyDescent="0.25">
      <c r="A317" s="74"/>
      <c r="B317" s="74"/>
      <c r="C317" s="182">
        <v>607</v>
      </c>
      <c r="D317" s="183" t="s">
        <v>290</v>
      </c>
      <c r="E317" s="184" t="s">
        <v>470</v>
      </c>
      <c r="F317" s="185" t="s">
        <v>288</v>
      </c>
      <c r="G317" s="183">
        <v>700</v>
      </c>
      <c r="H317" s="186">
        <v>400</v>
      </c>
      <c r="I317" s="186">
        <v>32.799999999999997</v>
      </c>
      <c r="J317" s="186">
        <v>1.1000000000000001</v>
      </c>
      <c r="K317" s="75">
        <v>270.71000000000004</v>
      </c>
      <c r="L317" s="75">
        <f t="shared" ref="L317:L320" si="112">K317/1.2</f>
        <v>225.5916666666667</v>
      </c>
      <c r="M317" s="76">
        <v>0.3</v>
      </c>
      <c r="N317" s="77">
        <f>K317-(K317*M317)</f>
        <v>189.49700000000001</v>
      </c>
      <c r="O317" s="77">
        <f t="shared" ref="O317:O320" si="113">N317/1.2</f>
        <v>157.91416666666669</v>
      </c>
    </row>
    <row r="318" spans="1:26" s="12" customFormat="1" ht="50.1" customHeight="1" x14ac:dyDescent="0.25">
      <c r="A318" s="14"/>
      <c r="B318" s="14"/>
      <c r="C318" s="182">
        <v>608</v>
      </c>
      <c r="D318" s="183" t="s">
        <v>290</v>
      </c>
      <c r="E318" s="184" t="s">
        <v>471</v>
      </c>
      <c r="F318" s="185" t="s">
        <v>288</v>
      </c>
      <c r="G318" s="183">
        <v>700</v>
      </c>
      <c r="H318" s="186">
        <v>400</v>
      </c>
      <c r="I318" s="186">
        <v>32.799999999999997</v>
      </c>
      <c r="J318" s="186">
        <v>1.1000000000000001</v>
      </c>
      <c r="K318" s="73">
        <v>231.12</v>
      </c>
      <c r="L318" s="75">
        <f t="shared" si="112"/>
        <v>192.60000000000002</v>
      </c>
      <c r="M318" s="76">
        <v>0.3</v>
      </c>
      <c r="N318" s="77">
        <f>K318-(K318*M318)</f>
        <v>161.78399999999999</v>
      </c>
      <c r="O318" s="77">
        <f t="shared" si="113"/>
        <v>134.82</v>
      </c>
    </row>
    <row r="319" spans="1:26" s="12" customFormat="1" ht="50.1" customHeight="1" x14ac:dyDescent="0.25">
      <c r="A319" s="74"/>
      <c r="B319" s="74"/>
      <c r="C319" s="182">
        <v>605</v>
      </c>
      <c r="D319" s="183" t="s">
        <v>290</v>
      </c>
      <c r="E319" s="184" t="s">
        <v>472</v>
      </c>
      <c r="F319" s="185" t="s">
        <v>288</v>
      </c>
      <c r="G319" s="183">
        <v>600</v>
      </c>
      <c r="H319" s="186">
        <v>600</v>
      </c>
      <c r="I319" s="186">
        <v>40</v>
      </c>
      <c r="J319" s="186">
        <v>1.6</v>
      </c>
      <c r="K319" s="73">
        <v>395.01</v>
      </c>
      <c r="L319" s="75">
        <f t="shared" si="112"/>
        <v>329.17500000000001</v>
      </c>
      <c r="M319" s="76">
        <v>0.3</v>
      </c>
      <c r="N319" s="77">
        <f>K319-(K319*M319)</f>
        <v>276.50700000000001</v>
      </c>
      <c r="O319" s="77">
        <f t="shared" si="113"/>
        <v>230.42250000000001</v>
      </c>
    </row>
    <row r="320" spans="1:26" s="13" customFormat="1" ht="50.1" customHeight="1" x14ac:dyDescent="0.25">
      <c r="A320" s="14"/>
      <c r="B320" s="14"/>
      <c r="C320" s="182">
        <v>606</v>
      </c>
      <c r="D320" s="183" t="s">
        <v>290</v>
      </c>
      <c r="E320" s="184" t="s">
        <v>473</v>
      </c>
      <c r="F320" s="185" t="s">
        <v>288</v>
      </c>
      <c r="G320" s="183">
        <v>600</v>
      </c>
      <c r="H320" s="186">
        <v>600</v>
      </c>
      <c r="I320" s="186">
        <v>40</v>
      </c>
      <c r="J320" s="186">
        <v>1.6</v>
      </c>
      <c r="K320" s="79">
        <v>340.2</v>
      </c>
      <c r="L320" s="75">
        <f t="shared" si="112"/>
        <v>283.5</v>
      </c>
      <c r="M320" s="76">
        <v>0.3</v>
      </c>
      <c r="N320" s="77">
        <f>K320-(K320*M320)</f>
        <v>238.14</v>
      </c>
      <c r="O320" s="77">
        <f t="shared" si="113"/>
        <v>198.45</v>
      </c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s="12" customFormat="1" ht="15.75" customHeight="1" x14ac:dyDescent="0.25">
      <c r="A321" s="80" t="s">
        <v>474</v>
      </c>
      <c r="B321" s="81"/>
      <c r="C321" s="82"/>
      <c r="D321" s="81"/>
      <c r="E321" s="83"/>
      <c r="F321" s="81"/>
      <c r="G321" s="81"/>
      <c r="H321" s="81"/>
      <c r="I321" s="81"/>
      <c r="J321" s="81"/>
      <c r="K321" s="84"/>
      <c r="L321" s="85"/>
      <c r="M321" s="86"/>
      <c r="N321" s="87"/>
      <c r="O321" s="87"/>
    </row>
    <row r="322" spans="1:26" s="12" customFormat="1" ht="50.1" customHeight="1" x14ac:dyDescent="0.25">
      <c r="A322" s="74"/>
      <c r="B322" s="74"/>
      <c r="C322" s="182">
        <v>601</v>
      </c>
      <c r="D322" s="186" t="s">
        <v>364</v>
      </c>
      <c r="E322" s="184" t="s">
        <v>475</v>
      </c>
      <c r="F322" s="185" t="s">
        <v>288</v>
      </c>
      <c r="G322" s="183">
        <v>600</v>
      </c>
      <c r="H322" s="186">
        <v>400</v>
      </c>
      <c r="I322" s="186">
        <v>64</v>
      </c>
      <c r="J322" s="186">
        <v>2.02</v>
      </c>
      <c r="K322" s="75">
        <v>507.26500000000004</v>
      </c>
      <c r="L322" s="75">
        <f t="shared" ref="L322:L323" si="114">K322/1.2</f>
        <v>422.72083333333336</v>
      </c>
      <c r="M322" s="76">
        <v>0.3</v>
      </c>
      <c r="N322" s="77">
        <f>K322-(K322*M322)</f>
        <v>355.08550000000002</v>
      </c>
      <c r="O322" s="77">
        <f t="shared" ref="O322:O323" si="115">N322/1.2</f>
        <v>295.90458333333339</v>
      </c>
    </row>
    <row r="323" spans="1:26" s="12" customFormat="1" ht="50.1" customHeight="1" x14ac:dyDescent="0.25">
      <c r="A323" s="14"/>
      <c r="B323" s="14"/>
      <c r="C323" s="182">
        <v>602</v>
      </c>
      <c r="D323" s="186" t="s">
        <v>364</v>
      </c>
      <c r="E323" s="184" t="s">
        <v>476</v>
      </c>
      <c r="F323" s="185" t="s">
        <v>288</v>
      </c>
      <c r="G323" s="183">
        <v>600</v>
      </c>
      <c r="H323" s="186">
        <v>400</v>
      </c>
      <c r="I323" s="186">
        <v>64</v>
      </c>
      <c r="J323" s="186">
        <v>2.02</v>
      </c>
      <c r="K323" s="79">
        <v>421.05</v>
      </c>
      <c r="L323" s="75">
        <f t="shared" si="114"/>
        <v>350.875</v>
      </c>
      <c r="M323" s="76">
        <v>0.3</v>
      </c>
      <c r="N323" s="77">
        <f>K323-(K323*M323)</f>
        <v>294.73500000000001</v>
      </c>
      <c r="O323" s="77">
        <f t="shared" si="115"/>
        <v>245.61250000000001</v>
      </c>
    </row>
    <row r="324" spans="1:26" s="12" customFormat="1" ht="15.75" customHeight="1" x14ac:dyDescent="0.25">
      <c r="A324" s="80" t="s">
        <v>477</v>
      </c>
      <c r="B324" s="81"/>
      <c r="C324" s="82"/>
      <c r="D324" s="81"/>
      <c r="E324" s="83"/>
      <c r="F324" s="81"/>
      <c r="G324" s="81"/>
      <c r="H324" s="81"/>
      <c r="I324" s="81"/>
      <c r="J324" s="81"/>
      <c r="K324" s="84"/>
      <c r="L324" s="85"/>
      <c r="M324" s="86"/>
      <c r="N324" s="87"/>
      <c r="O324" s="87"/>
    </row>
    <row r="325" spans="1:26" s="12" customFormat="1" ht="50.1" customHeight="1" x14ac:dyDescent="0.25">
      <c r="A325" s="108"/>
      <c r="B325" s="108"/>
      <c r="C325" s="182">
        <v>7310</v>
      </c>
      <c r="D325" s="186" t="s">
        <v>48</v>
      </c>
      <c r="E325" s="188" t="s">
        <v>478</v>
      </c>
      <c r="F325" s="185" t="s">
        <v>288</v>
      </c>
      <c r="G325" s="183">
        <v>1000</v>
      </c>
      <c r="H325" s="186">
        <v>80</v>
      </c>
      <c r="I325" s="186">
        <v>45</v>
      </c>
      <c r="J325" s="186">
        <v>0.54</v>
      </c>
      <c r="K325" s="75">
        <v>246</v>
      </c>
      <c r="L325" s="75">
        <f t="shared" ref="L325:L327" si="116">K325/1.2</f>
        <v>205</v>
      </c>
      <c r="M325" s="76">
        <v>0.5</v>
      </c>
      <c r="N325" s="77">
        <f>K325-(K325*M325)</f>
        <v>123</v>
      </c>
      <c r="O325" s="77">
        <f t="shared" ref="O325:O327" si="117">N325/1.2</f>
        <v>102.5</v>
      </c>
    </row>
    <row r="326" spans="1:26" s="12" customFormat="1" ht="50.1" customHeight="1" x14ac:dyDescent="0.25">
      <c r="A326" s="108"/>
      <c r="B326" s="108"/>
      <c r="C326" s="182">
        <v>7312</v>
      </c>
      <c r="D326" s="186" t="s">
        <v>48</v>
      </c>
      <c r="E326" s="188" t="s">
        <v>479</v>
      </c>
      <c r="F326" s="185" t="s">
        <v>288</v>
      </c>
      <c r="G326" s="183">
        <v>3000</v>
      </c>
      <c r="H326" s="186">
        <v>85</v>
      </c>
      <c r="I326" s="186">
        <v>45</v>
      </c>
      <c r="J326" s="183">
        <v>1.32</v>
      </c>
      <c r="K326" s="73">
        <v>1047</v>
      </c>
      <c r="L326" s="75">
        <f t="shared" si="116"/>
        <v>872.5</v>
      </c>
      <c r="M326" s="76">
        <v>0.45</v>
      </c>
      <c r="N326" s="77">
        <f>K326-(K326*M326)</f>
        <v>575.84999999999991</v>
      </c>
      <c r="O326" s="77">
        <f t="shared" si="117"/>
        <v>479.87499999999994</v>
      </c>
    </row>
    <row r="327" spans="1:26" s="12" customFormat="1" ht="50.1" customHeight="1" x14ac:dyDescent="0.25">
      <c r="A327" s="14"/>
      <c r="B327" s="14"/>
      <c r="C327" s="182">
        <v>7315</v>
      </c>
      <c r="D327" s="186" t="s">
        <v>48</v>
      </c>
      <c r="E327" s="184" t="s">
        <v>480</v>
      </c>
      <c r="F327" s="185" t="s">
        <v>288</v>
      </c>
      <c r="G327" s="183">
        <v>24</v>
      </c>
      <c r="H327" s="186">
        <v>24</v>
      </c>
      <c r="I327" s="186">
        <v>252</v>
      </c>
      <c r="J327" s="186">
        <v>0.03</v>
      </c>
      <c r="K327" s="79">
        <v>40.32</v>
      </c>
      <c r="L327" s="75">
        <f t="shared" si="116"/>
        <v>33.6</v>
      </c>
      <c r="M327" s="76">
        <v>0.45</v>
      </c>
      <c r="N327" s="77">
        <f>K327-(K327*M327)</f>
        <v>22.175999999999998</v>
      </c>
      <c r="O327" s="77">
        <f t="shared" si="117"/>
        <v>18.48</v>
      </c>
    </row>
    <row r="328" spans="1:26" s="12" customFormat="1" ht="15.75" customHeight="1" x14ac:dyDescent="0.25">
      <c r="A328" s="80" t="s">
        <v>481</v>
      </c>
      <c r="B328" s="81"/>
      <c r="C328" s="82"/>
      <c r="D328" s="81"/>
      <c r="E328" s="83"/>
      <c r="F328" s="81"/>
      <c r="G328" s="81"/>
      <c r="H328" s="81"/>
      <c r="I328" s="81"/>
      <c r="J328" s="81"/>
      <c r="K328" s="84"/>
      <c r="L328" s="85"/>
      <c r="M328" s="86"/>
      <c r="N328" s="87"/>
      <c r="O328" s="87"/>
    </row>
    <row r="329" spans="1:26" s="12" customFormat="1" ht="50.1" customHeight="1" x14ac:dyDescent="0.25">
      <c r="A329" s="108"/>
      <c r="B329" s="108"/>
      <c r="C329" s="182">
        <v>7305</v>
      </c>
      <c r="D329" s="186" t="s">
        <v>48</v>
      </c>
      <c r="E329" s="188" t="s">
        <v>482</v>
      </c>
      <c r="F329" s="185" t="s">
        <v>288</v>
      </c>
      <c r="G329" s="183">
        <v>10000</v>
      </c>
      <c r="H329" s="186">
        <v>20</v>
      </c>
      <c r="I329" s="186">
        <v>110</v>
      </c>
      <c r="J329" s="186">
        <v>2</v>
      </c>
      <c r="K329" s="94">
        <v>1600</v>
      </c>
      <c r="L329" s="75">
        <f>K329/1.2</f>
        <v>1333.3333333333335</v>
      </c>
      <c r="M329" s="76">
        <v>0.45</v>
      </c>
      <c r="N329" s="77">
        <f>K329-(K329*M329)</f>
        <v>880</v>
      </c>
      <c r="O329" s="77">
        <f>N329/1.2</f>
        <v>733.33333333333337</v>
      </c>
    </row>
    <row r="330" spans="1:26" s="162" customFormat="1" ht="15.75" customHeight="1" x14ac:dyDescent="0.25">
      <c r="A330" s="80" t="s">
        <v>483</v>
      </c>
      <c r="B330" s="81"/>
      <c r="C330" s="82"/>
      <c r="D330" s="81"/>
      <c r="E330" s="83"/>
      <c r="F330" s="81"/>
      <c r="G330" s="81"/>
      <c r="H330" s="81"/>
      <c r="I330" s="81"/>
      <c r="J330" s="81"/>
      <c r="K330" s="84"/>
      <c r="L330" s="85"/>
      <c r="M330" s="92"/>
      <c r="N330" s="93"/>
      <c r="O330" s="93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s="13" customFormat="1" ht="15.75" customHeight="1" x14ac:dyDescent="0.25">
      <c r="A331" s="80" t="s">
        <v>484</v>
      </c>
      <c r="B331" s="80"/>
      <c r="C331" s="97"/>
      <c r="D331" s="80"/>
      <c r="E331" s="115"/>
      <c r="F331" s="80"/>
      <c r="G331" s="80"/>
      <c r="H331" s="80"/>
      <c r="I331" s="80"/>
      <c r="J331" s="80"/>
      <c r="K331" s="84"/>
      <c r="L331" s="84"/>
      <c r="M331" s="117"/>
      <c r="N331" s="118"/>
      <c r="O331" s="118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s="20" customFormat="1" ht="50.1" customHeight="1" x14ac:dyDescent="0.25">
      <c r="A332" s="27"/>
      <c r="B332" s="27"/>
      <c r="C332" s="189">
        <v>315</v>
      </c>
      <c r="D332" s="190" t="s">
        <v>271</v>
      </c>
      <c r="E332" s="191" t="s">
        <v>485</v>
      </c>
      <c r="F332" s="192" t="s">
        <v>288</v>
      </c>
      <c r="G332" s="190">
        <v>600</v>
      </c>
      <c r="H332" s="190">
        <v>400</v>
      </c>
      <c r="I332" s="190">
        <v>64</v>
      </c>
      <c r="J332" s="190">
        <v>1.2</v>
      </c>
      <c r="K332" s="94">
        <v>1233.75</v>
      </c>
      <c r="L332" s="75">
        <f>K332/1.2</f>
        <v>1028.125</v>
      </c>
      <c r="M332" s="76">
        <v>0.55000000000000004</v>
      </c>
      <c r="N332" s="77">
        <f>K332-(K332*M332)</f>
        <v>555.1875</v>
      </c>
      <c r="O332" s="77">
        <f>N332/1.2</f>
        <v>462.65625</v>
      </c>
    </row>
    <row r="333" spans="1:26" s="13" customFormat="1" ht="15.75" customHeight="1" x14ac:dyDescent="0.25">
      <c r="A333" s="80" t="s">
        <v>486</v>
      </c>
      <c r="B333" s="81"/>
      <c r="C333" s="82"/>
      <c r="D333" s="114"/>
      <c r="E333" s="83"/>
      <c r="F333" s="81"/>
      <c r="G333" s="81"/>
      <c r="H333" s="81"/>
      <c r="I333" s="81"/>
      <c r="J333" s="81"/>
      <c r="K333" s="84"/>
      <c r="L333" s="85"/>
      <c r="M333" s="92"/>
      <c r="N333" s="93"/>
      <c r="O333" s="93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s="12" customFormat="1" ht="50.1" customHeight="1" x14ac:dyDescent="0.25">
      <c r="A334" s="74"/>
      <c r="B334" s="74"/>
      <c r="C334" s="189">
        <v>301</v>
      </c>
      <c r="D334" s="190" t="s">
        <v>271</v>
      </c>
      <c r="E334" s="191" t="s">
        <v>487</v>
      </c>
      <c r="F334" s="192" t="s">
        <v>288</v>
      </c>
      <c r="G334" s="190">
        <v>590</v>
      </c>
      <c r="H334" s="190">
        <v>390</v>
      </c>
      <c r="I334" s="190">
        <v>20</v>
      </c>
      <c r="J334" s="190">
        <v>5</v>
      </c>
      <c r="K334" s="75">
        <v>3611</v>
      </c>
      <c r="L334" s="75">
        <f t="shared" ref="L334:L335" si="118">K334/1.2</f>
        <v>3009.166666666667</v>
      </c>
      <c r="M334" s="76">
        <v>0.5</v>
      </c>
      <c r="N334" s="77">
        <f>K334-(K334*M334)</f>
        <v>1805.5</v>
      </c>
      <c r="O334" s="77">
        <f t="shared" ref="O334:O335" si="119">N334/1.2</f>
        <v>1504.5833333333335</v>
      </c>
    </row>
    <row r="335" spans="1:26" s="12" customFormat="1" ht="50.1" customHeight="1" x14ac:dyDescent="0.25">
      <c r="A335" s="74"/>
      <c r="B335" s="74"/>
      <c r="C335" s="189">
        <v>302</v>
      </c>
      <c r="D335" s="190" t="s">
        <v>271</v>
      </c>
      <c r="E335" s="191" t="s">
        <v>488</v>
      </c>
      <c r="F335" s="192" t="s">
        <v>288</v>
      </c>
      <c r="G335" s="190">
        <v>990</v>
      </c>
      <c r="H335" s="190">
        <v>490</v>
      </c>
      <c r="I335" s="190">
        <v>20</v>
      </c>
      <c r="J335" s="190">
        <v>15</v>
      </c>
      <c r="K335" s="79">
        <v>4507.5600000000004</v>
      </c>
      <c r="L335" s="75">
        <f t="shared" si="118"/>
        <v>3756.3000000000006</v>
      </c>
      <c r="M335" s="76">
        <v>0.35</v>
      </c>
      <c r="N335" s="77">
        <f>K335-(K335*M335)</f>
        <v>2929.9140000000007</v>
      </c>
      <c r="O335" s="77">
        <f t="shared" si="119"/>
        <v>2441.5950000000007</v>
      </c>
    </row>
    <row r="336" spans="1:26" s="201" customFormat="1" ht="15.75" customHeight="1" x14ac:dyDescent="0.25">
      <c r="A336" s="193" t="s">
        <v>489</v>
      </c>
      <c r="B336" s="194"/>
      <c r="C336" s="195"/>
      <c r="D336" s="114"/>
      <c r="E336" s="196"/>
      <c r="F336" s="194"/>
      <c r="G336" s="194"/>
      <c r="H336" s="194"/>
      <c r="I336" s="194"/>
      <c r="J336" s="194"/>
      <c r="K336" s="197"/>
      <c r="L336" s="198"/>
      <c r="M336" s="86"/>
      <c r="N336" s="87"/>
      <c r="O336" s="87"/>
      <c r="P336" s="199"/>
      <c r="Q336" s="199"/>
      <c r="R336" s="199"/>
      <c r="S336" s="200"/>
    </row>
    <row r="337" spans="1:26" s="201" customFormat="1" ht="50.1" customHeight="1" x14ac:dyDescent="0.25">
      <c r="A337" s="202"/>
      <c r="B337" s="202"/>
      <c r="C337" s="203">
        <v>3000</v>
      </c>
      <c r="D337" s="190" t="s">
        <v>271</v>
      </c>
      <c r="E337" s="191" t="s">
        <v>490</v>
      </c>
      <c r="F337" s="204" t="s">
        <v>288</v>
      </c>
      <c r="G337" s="205">
        <v>368.5</v>
      </c>
      <c r="H337" s="205">
        <v>46</v>
      </c>
      <c r="I337" s="205">
        <v>14</v>
      </c>
      <c r="J337" s="205">
        <v>0.1</v>
      </c>
      <c r="K337" s="94">
        <v>74</v>
      </c>
      <c r="L337" s="75">
        <f>K337/1.2</f>
        <v>61.666666666666671</v>
      </c>
      <c r="M337" s="76">
        <v>0</v>
      </c>
      <c r="N337" s="77">
        <f>K337-(K337*M337)</f>
        <v>74</v>
      </c>
      <c r="O337" s="77">
        <f>N337/1.2</f>
        <v>61.666666666666671</v>
      </c>
      <c r="P337" s="199"/>
      <c r="Q337" s="199"/>
      <c r="R337" s="199"/>
      <c r="S337" s="200"/>
    </row>
    <row r="338" spans="1:26" s="13" customFormat="1" ht="15.75" customHeight="1" x14ac:dyDescent="0.25">
      <c r="A338" s="80" t="s">
        <v>491</v>
      </c>
      <c r="B338" s="81"/>
      <c r="C338" s="82"/>
      <c r="D338" s="114"/>
      <c r="E338" s="83"/>
      <c r="F338" s="81"/>
      <c r="G338" s="81"/>
      <c r="H338" s="81"/>
      <c r="I338" s="81"/>
      <c r="J338" s="81"/>
      <c r="K338" s="84"/>
      <c r="L338" s="85"/>
      <c r="M338" s="86"/>
      <c r="N338" s="87"/>
      <c r="O338" s="87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s="12" customFormat="1" ht="50.1" customHeight="1" x14ac:dyDescent="0.25">
      <c r="A339" s="14"/>
      <c r="B339" s="14"/>
      <c r="C339" s="189">
        <v>30001</v>
      </c>
      <c r="D339" s="190" t="s">
        <v>271</v>
      </c>
      <c r="E339" s="191" t="s">
        <v>492</v>
      </c>
      <c r="F339" s="192" t="s">
        <v>288</v>
      </c>
      <c r="G339" s="190">
        <v>390</v>
      </c>
      <c r="H339" s="190">
        <v>590</v>
      </c>
      <c r="I339" s="190">
        <v>20</v>
      </c>
      <c r="J339" s="190">
        <v>3.5</v>
      </c>
      <c r="K339" s="75">
        <v>3520</v>
      </c>
      <c r="L339" s="75">
        <f t="shared" ref="L339:L352" si="120">K339/1.2</f>
        <v>2933.3333333333335</v>
      </c>
      <c r="M339" s="76">
        <v>0.4</v>
      </c>
      <c r="N339" s="77">
        <f t="shared" ref="N339:N352" si="121">K339-(K339*M339)</f>
        <v>2112</v>
      </c>
      <c r="O339" s="77">
        <f t="shared" ref="O339:O352" si="122">N339/1.2</f>
        <v>1760</v>
      </c>
    </row>
    <row r="340" spans="1:26" s="12" customFormat="1" ht="50.1" customHeight="1" x14ac:dyDescent="0.25">
      <c r="A340" s="14"/>
      <c r="B340" s="14"/>
      <c r="C340" s="189">
        <v>30002</v>
      </c>
      <c r="D340" s="190" t="s">
        <v>271</v>
      </c>
      <c r="E340" s="191" t="s">
        <v>493</v>
      </c>
      <c r="F340" s="192" t="s">
        <v>288</v>
      </c>
      <c r="G340" s="190">
        <v>390</v>
      </c>
      <c r="H340" s="190">
        <v>590</v>
      </c>
      <c r="I340" s="190">
        <v>20</v>
      </c>
      <c r="J340" s="190">
        <v>2.2999999999999998</v>
      </c>
      <c r="K340" s="73">
        <v>3520</v>
      </c>
      <c r="L340" s="75">
        <f t="shared" si="120"/>
        <v>2933.3333333333335</v>
      </c>
      <c r="M340" s="76">
        <v>0.4</v>
      </c>
      <c r="N340" s="77">
        <f t="shared" si="121"/>
        <v>2112</v>
      </c>
      <c r="O340" s="77">
        <f t="shared" si="122"/>
        <v>1760</v>
      </c>
    </row>
    <row r="341" spans="1:26" s="12" customFormat="1" ht="50.1" customHeight="1" x14ac:dyDescent="0.25">
      <c r="A341" s="14"/>
      <c r="B341" s="14"/>
      <c r="C341" s="189">
        <v>30003</v>
      </c>
      <c r="D341" s="190" t="s">
        <v>271</v>
      </c>
      <c r="E341" s="191" t="s">
        <v>494</v>
      </c>
      <c r="F341" s="192" t="s">
        <v>288</v>
      </c>
      <c r="G341" s="190">
        <v>390</v>
      </c>
      <c r="H341" s="190">
        <v>590</v>
      </c>
      <c r="I341" s="190">
        <v>23</v>
      </c>
      <c r="J341" s="190">
        <v>3.2</v>
      </c>
      <c r="K341" s="73">
        <v>6350</v>
      </c>
      <c r="L341" s="75">
        <f t="shared" si="120"/>
        <v>5291.666666666667</v>
      </c>
      <c r="M341" s="76">
        <v>0.35</v>
      </c>
      <c r="N341" s="77">
        <f t="shared" si="121"/>
        <v>4127.5</v>
      </c>
      <c r="O341" s="77">
        <f t="shared" si="122"/>
        <v>3439.5833333333335</v>
      </c>
    </row>
    <row r="342" spans="1:26" s="12" customFormat="1" ht="50.1" customHeight="1" x14ac:dyDescent="0.25">
      <c r="A342" s="14"/>
      <c r="B342" s="14"/>
      <c r="C342" s="189">
        <v>30012</v>
      </c>
      <c r="D342" s="190" t="s">
        <v>271</v>
      </c>
      <c r="E342" s="191" t="s">
        <v>495</v>
      </c>
      <c r="F342" s="192" t="s">
        <v>288</v>
      </c>
      <c r="G342" s="190">
        <v>390</v>
      </c>
      <c r="H342" s="190">
        <v>590</v>
      </c>
      <c r="I342" s="190">
        <v>20</v>
      </c>
      <c r="J342" s="190">
        <v>2.85</v>
      </c>
      <c r="K342" s="73">
        <v>3520</v>
      </c>
      <c r="L342" s="75">
        <f t="shared" si="120"/>
        <v>2933.3333333333335</v>
      </c>
      <c r="M342" s="76">
        <v>0.4</v>
      </c>
      <c r="N342" s="77">
        <f t="shared" si="121"/>
        <v>2112</v>
      </c>
      <c r="O342" s="77">
        <f t="shared" si="122"/>
        <v>1760</v>
      </c>
    </row>
    <row r="343" spans="1:26" s="12" customFormat="1" ht="50.1" customHeight="1" x14ac:dyDescent="0.25">
      <c r="A343" s="14"/>
      <c r="B343" s="14"/>
      <c r="C343" s="189">
        <v>30013</v>
      </c>
      <c r="D343" s="190" t="s">
        <v>271</v>
      </c>
      <c r="E343" s="191" t="s">
        <v>496</v>
      </c>
      <c r="F343" s="192" t="s">
        <v>288</v>
      </c>
      <c r="G343" s="190">
        <v>390</v>
      </c>
      <c r="H343" s="190">
        <v>590</v>
      </c>
      <c r="I343" s="190">
        <v>23</v>
      </c>
      <c r="J343" s="190">
        <v>3.39</v>
      </c>
      <c r="K343" s="73">
        <v>5365</v>
      </c>
      <c r="L343" s="75">
        <f t="shared" si="120"/>
        <v>4470.8333333333339</v>
      </c>
      <c r="M343" s="76">
        <v>0.4</v>
      </c>
      <c r="N343" s="77">
        <f t="shared" si="121"/>
        <v>3219</v>
      </c>
      <c r="O343" s="77">
        <f t="shared" si="122"/>
        <v>2682.5</v>
      </c>
    </row>
    <row r="344" spans="1:26" s="12" customFormat="1" ht="50.1" customHeight="1" x14ac:dyDescent="0.25">
      <c r="A344" s="14"/>
      <c r="B344" s="14"/>
      <c r="C344" s="189">
        <v>30023</v>
      </c>
      <c r="D344" s="190" t="s">
        <v>271</v>
      </c>
      <c r="E344" s="191" t="s">
        <v>497</v>
      </c>
      <c r="F344" s="192" t="s">
        <v>288</v>
      </c>
      <c r="G344" s="190">
        <v>390</v>
      </c>
      <c r="H344" s="190">
        <v>590</v>
      </c>
      <c r="I344" s="190">
        <v>23</v>
      </c>
      <c r="J344" s="190">
        <v>2.89</v>
      </c>
      <c r="K344" s="73">
        <v>5300</v>
      </c>
      <c r="L344" s="75">
        <f t="shared" si="120"/>
        <v>4416.666666666667</v>
      </c>
      <c r="M344" s="76">
        <v>0.4</v>
      </c>
      <c r="N344" s="77">
        <f t="shared" si="121"/>
        <v>3180</v>
      </c>
      <c r="O344" s="77">
        <f t="shared" si="122"/>
        <v>2650</v>
      </c>
    </row>
    <row r="345" spans="1:26" s="12" customFormat="1" ht="50.1" customHeight="1" x14ac:dyDescent="0.25">
      <c r="A345" s="14"/>
      <c r="B345" s="14"/>
      <c r="C345" s="189">
        <v>30123</v>
      </c>
      <c r="D345" s="190" t="s">
        <v>271</v>
      </c>
      <c r="E345" s="191" t="s">
        <v>498</v>
      </c>
      <c r="F345" s="192" t="s">
        <v>288</v>
      </c>
      <c r="G345" s="190">
        <v>390</v>
      </c>
      <c r="H345" s="190">
        <v>590</v>
      </c>
      <c r="I345" s="190">
        <v>23</v>
      </c>
      <c r="J345" s="190">
        <v>3.12</v>
      </c>
      <c r="K345" s="73">
        <v>4550</v>
      </c>
      <c r="L345" s="75">
        <f t="shared" si="120"/>
        <v>3791.666666666667</v>
      </c>
      <c r="M345" s="76">
        <v>0.4</v>
      </c>
      <c r="N345" s="77">
        <f t="shared" si="121"/>
        <v>2730</v>
      </c>
      <c r="O345" s="77">
        <f t="shared" si="122"/>
        <v>2275</v>
      </c>
    </row>
    <row r="346" spans="1:26" s="12" customFormat="1" ht="50.1" customHeight="1" x14ac:dyDescent="0.25">
      <c r="A346" s="14"/>
      <c r="B346" s="14"/>
      <c r="C346" s="189">
        <v>30014</v>
      </c>
      <c r="D346" s="190" t="s">
        <v>271</v>
      </c>
      <c r="E346" s="191" t="s">
        <v>499</v>
      </c>
      <c r="F346" s="192" t="s">
        <v>288</v>
      </c>
      <c r="G346" s="190">
        <v>390</v>
      </c>
      <c r="H346" s="190">
        <v>590</v>
      </c>
      <c r="I346" s="190">
        <v>22</v>
      </c>
      <c r="J346" s="190">
        <v>4.24</v>
      </c>
      <c r="K346" s="73">
        <v>3660.8</v>
      </c>
      <c r="L346" s="75">
        <f t="shared" si="120"/>
        <v>3050.666666666667</v>
      </c>
      <c r="M346" s="76">
        <v>0.35</v>
      </c>
      <c r="N346" s="77">
        <f t="shared" si="121"/>
        <v>2379.5200000000004</v>
      </c>
      <c r="O346" s="77">
        <f t="shared" si="122"/>
        <v>1982.9333333333338</v>
      </c>
    </row>
    <row r="347" spans="1:26" s="12" customFormat="1" ht="50.1" customHeight="1" x14ac:dyDescent="0.25">
      <c r="A347" s="14"/>
      <c r="B347" s="14"/>
      <c r="C347" s="189">
        <v>30024</v>
      </c>
      <c r="D347" s="190" t="s">
        <v>271</v>
      </c>
      <c r="E347" s="191" t="s">
        <v>500</v>
      </c>
      <c r="F347" s="192" t="s">
        <v>288</v>
      </c>
      <c r="G347" s="190">
        <v>390</v>
      </c>
      <c r="H347" s="190">
        <v>590</v>
      </c>
      <c r="I347" s="190">
        <v>22</v>
      </c>
      <c r="J347" s="190">
        <v>3.47</v>
      </c>
      <c r="K347" s="73">
        <v>3660.8</v>
      </c>
      <c r="L347" s="75">
        <f t="shared" si="120"/>
        <v>3050.666666666667</v>
      </c>
      <c r="M347" s="76">
        <v>0.35</v>
      </c>
      <c r="N347" s="77">
        <f t="shared" si="121"/>
        <v>2379.5200000000004</v>
      </c>
      <c r="O347" s="77">
        <f t="shared" si="122"/>
        <v>1982.9333333333338</v>
      </c>
    </row>
    <row r="348" spans="1:26" s="12" customFormat="1" ht="50.1" customHeight="1" x14ac:dyDescent="0.25">
      <c r="A348" s="14"/>
      <c r="B348" s="14"/>
      <c r="C348" s="189">
        <v>30034</v>
      </c>
      <c r="D348" s="190" t="s">
        <v>271</v>
      </c>
      <c r="E348" s="191" t="s">
        <v>501</v>
      </c>
      <c r="F348" s="192" t="s">
        <v>288</v>
      </c>
      <c r="G348" s="190">
        <v>390</v>
      </c>
      <c r="H348" s="190">
        <v>590</v>
      </c>
      <c r="I348" s="190">
        <v>23</v>
      </c>
      <c r="J348" s="190">
        <v>3.94</v>
      </c>
      <c r="K348" s="73">
        <v>6995</v>
      </c>
      <c r="L348" s="75">
        <f t="shared" si="120"/>
        <v>5829.166666666667</v>
      </c>
      <c r="M348" s="76">
        <v>0.45</v>
      </c>
      <c r="N348" s="77">
        <f t="shared" si="121"/>
        <v>3847.25</v>
      </c>
      <c r="O348" s="77">
        <f t="shared" si="122"/>
        <v>3206.041666666667</v>
      </c>
    </row>
    <row r="349" spans="1:26" s="12" customFormat="1" ht="50.1" customHeight="1" x14ac:dyDescent="0.25">
      <c r="A349" s="14"/>
      <c r="B349" s="14"/>
      <c r="C349" s="189">
        <v>30124</v>
      </c>
      <c r="D349" s="190" t="s">
        <v>271</v>
      </c>
      <c r="E349" s="191" t="s">
        <v>502</v>
      </c>
      <c r="F349" s="192" t="s">
        <v>288</v>
      </c>
      <c r="G349" s="190">
        <v>390</v>
      </c>
      <c r="H349" s="190">
        <v>590</v>
      </c>
      <c r="I349" s="190">
        <v>22</v>
      </c>
      <c r="J349" s="190">
        <v>3.85</v>
      </c>
      <c r="K349" s="73">
        <v>3660.8</v>
      </c>
      <c r="L349" s="75">
        <f t="shared" si="120"/>
        <v>3050.666666666667</v>
      </c>
      <c r="M349" s="76">
        <v>0.35</v>
      </c>
      <c r="N349" s="77">
        <f t="shared" si="121"/>
        <v>2379.5200000000004</v>
      </c>
      <c r="O349" s="77">
        <f t="shared" si="122"/>
        <v>1982.9333333333338</v>
      </c>
    </row>
    <row r="350" spans="1:26" s="12" customFormat="1" ht="50.1" customHeight="1" x14ac:dyDescent="0.25">
      <c r="A350" s="14"/>
      <c r="B350" s="14"/>
      <c r="C350" s="189">
        <v>30134</v>
      </c>
      <c r="D350" s="190" t="s">
        <v>271</v>
      </c>
      <c r="E350" s="191" t="s">
        <v>503</v>
      </c>
      <c r="F350" s="192" t="s">
        <v>288</v>
      </c>
      <c r="G350" s="190">
        <v>390</v>
      </c>
      <c r="H350" s="190">
        <v>590</v>
      </c>
      <c r="I350" s="190">
        <v>23</v>
      </c>
      <c r="J350" s="190">
        <v>4.09</v>
      </c>
      <c r="K350" s="73">
        <v>5252</v>
      </c>
      <c r="L350" s="75">
        <f t="shared" si="120"/>
        <v>4376.666666666667</v>
      </c>
      <c r="M350" s="76">
        <v>0.4</v>
      </c>
      <c r="N350" s="77">
        <f t="shared" si="121"/>
        <v>3151.2</v>
      </c>
      <c r="O350" s="77">
        <f t="shared" si="122"/>
        <v>2626</v>
      </c>
    </row>
    <row r="351" spans="1:26" s="12" customFormat="1" ht="50.1" customHeight="1" x14ac:dyDescent="0.25">
      <c r="A351" s="14"/>
      <c r="B351" s="14"/>
      <c r="C351" s="189">
        <v>30234</v>
      </c>
      <c r="D351" s="190" t="s">
        <v>271</v>
      </c>
      <c r="E351" s="191" t="s">
        <v>504</v>
      </c>
      <c r="F351" s="192" t="s">
        <v>288</v>
      </c>
      <c r="G351" s="190">
        <v>390</v>
      </c>
      <c r="H351" s="190">
        <v>590</v>
      </c>
      <c r="I351" s="190">
        <v>23</v>
      </c>
      <c r="J351" s="190">
        <v>3.7</v>
      </c>
      <c r="K351" s="73">
        <v>5163.6000000000004</v>
      </c>
      <c r="L351" s="75">
        <f t="shared" si="120"/>
        <v>4303.0000000000009</v>
      </c>
      <c r="M351" s="76">
        <v>0.35</v>
      </c>
      <c r="N351" s="77">
        <f t="shared" si="121"/>
        <v>3356.34</v>
      </c>
      <c r="O351" s="77">
        <f t="shared" si="122"/>
        <v>2796.9500000000003</v>
      </c>
    </row>
    <row r="352" spans="1:26" s="12" customFormat="1" ht="50.1" customHeight="1" x14ac:dyDescent="0.25">
      <c r="A352" s="14"/>
      <c r="B352" s="14"/>
      <c r="C352" s="189">
        <v>301234</v>
      </c>
      <c r="D352" s="190" t="s">
        <v>271</v>
      </c>
      <c r="E352" s="191" t="s">
        <v>505</v>
      </c>
      <c r="F352" s="192" t="s">
        <v>288</v>
      </c>
      <c r="G352" s="190">
        <v>390</v>
      </c>
      <c r="H352" s="190">
        <v>590</v>
      </c>
      <c r="I352" s="190">
        <v>23</v>
      </c>
      <c r="J352" s="190">
        <v>3.88</v>
      </c>
      <c r="K352" s="79">
        <v>4945</v>
      </c>
      <c r="L352" s="75">
        <f t="shared" si="120"/>
        <v>4120.8333333333339</v>
      </c>
      <c r="M352" s="76">
        <v>0.45</v>
      </c>
      <c r="N352" s="77">
        <f t="shared" si="121"/>
        <v>2719.75</v>
      </c>
      <c r="O352" s="77">
        <f t="shared" si="122"/>
        <v>2266.4583333333335</v>
      </c>
    </row>
    <row r="353" spans="1:15" ht="15.75" customHeight="1" x14ac:dyDescent="0.25">
      <c r="A353" s="80" t="s">
        <v>506</v>
      </c>
      <c r="B353" s="81"/>
      <c r="C353" s="206"/>
      <c r="D353" s="114"/>
      <c r="E353" s="83"/>
      <c r="F353" s="207"/>
      <c r="G353" s="207"/>
      <c r="H353" s="207"/>
      <c r="I353" s="207"/>
      <c r="J353" s="207"/>
      <c r="K353" s="84"/>
      <c r="L353" s="85"/>
      <c r="M353" s="86"/>
      <c r="N353" s="87"/>
      <c r="O353" s="87"/>
    </row>
    <row r="354" spans="1:15" ht="50.1" customHeight="1" x14ac:dyDescent="0.25">
      <c r="A354" s="38"/>
      <c r="B354" s="38"/>
      <c r="C354" s="203" t="s">
        <v>507</v>
      </c>
      <c r="D354" s="190" t="s">
        <v>271</v>
      </c>
      <c r="E354" s="191" t="s">
        <v>508</v>
      </c>
      <c r="F354" s="204" t="s">
        <v>509</v>
      </c>
      <c r="G354" s="205" t="s">
        <v>341</v>
      </c>
      <c r="H354" s="205" t="s">
        <v>341</v>
      </c>
      <c r="I354" s="190">
        <v>20</v>
      </c>
      <c r="J354" s="205">
        <v>15.55</v>
      </c>
      <c r="K354" s="75">
        <v>14680</v>
      </c>
      <c r="L354" s="75">
        <f t="shared" ref="L354:L367" si="123">K354/1.2</f>
        <v>12233.333333333334</v>
      </c>
      <c r="M354" s="76">
        <v>0.4</v>
      </c>
      <c r="N354" s="77">
        <f t="shared" ref="N354:N367" si="124">K354-(K354*M354)</f>
        <v>8808</v>
      </c>
      <c r="O354" s="77">
        <f t="shared" ref="O354:O367" si="125">N354/1.2</f>
        <v>7340</v>
      </c>
    </row>
    <row r="355" spans="1:15" ht="50.1" customHeight="1" x14ac:dyDescent="0.25">
      <c r="A355" s="38"/>
      <c r="B355" s="38"/>
      <c r="C355" s="203" t="s">
        <v>510</v>
      </c>
      <c r="D355" s="190" t="s">
        <v>271</v>
      </c>
      <c r="E355" s="191" t="s">
        <v>511</v>
      </c>
      <c r="F355" s="204" t="s">
        <v>509</v>
      </c>
      <c r="G355" s="205" t="s">
        <v>341</v>
      </c>
      <c r="H355" s="205" t="s">
        <v>341</v>
      </c>
      <c r="I355" s="190">
        <v>20</v>
      </c>
      <c r="J355" s="205">
        <v>11.26</v>
      </c>
      <c r="K355" s="73">
        <v>15267.2</v>
      </c>
      <c r="L355" s="75">
        <f t="shared" si="123"/>
        <v>12722.666666666668</v>
      </c>
      <c r="M355" s="76">
        <v>0.4</v>
      </c>
      <c r="N355" s="77">
        <f t="shared" si="124"/>
        <v>9160.32</v>
      </c>
      <c r="O355" s="77">
        <f t="shared" si="125"/>
        <v>7633.6</v>
      </c>
    </row>
    <row r="356" spans="1:15" s="12" customFormat="1" ht="50.1" customHeight="1" x14ac:dyDescent="0.25">
      <c r="A356" s="38"/>
      <c r="B356" s="38"/>
      <c r="C356" s="203" t="s">
        <v>512</v>
      </c>
      <c r="D356" s="190" t="s">
        <v>271</v>
      </c>
      <c r="E356" s="191" t="s">
        <v>513</v>
      </c>
      <c r="F356" s="204" t="s">
        <v>509</v>
      </c>
      <c r="G356" s="205" t="s">
        <v>341</v>
      </c>
      <c r="H356" s="205" t="s">
        <v>341</v>
      </c>
      <c r="I356" s="190">
        <v>23</v>
      </c>
      <c r="J356" s="205">
        <v>13.91</v>
      </c>
      <c r="K356" s="73">
        <v>28360</v>
      </c>
      <c r="L356" s="75">
        <f t="shared" si="123"/>
        <v>23633.333333333336</v>
      </c>
      <c r="M356" s="76">
        <v>0.4</v>
      </c>
      <c r="N356" s="77">
        <f t="shared" si="124"/>
        <v>17016</v>
      </c>
      <c r="O356" s="77">
        <f t="shared" si="125"/>
        <v>14180</v>
      </c>
    </row>
    <row r="357" spans="1:15" s="12" customFormat="1" ht="50.1" customHeight="1" x14ac:dyDescent="0.25">
      <c r="A357" s="38"/>
      <c r="B357" s="38"/>
      <c r="C357" s="203" t="s">
        <v>514</v>
      </c>
      <c r="D357" s="190" t="s">
        <v>271</v>
      </c>
      <c r="E357" s="191" t="s">
        <v>515</v>
      </c>
      <c r="F357" s="204" t="s">
        <v>509</v>
      </c>
      <c r="G357" s="205" t="s">
        <v>341</v>
      </c>
      <c r="H357" s="205" t="s">
        <v>341</v>
      </c>
      <c r="I357" s="190">
        <v>20</v>
      </c>
      <c r="J357" s="205">
        <v>12.39</v>
      </c>
      <c r="K357" s="73">
        <v>14680</v>
      </c>
      <c r="L357" s="75">
        <f t="shared" si="123"/>
        <v>12233.333333333334</v>
      </c>
      <c r="M357" s="76">
        <v>0.4</v>
      </c>
      <c r="N357" s="77">
        <f t="shared" si="124"/>
        <v>8808</v>
      </c>
      <c r="O357" s="77">
        <f t="shared" si="125"/>
        <v>7340</v>
      </c>
    </row>
    <row r="358" spans="1:15" s="12" customFormat="1" ht="50.1" customHeight="1" x14ac:dyDescent="0.25">
      <c r="A358" s="38"/>
      <c r="B358" s="38"/>
      <c r="C358" s="203" t="s">
        <v>516</v>
      </c>
      <c r="D358" s="190" t="s">
        <v>271</v>
      </c>
      <c r="E358" s="191" t="s">
        <v>517</v>
      </c>
      <c r="F358" s="204" t="s">
        <v>509</v>
      </c>
      <c r="G358" s="205" t="s">
        <v>341</v>
      </c>
      <c r="H358" s="205" t="s">
        <v>341</v>
      </c>
      <c r="I358" s="190">
        <v>23</v>
      </c>
      <c r="J358" s="205">
        <v>14.75</v>
      </c>
      <c r="K358" s="73">
        <v>22350</v>
      </c>
      <c r="L358" s="75">
        <f t="shared" si="123"/>
        <v>18625</v>
      </c>
      <c r="M358" s="76">
        <v>0.4</v>
      </c>
      <c r="N358" s="77">
        <f t="shared" si="124"/>
        <v>13410</v>
      </c>
      <c r="O358" s="77">
        <f t="shared" si="125"/>
        <v>11175</v>
      </c>
    </row>
    <row r="359" spans="1:15" s="12" customFormat="1" ht="50.1" customHeight="1" x14ac:dyDescent="0.25">
      <c r="A359" s="38"/>
      <c r="B359" s="38"/>
      <c r="C359" s="203" t="s">
        <v>518</v>
      </c>
      <c r="D359" s="190" t="s">
        <v>271</v>
      </c>
      <c r="E359" s="191" t="s">
        <v>519</v>
      </c>
      <c r="F359" s="204" t="s">
        <v>509</v>
      </c>
      <c r="G359" s="205" t="s">
        <v>341</v>
      </c>
      <c r="H359" s="205" t="s">
        <v>341</v>
      </c>
      <c r="I359" s="190">
        <v>23</v>
      </c>
      <c r="J359" s="205">
        <v>12.54</v>
      </c>
      <c r="K359" s="73">
        <v>22080</v>
      </c>
      <c r="L359" s="75">
        <f t="shared" si="123"/>
        <v>18400</v>
      </c>
      <c r="M359" s="76">
        <v>0.4</v>
      </c>
      <c r="N359" s="77">
        <f t="shared" si="124"/>
        <v>13248</v>
      </c>
      <c r="O359" s="77">
        <f t="shared" si="125"/>
        <v>11040</v>
      </c>
    </row>
    <row r="360" spans="1:15" s="12" customFormat="1" ht="50.1" customHeight="1" x14ac:dyDescent="0.25">
      <c r="A360" s="38"/>
      <c r="B360" s="38"/>
      <c r="C360" s="203" t="s">
        <v>520</v>
      </c>
      <c r="D360" s="190" t="s">
        <v>271</v>
      </c>
      <c r="E360" s="191" t="s">
        <v>521</v>
      </c>
      <c r="F360" s="204" t="s">
        <v>509</v>
      </c>
      <c r="G360" s="205" t="s">
        <v>341</v>
      </c>
      <c r="H360" s="205" t="s">
        <v>341</v>
      </c>
      <c r="I360" s="190">
        <v>23</v>
      </c>
      <c r="J360" s="205">
        <v>13.57</v>
      </c>
      <c r="K360" s="73">
        <v>18970</v>
      </c>
      <c r="L360" s="75">
        <f t="shared" si="123"/>
        <v>15808.333333333334</v>
      </c>
      <c r="M360" s="76">
        <v>0.4</v>
      </c>
      <c r="N360" s="77">
        <f t="shared" si="124"/>
        <v>11382</v>
      </c>
      <c r="O360" s="77">
        <f t="shared" si="125"/>
        <v>9485</v>
      </c>
    </row>
    <row r="361" spans="1:15" s="12" customFormat="1" ht="50.1" customHeight="1" x14ac:dyDescent="0.25">
      <c r="A361" s="38"/>
      <c r="B361" s="38"/>
      <c r="C361" s="203" t="s">
        <v>522</v>
      </c>
      <c r="D361" s="190" t="s">
        <v>271</v>
      </c>
      <c r="E361" s="191" t="s">
        <v>523</v>
      </c>
      <c r="F361" s="204" t="s">
        <v>509</v>
      </c>
      <c r="G361" s="205" t="s">
        <v>341</v>
      </c>
      <c r="H361" s="205" t="s">
        <v>341</v>
      </c>
      <c r="I361" s="190">
        <v>22</v>
      </c>
      <c r="J361" s="205">
        <v>18.45</v>
      </c>
      <c r="K361" s="73">
        <v>15860</v>
      </c>
      <c r="L361" s="75">
        <f t="shared" si="123"/>
        <v>13216.666666666668</v>
      </c>
      <c r="M361" s="76">
        <v>0.4</v>
      </c>
      <c r="N361" s="77">
        <f t="shared" si="124"/>
        <v>9516</v>
      </c>
      <c r="O361" s="77">
        <f t="shared" si="125"/>
        <v>7930</v>
      </c>
    </row>
    <row r="362" spans="1:15" s="12" customFormat="1" ht="50.1" customHeight="1" x14ac:dyDescent="0.25">
      <c r="A362" s="38"/>
      <c r="B362" s="38"/>
      <c r="C362" s="203" t="s">
        <v>524</v>
      </c>
      <c r="D362" s="190" t="s">
        <v>271</v>
      </c>
      <c r="E362" s="191" t="s">
        <v>525</v>
      </c>
      <c r="F362" s="204" t="s">
        <v>509</v>
      </c>
      <c r="G362" s="205" t="s">
        <v>341</v>
      </c>
      <c r="H362" s="205" t="s">
        <v>341</v>
      </c>
      <c r="I362" s="190">
        <v>22</v>
      </c>
      <c r="J362" s="205">
        <v>15.07</v>
      </c>
      <c r="K362" s="73">
        <v>15267.2</v>
      </c>
      <c r="L362" s="75">
        <f t="shared" si="123"/>
        <v>12722.666666666668</v>
      </c>
      <c r="M362" s="76">
        <v>0.4</v>
      </c>
      <c r="N362" s="77">
        <f t="shared" si="124"/>
        <v>9160.32</v>
      </c>
      <c r="O362" s="77">
        <f t="shared" si="125"/>
        <v>7633.6</v>
      </c>
    </row>
    <row r="363" spans="1:15" s="12" customFormat="1" ht="50.1" customHeight="1" x14ac:dyDescent="0.25">
      <c r="A363" s="38"/>
      <c r="B363" s="38"/>
      <c r="C363" s="203" t="s">
        <v>526</v>
      </c>
      <c r="D363" s="190" t="s">
        <v>271</v>
      </c>
      <c r="E363" s="191" t="s">
        <v>527</v>
      </c>
      <c r="F363" s="204" t="s">
        <v>509</v>
      </c>
      <c r="G363" s="205" t="s">
        <v>341</v>
      </c>
      <c r="H363" s="205" t="s">
        <v>341</v>
      </c>
      <c r="I363" s="190">
        <v>23</v>
      </c>
      <c r="J363" s="205">
        <v>17.149999999999999</v>
      </c>
      <c r="K363" s="73">
        <v>29130</v>
      </c>
      <c r="L363" s="75">
        <f t="shared" si="123"/>
        <v>24275</v>
      </c>
      <c r="M363" s="76">
        <v>0.45</v>
      </c>
      <c r="N363" s="77">
        <f t="shared" si="124"/>
        <v>16021.5</v>
      </c>
      <c r="O363" s="77">
        <f t="shared" si="125"/>
        <v>13351.25</v>
      </c>
    </row>
    <row r="364" spans="1:15" s="12" customFormat="1" ht="50.1" customHeight="1" x14ac:dyDescent="0.25">
      <c r="A364" s="38"/>
      <c r="B364" s="38"/>
      <c r="C364" s="203" t="s">
        <v>528</v>
      </c>
      <c r="D364" s="190" t="s">
        <v>271</v>
      </c>
      <c r="E364" s="191" t="s">
        <v>529</v>
      </c>
      <c r="F364" s="204" t="s">
        <v>509</v>
      </c>
      <c r="G364" s="205" t="s">
        <v>341</v>
      </c>
      <c r="H364" s="205" t="s">
        <v>341</v>
      </c>
      <c r="I364" s="190">
        <v>22</v>
      </c>
      <c r="J364" s="205">
        <v>16.760000000000002</v>
      </c>
      <c r="K364" s="73">
        <v>16494.400000000001</v>
      </c>
      <c r="L364" s="75">
        <f t="shared" si="123"/>
        <v>13745.333333333336</v>
      </c>
      <c r="M364" s="76">
        <v>0.4</v>
      </c>
      <c r="N364" s="77">
        <f t="shared" si="124"/>
        <v>9896.64</v>
      </c>
      <c r="O364" s="77">
        <f t="shared" si="125"/>
        <v>8247.2000000000007</v>
      </c>
    </row>
    <row r="365" spans="1:15" s="12" customFormat="1" ht="50.1" customHeight="1" x14ac:dyDescent="0.25">
      <c r="A365" s="38"/>
      <c r="B365" s="38"/>
      <c r="C365" s="203" t="s">
        <v>530</v>
      </c>
      <c r="D365" s="190" t="s">
        <v>271</v>
      </c>
      <c r="E365" s="191" t="s">
        <v>531</v>
      </c>
      <c r="F365" s="204" t="s">
        <v>509</v>
      </c>
      <c r="G365" s="205" t="s">
        <v>341</v>
      </c>
      <c r="H365" s="205" t="s">
        <v>341</v>
      </c>
      <c r="I365" s="190">
        <v>23</v>
      </c>
      <c r="J365" s="205">
        <v>17.8</v>
      </c>
      <c r="K365" s="73">
        <v>21050</v>
      </c>
      <c r="L365" s="75">
        <f t="shared" si="123"/>
        <v>17541.666666666668</v>
      </c>
      <c r="M365" s="76">
        <v>0.4</v>
      </c>
      <c r="N365" s="77">
        <f t="shared" si="124"/>
        <v>12630</v>
      </c>
      <c r="O365" s="77">
        <f t="shared" si="125"/>
        <v>10525</v>
      </c>
    </row>
    <row r="366" spans="1:15" s="12" customFormat="1" ht="50.1" customHeight="1" x14ac:dyDescent="0.25">
      <c r="A366" s="38"/>
      <c r="B366" s="38"/>
      <c r="C366" s="203" t="s">
        <v>532</v>
      </c>
      <c r="D366" s="190" t="s">
        <v>271</v>
      </c>
      <c r="E366" s="191" t="s">
        <v>533</v>
      </c>
      <c r="F366" s="204" t="s">
        <v>509</v>
      </c>
      <c r="G366" s="205" t="s">
        <v>341</v>
      </c>
      <c r="H366" s="205" t="s">
        <v>341</v>
      </c>
      <c r="I366" s="190">
        <v>23</v>
      </c>
      <c r="J366" s="205">
        <v>16.11</v>
      </c>
      <c r="K366" s="73">
        <v>20670</v>
      </c>
      <c r="L366" s="75">
        <f t="shared" si="123"/>
        <v>17225</v>
      </c>
      <c r="M366" s="76">
        <v>0.4</v>
      </c>
      <c r="N366" s="77">
        <f t="shared" si="124"/>
        <v>12402</v>
      </c>
      <c r="O366" s="77">
        <f t="shared" si="125"/>
        <v>10335</v>
      </c>
    </row>
    <row r="367" spans="1:15" s="12" customFormat="1" ht="50.1" customHeight="1" x14ac:dyDescent="0.25">
      <c r="A367" s="38"/>
      <c r="B367" s="38"/>
      <c r="C367" s="203" t="s">
        <v>534</v>
      </c>
      <c r="D367" s="190" t="s">
        <v>271</v>
      </c>
      <c r="E367" s="191" t="s">
        <v>535</v>
      </c>
      <c r="F367" s="204" t="s">
        <v>509</v>
      </c>
      <c r="G367" s="205" t="s">
        <v>341</v>
      </c>
      <c r="H367" s="205" t="s">
        <v>341</v>
      </c>
      <c r="I367" s="190">
        <v>23</v>
      </c>
      <c r="J367" s="205">
        <v>16.88</v>
      </c>
      <c r="K367" s="79">
        <v>21439.599999999999</v>
      </c>
      <c r="L367" s="75">
        <f t="shared" si="123"/>
        <v>17866.333333333332</v>
      </c>
      <c r="M367" s="76">
        <v>0.45</v>
      </c>
      <c r="N367" s="77">
        <f t="shared" si="124"/>
        <v>11791.779999999999</v>
      </c>
      <c r="O367" s="77">
        <f t="shared" si="125"/>
        <v>9826.4833333333336</v>
      </c>
    </row>
    <row r="368" spans="1:15" s="12" customFormat="1" ht="15.75" customHeight="1" x14ac:dyDescent="0.25">
      <c r="A368" s="208" t="s">
        <v>536</v>
      </c>
      <c r="B368" s="209"/>
      <c r="C368" s="206"/>
      <c r="D368" s="207"/>
      <c r="E368" s="83"/>
      <c r="F368" s="207"/>
      <c r="G368" s="207"/>
      <c r="H368" s="207"/>
      <c r="I368" s="207"/>
      <c r="J368" s="207"/>
      <c r="K368" s="84"/>
      <c r="L368" s="85"/>
      <c r="M368" s="86"/>
      <c r="N368" s="87"/>
      <c r="O368" s="87"/>
    </row>
    <row r="369" spans="1:15" s="12" customFormat="1" ht="50.1" customHeight="1" x14ac:dyDescent="0.25">
      <c r="A369" s="38"/>
      <c r="B369" s="38"/>
      <c r="C369" s="203">
        <v>90018696</v>
      </c>
      <c r="D369" s="205"/>
      <c r="E369" s="191" t="s">
        <v>537</v>
      </c>
      <c r="F369" s="192" t="s">
        <v>288</v>
      </c>
      <c r="G369" s="190">
        <v>27</v>
      </c>
      <c r="H369" s="190">
        <v>17</v>
      </c>
      <c r="I369" s="190">
        <v>13</v>
      </c>
      <c r="J369" s="190">
        <v>2E-3</v>
      </c>
      <c r="K369" s="75">
        <v>11</v>
      </c>
      <c r="L369" s="75">
        <f t="shared" ref="L369:L371" si="126">K369/1.2</f>
        <v>9.1666666666666679</v>
      </c>
      <c r="M369" s="76">
        <v>0</v>
      </c>
      <c r="N369" s="77">
        <f>K369-(K369*M369)</f>
        <v>11</v>
      </c>
      <c r="O369" s="77">
        <f t="shared" ref="O369:O371" si="127">N369/1.2</f>
        <v>9.1666666666666679</v>
      </c>
    </row>
    <row r="370" spans="1:15" ht="50.1" customHeight="1" x14ac:dyDescent="0.25">
      <c r="A370" s="38"/>
      <c r="B370" s="38"/>
      <c r="C370" s="203">
        <v>90019626</v>
      </c>
      <c r="D370" s="205"/>
      <c r="E370" s="191" t="s">
        <v>538</v>
      </c>
      <c r="F370" s="192" t="s">
        <v>539</v>
      </c>
      <c r="G370" s="190">
        <v>1000</v>
      </c>
      <c r="H370" s="190">
        <v>4.5999999999999996</v>
      </c>
      <c r="I370" s="190">
        <v>4.2</v>
      </c>
      <c r="J370" s="190">
        <v>0.03</v>
      </c>
      <c r="K370" s="73">
        <v>20</v>
      </c>
      <c r="L370" s="75">
        <f t="shared" si="126"/>
        <v>16.666666666666668</v>
      </c>
      <c r="M370" s="76">
        <v>0</v>
      </c>
      <c r="N370" s="77">
        <f>K370-(K370*M370)</f>
        <v>20</v>
      </c>
      <c r="O370" s="77">
        <f t="shared" si="127"/>
        <v>16.666666666666668</v>
      </c>
    </row>
    <row r="371" spans="1:15" s="210" customFormat="1" ht="50.1" customHeight="1" x14ac:dyDescent="0.25">
      <c r="A371" s="38"/>
      <c r="B371" s="38"/>
      <c r="C371" s="203">
        <v>90020816</v>
      </c>
      <c r="D371" s="205"/>
      <c r="E371" s="191" t="s">
        <v>540</v>
      </c>
      <c r="F371" s="204" t="s">
        <v>541</v>
      </c>
      <c r="G371" s="205"/>
      <c r="H371" s="205"/>
      <c r="I371" s="205"/>
      <c r="J371" s="205"/>
      <c r="K371" s="73">
        <v>720</v>
      </c>
      <c r="L371" s="75">
        <f t="shared" si="126"/>
        <v>600</v>
      </c>
      <c r="M371" s="76">
        <v>0.35</v>
      </c>
      <c r="N371" s="77">
        <f>K371-(K371*M371)</f>
        <v>468</v>
      </c>
      <c r="O371" s="77">
        <f t="shared" si="127"/>
        <v>390</v>
      </c>
    </row>
  </sheetData>
  <autoFilter ref="B1"/>
  <conditionalFormatting sqref="B1 B372:B1048576">
    <cfRule type="cellIs" dxfId="65" priority="36" operator="equal">
      <formula>"новинка!"</formula>
    </cfRule>
    <cfRule type="cellIs" dxfId="64" priority="37" operator="equal">
      <formula>"новинка!"</formula>
    </cfRule>
  </conditionalFormatting>
  <conditionalFormatting sqref="A152:B152 A101:B106 A108:B110 D111:O111">
    <cfRule type="cellIs" dxfId="63" priority="31" operator="equal">
      <formula>"новинка!"</formula>
    </cfRule>
  </conditionalFormatting>
  <conditionalFormatting sqref="A16:B63 A67:B70 A73:B83 A89:B106 A184:B282 A284:B371 A108:B110 D111:O111 A119:B182 A2:B13">
    <cfRule type="cellIs" dxfId="62" priority="29" operator="equal">
      <formula>"новинка!"</formula>
    </cfRule>
    <cfRule type="cellIs" dxfId="61" priority="30" operator="equal">
      <formula>"новинка!"</formula>
    </cfRule>
  </conditionalFormatting>
  <conditionalFormatting sqref="A14:B14">
    <cfRule type="cellIs" dxfId="60" priority="27" operator="equal">
      <formula>"новинка!"</formula>
    </cfRule>
    <cfRule type="cellIs" dxfId="59" priority="28" operator="equal">
      <formula>"новинка!"</formula>
    </cfRule>
  </conditionalFormatting>
  <conditionalFormatting sqref="A183:B183">
    <cfRule type="cellIs" dxfId="58" priority="25" operator="equal">
      <formula>"новинка!"</formula>
    </cfRule>
    <cfRule type="cellIs" dxfId="57" priority="26" operator="equal">
      <formula>"новинка!"</formula>
    </cfRule>
  </conditionalFormatting>
  <conditionalFormatting sqref="A15:B15">
    <cfRule type="cellIs" dxfId="56" priority="23" operator="equal">
      <formula>"новинка!"</formula>
    </cfRule>
    <cfRule type="cellIs" dxfId="55" priority="24" operator="equal">
      <formula>"новинка!"</formula>
    </cfRule>
  </conditionalFormatting>
  <conditionalFormatting sqref="A283:B283">
    <cfRule type="cellIs" dxfId="54" priority="21" operator="equal">
      <formula>"новинка!"</formula>
    </cfRule>
    <cfRule type="cellIs" dxfId="53" priority="22" operator="equal">
      <formula>"новинка!"</formula>
    </cfRule>
  </conditionalFormatting>
  <conditionalFormatting sqref="A64:B66">
    <cfRule type="cellIs" dxfId="52" priority="19" operator="equal">
      <formula>"новинка!"</formula>
    </cfRule>
    <cfRule type="cellIs" dxfId="51" priority="20" operator="equal">
      <formula>"новинка!"</formula>
    </cfRule>
  </conditionalFormatting>
  <conditionalFormatting sqref="A71:B72">
    <cfRule type="cellIs" dxfId="50" priority="17" operator="equal">
      <formula>"новинка!"</formula>
    </cfRule>
    <cfRule type="cellIs" dxfId="49" priority="18" operator="equal">
      <formula>"новинка!"</formula>
    </cfRule>
  </conditionalFormatting>
  <conditionalFormatting sqref="A84:B88">
    <cfRule type="cellIs" dxfId="48" priority="15" operator="equal">
      <formula>"новинка!"</formula>
    </cfRule>
    <cfRule type="cellIs" dxfId="47" priority="16" operator="equal">
      <formula>"новинка!"</formula>
    </cfRule>
  </conditionalFormatting>
  <conditionalFormatting sqref="A112:B118">
    <cfRule type="cellIs" dxfId="46" priority="9" operator="equal">
      <formula>"новинка!"</formula>
    </cfRule>
    <cfRule type="cellIs" dxfId="45" priority="10" operator="equal">
      <formula>"новинка!"</formula>
    </cfRule>
  </conditionalFormatting>
  <conditionalFormatting sqref="A111:B111">
    <cfRule type="cellIs" dxfId="44" priority="14" operator="equal">
      <formula>"новинка!"</formula>
    </cfRule>
  </conditionalFormatting>
  <conditionalFormatting sqref="A111:B111">
    <cfRule type="cellIs" dxfId="43" priority="12" operator="equal">
      <formula>"новинка!"</formula>
    </cfRule>
    <cfRule type="cellIs" dxfId="42" priority="13" operator="equal">
      <formula>"новинка!"</formula>
    </cfRule>
  </conditionalFormatting>
  <conditionalFormatting sqref="A112:B118">
    <cfRule type="cellIs" dxfId="41" priority="11" operator="equal">
      <formula>"новинка!"</formula>
    </cfRule>
  </conditionalFormatting>
  <conditionalFormatting sqref="A107:B107">
    <cfRule type="cellIs" dxfId="40" priority="8" operator="equal">
      <formula>"новинка!"</formula>
    </cfRule>
  </conditionalFormatting>
  <conditionalFormatting sqref="A107:B107">
    <cfRule type="cellIs" dxfId="39" priority="6" operator="equal">
      <formula>"новинка!"</formula>
    </cfRule>
    <cfRule type="cellIs" dxfId="38" priority="7" operator="equal">
      <formula>"новинка!"</formula>
    </cfRule>
  </conditionalFormatting>
  <conditionalFormatting sqref="C137">
    <cfRule type="duplicateValues" dxfId="37" priority="5"/>
  </conditionalFormatting>
  <conditionalFormatting sqref="C138">
    <cfRule type="duplicateValues" dxfId="36" priority="4"/>
  </conditionalFormatting>
  <conditionalFormatting sqref="C111">
    <cfRule type="cellIs" dxfId="35" priority="3" operator="equal">
      <formula>"новинка!"</formula>
    </cfRule>
  </conditionalFormatting>
  <conditionalFormatting sqref="C111">
    <cfRule type="cellIs" dxfId="34" priority="1" operator="equal">
      <formula>"новинка!"</formula>
    </cfRule>
    <cfRule type="cellIs" dxfId="33" priority="2" operator="equal">
      <formula>"новинка!"</formula>
    </cfRule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1381125</xdr:colOff>
                    <xdr:row>0</xdr:row>
                    <xdr:rowOff>0</xdr:rowOff>
                  </from>
                  <to>
                    <xdr:col>4</xdr:col>
                    <xdr:colOff>4371975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Z371"/>
  <sheetViews>
    <sheetView workbookViewId="0">
      <selection activeCell="E45" sqref="E45"/>
    </sheetView>
  </sheetViews>
  <sheetFormatPr defaultColWidth="11.42578125" defaultRowHeight="15" outlineLevelCol="1" x14ac:dyDescent="0.25"/>
  <cols>
    <col min="1" max="1" width="11.42578125" style="7"/>
    <col min="2" max="2" width="12" style="1" customWidth="1"/>
    <col min="3" max="3" width="13.5703125" style="2" customWidth="1"/>
    <col min="4" max="4" width="10.28515625" style="2" customWidth="1" outlineLevel="1"/>
    <col min="5" max="5" width="47.85546875" style="3" customWidth="1" outlineLevel="1"/>
    <col min="6" max="7" width="8.140625" style="2" customWidth="1" outlineLevel="1"/>
    <col min="8" max="8" width="12.5703125" style="2" customWidth="1" outlineLevel="1"/>
    <col min="9" max="10" width="8.140625" style="2" customWidth="1" outlineLevel="1"/>
    <col min="11" max="12" width="10.7109375" style="4" customWidth="1"/>
    <col min="13" max="13" width="10.7109375" style="5" customWidth="1"/>
    <col min="14" max="14" width="11.42578125" style="6"/>
    <col min="15" max="15" width="7.7109375" style="56" customWidth="1"/>
    <col min="16" max="16384" width="11.42578125" style="7"/>
  </cols>
  <sheetData>
    <row r="1" spans="1:18" s="12" customFormat="1" ht="45" x14ac:dyDescent="0.25">
      <c r="B1" s="57"/>
      <c r="C1" s="8" t="s">
        <v>0</v>
      </c>
      <c r="D1" s="8" t="s">
        <v>1</v>
      </c>
      <c r="E1" s="8" t="s">
        <v>2</v>
      </c>
      <c r="F1" s="9"/>
      <c r="G1" s="8" t="s">
        <v>3</v>
      </c>
      <c r="H1" s="8" t="s">
        <v>4</v>
      </c>
      <c r="I1" s="8" t="s">
        <v>5</v>
      </c>
      <c r="J1" s="8" t="s">
        <v>6</v>
      </c>
      <c r="K1" s="10" t="s">
        <v>7</v>
      </c>
      <c r="L1" s="11" t="s">
        <v>8</v>
      </c>
      <c r="M1" s="10" t="s">
        <v>1544</v>
      </c>
      <c r="N1" s="11" t="s">
        <v>11</v>
      </c>
      <c r="O1" s="55" t="s">
        <v>9</v>
      </c>
      <c r="P1" s="12" t="s">
        <v>268</v>
      </c>
      <c r="Q1" s="12" t="s">
        <v>269</v>
      </c>
      <c r="R1" s="12" t="s">
        <v>270</v>
      </c>
    </row>
    <row r="2" spans="1:18" s="20" customFormat="1" ht="50.1" customHeight="1" x14ac:dyDescent="0.25">
      <c r="A2" s="74"/>
      <c r="B2" s="74"/>
      <c r="C2" s="15" t="s">
        <v>12</v>
      </c>
      <c r="D2" s="16" t="s">
        <v>271</v>
      </c>
      <c r="E2" s="17" t="s">
        <v>272</v>
      </c>
      <c r="F2" s="18" t="s">
        <v>13</v>
      </c>
      <c r="G2" s="19">
        <v>1000</v>
      </c>
      <c r="H2" s="19">
        <v>114.5</v>
      </c>
      <c r="I2" s="16">
        <v>58</v>
      </c>
      <c r="J2" s="16">
        <v>1.82</v>
      </c>
      <c r="K2" s="75">
        <v>663.75</v>
      </c>
      <c r="L2" s="75">
        <f>K2/1.2</f>
        <v>553.125</v>
      </c>
      <c r="M2" s="77">
        <f t="shared" ref="M2:M19" si="0">K2-(K2*O2)</f>
        <v>331.875</v>
      </c>
      <c r="N2" s="77">
        <f>M2/1.2</f>
        <v>276.5625</v>
      </c>
      <c r="O2" s="76">
        <v>0.5</v>
      </c>
    </row>
    <row r="3" spans="1:18" s="20" customFormat="1" ht="50.1" customHeight="1" x14ac:dyDescent="0.25">
      <c r="A3" s="14"/>
      <c r="B3" s="14"/>
      <c r="C3" s="15" t="s">
        <v>14</v>
      </c>
      <c r="D3" s="16" t="s">
        <v>271</v>
      </c>
      <c r="E3" s="17" t="s">
        <v>273</v>
      </c>
      <c r="F3" s="18" t="s">
        <v>13</v>
      </c>
      <c r="G3" s="19">
        <v>1000</v>
      </c>
      <c r="H3" s="19">
        <v>114.5</v>
      </c>
      <c r="I3" s="16">
        <v>58</v>
      </c>
      <c r="J3" s="16">
        <v>1.22</v>
      </c>
      <c r="K3" s="73">
        <v>495</v>
      </c>
      <c r="L3" s="75">
        <f t="shared" ref="L3:L19" si="1">K3/1.2</f>
        <v>412.5</v>
      </c>
      <c r="M3" s="77">
        <f t="shared" si="0"/>
        <v>222.75</v>
      </c>
      <c r="N3" s="77">
        <f t="shared" ref="N3:N19" si="2">M3/1.2</f>
        <v>185.625</v>
      </c>
      <c r="O3" s="76">
        <v>0.55000000000000004</v>
      </c>
    </row>
    <row r="4" spans="1:18" s="20" customFormat="1" ht="50.1" customHeight="1" x14ac:dyDescent="0.25">
      <c r="A4" s="14"/>
      <c r="B4" s="14"/>
      <c r="C4" s="15" t="s">
        <v>15</v>
      </c>
      <c r="D4" s="16" t="s">
        <v>271</v>
      </c>
      <c r="E4" s="17" t="s">
        <v>274</v>
      </c>
      <c r="F4" s="18" t="s">
        <v>13</v>
      </c>
      <c r="G4" s="19">
        <v>1000</v>
      </c>
      <c r="H4" s="19">
        <v>114.5</v>
      </c>
      <c r="I4" s="16">
        <v>58</v>
      </c>
      <c r="J4" s="16">
        <v>1.6</v>
      </c>
      <c r="K4" s="73">
        <v>693.6</v>
      </c>
      <c r="L4" s="75">
        <f t="shared" si="1"/>
        <v>578</v>
      </c>
      <c r="M4" s="77">
        <f t="shared" si="0"/>
        <v>346.8</v>
      </c>
      <c r="N4" s="77">
        <f t="shared" si="2"/>
        <v>289</v>
      </c>
      <c r="O4" s="76">
        <v>0.5</v>
      </c>
    </row>
    <row r="5" spans="1:18" s="20" customFormat="1" ht="50.1" customHeight="1" x14ac:dyDescent="0.25">
      <c r="A5" s="14"/>
      <c r="B5" s="14"/>
      <c r="C5" s="15" t="s">
        <v>16</v>
      </c>
      <c r="D5" s="16" t="s">
        <v>275</v>
      </c>
      <c r="E5" s="17" t="s">
        <v>276</v>
      </c>
      <c r="F5" s="18" t="s">
        <v>13</v>
      </c>
      <c r="G5" s="19">
        <v>1000</v>
      </c>
      <c r="H5" s="19">
        <v>114.5</v>
      </c>
      <c r="I5" s="16">
        <v>58</v>
      </c>
      <c r="J5" s="16">
        <v>1.6</v>
      </c>
      <c r="K5" s="73">
        <v>700</v>
      </c>
      <c r="L5" s="75">
        <f t="shared" si="1"/>
        <v>583.33333333333337</v>
      </c>
      <c r="M5" s="77">
        <f t="shared" si="0"/>
        <v>350</v>
      </c>
      <c r="N5" s="77">
        <f t="shared" si="2"/>
        <v>291.66666666666669</v>
      </c>
      <c r="O5" s="76">
        <v>0.5</v>
      </c>
    </row>
    <row r="6" spans="1:18" s="20" customFormat="1" ht="50.1" customHeight="1" x14ac:dyDescent="0.25">
      <c r="A6" s="14"/>
      <c r="B6" s="14"/>
      <c r="C6" s="15" t="s">
        <v>17</v>
      </c>
      <c r="D6" s="16" t="s">
        <v>271</v>
      </c>
      <c r="E6" s="17" t="s">
        <v>277</v>
      </c>
      <c r="F6" s="18" t="s">
        <v>13</v>
      </c>
      <c r="G6" s="19">
        <v>1000</v>
      </c>
      <c r="H6" s="19">
        <v>114.5</v>
      </c>
      <c r="I6" s="16">
        <v>58</v>
      </c>
      <c r="J6" s="16">
        <v>1.1499999999999999</v>
      </c>
      <c r="K6" s="73">
        <v>510</v>
      </c>
      <c r="L6" s="75">
        <f t="shared" si="1"/>
        <v>425</v>
      </c>
      <c r="M6" s="77">
        <f t="shared" si="0"/>
        <v>229.5</v>
      </c>
      <c r="N6" s="77">
        <f t="shared" si="2"/>
        <v>191.25</v>
      </c>
      <c r="O6" s="76">
        <v>0.55000000000000004</v>
      </c>
    </row>
    <row r="7" spans="1:18" s="20" customFormat="1" ht="50.1" customHeight="1" x14ac:dyDescent="0.25">
      <c r="A7" s="14"/>
      <c r="B7" s="14"/>
      <c r="C7" s="15" t="s">
        <v>18</v>
      </c>
      <c r="D7" s="16" t="s">
        <v>271</v>
      </c>
      <c r="E7" s="17" t="s">
        <v>278</v>
      </c>
      <c r="F7" s="18" t="s">
        <v>13</v>
      </c>
      <c r="G7" s="19">
        <v>1000</v>
      </c>
      <c r="H7" s="19">
        <v>116</v>
      </c>
      <c r="I7" s="16">
        <v>96</v>
      </c>
      <c r="J7" s="16">
        <v>1.44</v>
      </c>
      <c r="K7" s="73">
        <v>588</v>
      </c>
      <c r="L7" s="75">
        <f t="shared" si="1"/>
        <v>490</v>
      </c>
      <c r="M7" s="77">
        <f t="shared" si="0"/>
        <v>264.59999999999997</v>
      </c>
      <c r="N7" s="77">
        <f t="shared" si="2"/>
        <v>220.49999999999997</v>
      </c>
      <c r="O7" s="76">
        <v>0.55000000000000004</v>
      </c>
    </row>
    <row r="8" spans="1:18" s="20" customFormat="1" ht="50.1" customHeight="1" x14ac:dyDescent="0.25">
      <c r="A8" s="71"/>
      <c r="B8" s="71"/>
      <c r="C8" s="21" t="s">
        <v>19</v>
      </c>
      <c r="D8" s="16" t="s">
        <v>271</v>
      </c>
      <c r="E8" s="22" t="s">
        <v>20</v>
      </c>
      <c r="F8" s="18" t="s">
        <v>13</v>
      </c>
      <c r="G8" s="23">
        <v>1000</v>
      </c>
      <c r="H8" s="23">
        <v>115</v>
      </c>
      <c r="I8" s="23">
        <v>96</v>
      </c>
      <c r="J8" s="24">
        <v>1.43</v>
      </c>
      <c r="K8" s="73">
        <v>598</v>
      </c>
      <c r="L8" s="75">
        <f t="shared" si="1"/>
        <v>498.33333333333337</v>
      </c>
      <c r="M8" s="77">
        <f t="shared" si="0"/>
        <v>269.09999999999997</v>
      </c>
      <c r="N8" s="77">
        <f t="shared" si="2"/>
        <v>224.24999999999997</v>
      </c>
      <c r="O8" s="76">
        <v>0.55000000000000004</v>
      </c>
    </row>
    <row r="9" spans="1:18" s="20" customFormat="1" ht="50.1" customHeight="1" x14ac:dyDescent="0.25">
      <c r="A9" s="78"/>
      <c r="B9" s="78"/>
      <c r="C9" s="15" t="s">
        <v>21</v>
      </c>
      <c r="D9" s="16" t="s">
        <v>271</v>
      </c>
      <c r="E9" s="17" t="s">
        <v>279</v>
      </c>
      <c r="F9" s="18" t="s">
        <v>13</v>
      </c>
      <c r="G9" s="19">
        <v>1000</v>
      </c>
      <c r="H9" s="16">
        <v>116</v>
      </c>
      <c r="I9" s="16">
        <v>96</v>
      </c>
      <c r="J9" s="16">
        <v>2.15</v>
      </c>
      <c r="K9" s="73">
        <v>786.6</v>
      </c>
      <c r="L9" s="75">
        <f t="shared" si="1"/>
        <v>655.5</v>
      </c>
      <c r="M9" s="77">
        <f t="shared" si="0"/>
        <v>353.96999999999997</v>
      </c>
      <c r="N9" s="77">
        <f t="shared" si="2"/>
        <v>294.97499999999997</v>
      </c>
      <c r="O9" s="76">
        <v>0.55000000000000004</v>
      </c>
    </row>
    <row r="10" spans="1:18" s="20" customFormat="1" ht="50.1" customHeight="1" x14ac:dyDescent="0.25">
      <c r="A10" s="78"/>
      <c r="B10" s="78"/>
      <c r="C10" s="21" t="s">
        <v>22</v>
      </c>
      <c r="D10" s="16" t="s">
        <v>271</v>
      </c>
      <c r="E10" s="22" t="s">
        <v>23</v>
      </c>
      <c r="F10" s="18" t="s">
        <v>13</v>
      </c>
      <c r="G10" s="23">
        <v>1000</v>
      </c>
      <c r="H10" s="23">
        <v>115</v>
      </c>
      <c r="I10" s="23">
        <v>96</v>
      </c>
      <c r="J10" s="24">
        <v>2</v>
      </c>
      <c r="K10" s="73">
        <v>786.6</v>
      </c>
      <c r="L10" s="75">
        <f t="shared" si="1"/>
        <v>655.5</v>
      </c>
      <c r="M10" s="77">
        <f t="shared" si="0"/>
        <v>353.96999999999997</v>
      </c>
      <c r="N10" s="77">
        <f t="shared" si="2"/>
        <v>294.97499999999997</v>
      </c>
      <c r="O10" s="76">
        <v>0.55000000000000004</v>
      </c>
    </row>
    <row r="11" spans="1:18" s="12" customFormat="1" ht="50.1" customHeight="1" x14ac:dyDescent="0.25">
      <c r="A11" s="72"/>
      <c r="B11" s="72"/>
      <c r="C11" s="15" t="s">
        <v>24</v>
      </c>
      <c r="D11" s="16" t="s">
        <v>271</v>
      </c>
      <c r="E11" s="17" t="s">
        <v>280</v>
      </c>
      <c r="F11" s="18" t="s">
        <v>13</v>
      </c>
      <c r="G11" s="19">
        <v>1000</v>
      </c>
      <c r="H11" s="16">
        <v>116</v>
      </c>
      <c r="I11" s="16">
        <v>96</v>
      </c>
      <c r="J11" s="16">
        <v>1.45</v>
      </c>
      <c r="K11" s="73">
        <v>609</v>
      </c>
      <c r="L11" s="75">
        <f t="shared" si="1"/>
        <v>507.5</v>
      </c>
      <c r="M11" s="77">
        <f t="shared" si="0"/>
        <v>274.04999999999995</v>
      </c>
      <c r="N11" s="77">
        <f t="shared" si="2"/>
        <v>228.37499999999997</v>
      </c>
      <c r="O11" s="76">
        <v>0.55000000000000004</v>
      </c>
    </row>
    <row r="12" spans="1:18" s="12" customFormat="1" ht="50.1" customHeight="1" x14ac:dyDescent="0.25">
      <c r="A12" s="71"/>
      <c r="B12" s="71"/>
      <c r="C12" s="21" t="s">
        <v>25</v>
      </c>
      <c r="D12" s="16" t="s">
        <v>271</v>
      </c>
      <c r="E12" s="22" t="s">
        <v>26</v>
      </c>
      <c r="F12" s="18" t="s">
        <v>13</v>
      </c>
      <c r="G12" s="23">
        <v>1000</v>
      </c>
      <c r="H12" s="23">
        <v>115</v>
      </c>
      <c r="I12" s="23">
        <v>96</v>
      </c>
      <c r="J12" s="24">
        <v>1.55</v>
      </c>
      <c r="K12" s="73">
        <v>609</v>
      </c>
      <c r="L12" s="75">
        <f t="shared" si="1"/>
        <v>507.5</v>
      </c>
      <c r="M12" s="77">
        <f t="shared" si="0"/>
        <v>274.04999999999995</v>
      </c>
      <c r="N12" s="77">
        <f t="shared" si="2"/>
        <v>228.37499999999997</v>
      </c>
      <c r="O12" s="76">
        <v>0.55000000000000004</v>
      </c>
    </row>
    <row r="13" spans="1:18" s="12" customFormat="1" ht="50.1" customHeight="1" x14ac:dyDescent="0.25">
      <c r="A13" s="14"/>
      <c r="B13" s="14"/>
      <c r="C13" s="15" t="s">
        <v>27</v>
      </c>
      <c r="D13" s="16" t="s">
        <v>271</v>
      </c>
      <c r="E13" s="17" t="s">
        <v>281</v>
      </c>
      <c r="F13" s="18" t="s">
        <v>13</v>
      </c>
      <c r="G13" s="19">
        <v>1000</v>
      </c>
      <c r="H13" s="16">
        <v>116</v>
      </c>
      <c r="I13" s="16">
        <v>96</v>
      </c>
      <c r="J13" s="16">
        <v>1.45</v>
      </c>
      <c r="K13" s="73">
        <v>720</v>
      </c>
      <c r="L13" s="75">
        <f t="shared" si="1"/>
        <v>600</v>
      </c>
      <c r="M13" s="77">
        <f t="shared" si="0"/>
        <v>360</v>
      </c>
      <c r="N13" s="77">
        <f t="shared" si="2"/>
        <v>300</v>
      </c>
      <c r="O13" s="76">
        <v>0.5</v>
      </c>
    </row>
    <row r="14" spans="1:18" s="12" customFormat="1" ht="50.1" customHeight="1" x14ac:dyDescent="0.25">
      <c r="A14" s="14"/>
      <c r="B14" s="14"/>
      <c r="C14" s="15" t="s">
        <v>28</v>
      </c>
      <c r="D14" s="16" t="s">
        <v>275</v>
      </c>
      <c r="E14" s="17" t="s">
        <v>282</v>
      </c>
      <c r="F14" s="18" t="s">
        <v>13</v>
      </c>
      <c r="G14" s="19">
        <v>1000</v>
      </c>
      <c r="H14" s="16">
        <v>116</v>
      </c>
      <c r="I14" s="16">
        <v>96</v>
      </c>
      <c r="J14" s="16">
        <v>1.45</v>
      </c>
      <c r="K14" s="73">
        <v>750</v>
      </c>
      <c r="L14" s="75">
        <f t="shared" si="1"/>
        <v>625</v>
      </c>
      <c r="M14" s="77">
        <f t="shared" si="0"/>
        <v>375</v>
      </c>
      <c r="N14" s="77">
        <f t="shared" si="2"/>
        <v>312.5</v>
      </c>
      <c r="O14" s="76">
        <v>0.5</v>
      </c>
    </row>
    <row r="15" spans="1:18" s="12" customFormat="1" ht="50.1" customHeight="1" x14ac:dyDescent="0.25">
      <c r="A15" s="71"/>
      <c r="B15" s="71"/>
      <c r="C15" s="21" t="s">
        <v>29</v>
      </c>
      <c r="D15" s="16" t="s">
        <v>275</v>
      </c>
      <c r="E15" s="22" t="s">
        <v>30</v>
      </c>
      <c r="F15" s="18" t="s">
        <v>13</v>
      </c>
      <c r="G15" s="23">
        <v>1000</v>
      </c>
      <c r="H15" s="23">
        <v>115</v>
      </c>
      <c r="I15" s="23">
        <v>96</v>
      </c>
      <c r="J15" s="24">
        <v>1.72</v>
      </c>
      <c r="K15" s="73">
        <v>750</v>
      </c>
      <c r="L15" s="75">
        <f t="shared" si="1"/>
        <v>625</v>
      </c>
      <c r="M15" s="77">
        <f t="shared" si="0"/>
        <v>375</v>
      </c>
      <c r="N15" s="77">
        <f t="shared" si="2"/>
        <v>312.5</v>
      </c>
      <c r="O15" s="76">
        <v>0.5</v>
      </c>
    </row>
    <row r="16" spans="1:18" s="12" customFormat="1" ht="50.1" customHeight="1" x14ac:dyDescent="0.25">
      <c r="A16" s="14"/>
      <c r="B16" s="14"/>
      <c r="C16" s="15" t="s">
        <v>31</v>
      </c>
      <c r="D16" s="16" t="s">
        <v>275</v>
      </c>
      <c r="E16" s="17" t="s">
        <v>283</v>
      </c>
      <c r="F16" s="18" t="s">
        <v>13</v>
      </c>
      <c r="G16" s="19">
        <v>1000</v>
      </c>
      <c r="H16" s="16">
        <v>116</v>
      </c>
      <c r="I16" s="16">
        <v>96</v>
      </c>
      <c r="J16" s="16">
        <v>1.45</v>
      </c>
      <c r="K16" s="73">
        <v>810</v>
      </c>
      <c r="L16" s="75">
        <f t="shared" si="1"/>
        <v>675</v>
      </c>
      <c r="M16" s="77">
        <f t="shared" si="0"/>
        <v>405</v>
      </c>
      <c r="N16" s="77">
        <f t="shared" si="2"/>
        <v>337.5</v>
      </c>
      <c r="O16" s="76">
        <v>0.5</v>
      </c>
    </row>
    <row r="17" spans="1:26" s="12" customFormat="1" ht="50.1" customHeight="1" x14ac:dyDescent="0.25">
      <c r="A17" s="74"/>
      <c r="B17" s="74"/>
      <c r="C17" s="15" t="s">
        <v>32</v>
      </c>
      <c r="D17" s="16" t="s">
        <v>271</v>
      </c>
      <c r="E17" s="17" t="s">
        <v>33</v>
      </c>
      <c r="F17" s="18" t="s">
        <v>34</v>
      </c>
      <c r="G17" s="19">
        <v>1000</v>
      </c>
      <c r="H17" s="16">
        <v>380</v>
      </c>
      <c r="I17" s="16">
        <v>296</v>
      </c>
      <c r="J17" s="16">
        <v>14.62</v>
      </c>
      <c r="K17" s="73">
        <v>9777.2999999999993</v>
      </c>
      <c r="L17" s="75">
        <f t="shared" si="1"/>
        <v>8147.75</v>
      </c>
      <c r="M17" s="77">
        <f t="shared" si="0"/>
        <v>4399.7849999999989</v>
      </c>
      <c r="N17" s="77">
        <f t="shared" si="2"/>
        <v>3666.4874999999993</v>
      </c>
      <c r="O17" s="76">
        <v>0.55000000000000004</v>
      </c>
    </row>
    <row r="18" spans="1:26" s="12" customFormat="1" ht="50.1" customHeight="1" x14ac:dyDescent="0.25">
      <c r="A18" s="74"/>
      <c r="B18" s="74"/>
      <c r="C18" s="25" t="s">
        <v>35</v>
      </c>
      <c r="D18" s="16" t="s">
        <v>271</v>
      </c>
      <c r="E18" s="17" t="s">
        <v>36</v>
      </c>
      <c r="F18" s="18" t="s">
        <v>34</v>
      </c>
      <c r="G18" s="19">
        <v>1000</v>
      </c>
      <c r="H18" s="16">
        <v>380</v>
      </c>
      <c r="I18" s="16">
        <v>400</v>
      </c>
      <c r="J18" s="16">
        <v>15.2</v>
      </c>
      <c r="K18" s="73">
        <v>10060.645</v>
      </c>
      <c r="L18" s="75">
        <f t="shared" si="1"/>
        <v>8383.8708333333343</v>
      </c>
      <c r="M18" s="77">
        <f t="shared" si="0"/>
        <v>4527.29025</v>
      </c>
      <c r="N18" s="77">
        <f t="shared" si="2"/>
        <v>3772.7418750000002</v>
      </c>
      <c r="O18" s="76">
        <v>0.55000000000000004</v>
      </c>
    </row>
    <row r="19" spans="1:26" s="12" customFormat="1" ht="50.1" customHeight="1" x14ac:dyDescent="0.25">
      <c r="A19" s="74"/>
      <c r="B19" s="74"/>
      <c r="C19" s="15" t="s">
        <v>37</v>
      </c>
      <c r="D19" s="16" t="s">
        <v>271</v>
      </c>
      <c r="E19" s="17" t="s">
        <v>38</v>
      </c>
      <c r="F19" s="18" t="s">
        <v>34</v>
      </c>
      <c r="G19" s="19">
        <v>1000</v>
      </c>
      <c r="H19" s="16">
        <v>380</v>
      </c>
      <c r="I19" s="16">
        <v>496</v>
      </c>
      <c r="J19" s="16">
        <v>17.2</v>
      </c>
      <c r="K19" s="79">
        <v>9893.93</v>
      </c>
      <c r="L19" s="75">
        <f t="shared" si="1"/>
        <v>8244.9416666666675</v>
      </c>
      <c r="M19" s="77">
        <f t="shared" si="0"/>
        <v>4452.2685000000001</v>
      </c>
      <c r="N19" s="77">
        <f t="shared" si="2"/>
        <v>3710.2237500000001</v>
      </c>
      <c r="O19" s="76">
        <v>0.55000000000000004</v>
      </c>
    </row>
    <row r="20" spans="1:26" s="12" customFormat="1" x14ac:dyDescent="0.25">
      <c r="A20" s="80" t="s">
        <v>284</v>
      </c>
      <c r="B20" s="81"/>
      <c r="C20" s="82"/>
      <c r="D20" s="81"/>
      <c r="E20" s="83"/>
      <c r="F20" s="81"/>
      <c r="G20" s="81"/>
      <c r="H20" s="81"/>
      <c r="I20" s="81"/>
      <c r="J20" s="81"/>
      <c r="K20" s="84"/>
      <c r="L20" s="85"/>
      <c r="M20" s="87"/>
      <c r="N20" s="87"/>
      <c r="O20" s="86"/>
    </row>
    <row r="21" spans="1:26" s="12" customFormat="1" ht="50.1" customHeight="1" x14ac:dyDescent="0.25">
      <c r="A21" s="74"/>
      <c r="B21" s="74"/>
      <c r="C21" s="15" t="s">
        <v>39</v>
      </c>
      <c r="D21" s="16" t="s">
        <v>271</v>
      </c>
      <c r="E21" s="17" t="s">
        <v>40</v>
      </c>
      <c r="F21" s="18" t="s">
        <v>13</v>
      </c>
      <c r="G21" s="16">
        <v>500</v>
      </c>
      <c r="H21" s="16">
        <v>116</v>
      </c>
      <c r="I21" s="16">
        <v>320</v>
      </c>
      <c r="J21" s="16">
        <v>3.4</v>
      </c>
      <c r="K21" s="75">
        <v>1734.88</v>
      </c>
      <c r="L21" s="75">
        <f t="shared" ref="L21:L25" si="3">K21/1.2</f>
        <v>1445.7333333333336</v>
      </c>
      <c r="M21" s="77">
        <f>K21-(K21*O21)</f>
        <v>780.69600000000003</v>
      </c>
      <c r="N21" s="77">
        <f t="shared" ref="N21:N25" si="4">M21/1.2</f>
        <v>650.58000000000004</v>
      </c>
      <c r="O21" s="76">
        <v>0.55000000000000004</v>
      </c>
    </row>
    <row r="22" spans="1:26" s="12" customFormat="1" ht="50.1" customHeight="1" x14ac:dyDescent="0.25">
      <c r="A22" s="14"/>
      <c r="B22" s="14"/>
      <c r="C22" s="15" t="s">
        <v>41</v>
      </c>
      <c r="D22" s="16" t="s">
        <v>271</v>
      </c>
      <c r="E22" s="17" t="s">
        <v>42</v>
      </c>
      <c r="F22" s="18" t="s">
        <v>13</v>
      </c>
      <c r="G22" s="16">
        <v>500</v>
      </c>
      <c r="H22" s="16">
        <v>116</v>
      </c>
      <c r="I22" s="16">
        <v>320</v>
      </c>
      <c r="J22" s="16">
        <v>3.05</v>
      </c>
      <c r="K22" s="73">
        <v>1571.78</v>
      </c>
      <c r="L22" s="75">
        <f t="shared" si="3"/>
        <v>1309.8166666666666</v>
      </c>
      <c r="M22" s="77">
        <f>K22-(K22*O22)</f>
        <v>707.30099999999993</v>
      </c>
      <c r="N22" s="77">
        <f t="shared" si="4"/>
        <v>589.41750000000002</v>
      </c>
      <c r="O22" s="76">
        <v>0.55000000000000004</v>
      </c>
    </row>
    <row r="23" spans="1:26" s="12" customFormat="1" ht="50.1" customHeight="1" x14ac:dyDescent="0.25">
      <c r="A23" s="14"/>
      <c r="B23" s="14"/>
      <c r="C23" s="15" t="s">
        <v>43</v>
      </c>
      <c r="D23" s="16" t="s">
        <v>271</v>
      </c>
      <c r="E23" s="17" t="s">
        <v>44</v>
      </c>
      <c r="F23" s="18" t="s">
        <v>13</v>
      </c>
      <c r="G23" s="16">
        <v>500</v>
      </c>
      <c r="H23" s="16">
        <v>116</v>
      </c>
      <c r="I23" s="16">
        <v>320</v>
      </c>
      <c r="J23" s="16">
        <v>2.14</v>
      </c>
      <c r="K23" s="73">
        <v>1871.28</v>
      </c>
      <c r="L23" s="75">
        <f t="shared" si="3"/>
        <v>1559.4</v>
      </c>
      <c r="M23" s="77">
        <f>K23-(K23*O23)</f>
        <v>842.07599999999979</v>
      </c>
      <c r="N23" s="77">
        <f t="shared" si="4"/>
        <v>701.7299999999999</v>
      </c>
      <c r="O23" s="76">
        <v>0.55000000000000004</v>
      </c>
    </row>
    <row r="24" spans="1:26" s="12" customFormat="1" ht="50.1" customHeight="1" x14ac:dyDescent="0.25">
      <c r="A24" s="14"/>
      <c r="B24" s="14"/>
      <c r="C24" s="15" t="s">
        <v>45</v>
      </c>
      <c r="D24" s="16" t="s">
        <v>275</v>
      </c>
      <c r="E24" s="17" t="s">
        <v>46</v>
      </c>
      <c r="F24" s="26" t="s">
        <v>13</v>
      </c>
      <c r="G24" s="16">
        <v>500</v>
      </c>
      <c r="H24" s="16">
        <v>116</v>
      </c>
      <c r="I24" s="16">
        <v>320</v>
      </c>
      <c r="J24" s="16">
        <v>2.14</v>
      </c>
      <c r="K24" s="73">
        <v>1755.36</v>
      </c>
      <c r="L24" s="75">
        <f t="shared" si="3"/>
        <v>1462.8</v>
      </c>
      <c r="M24" s="77">
        <f>K24-(K24*O24)</f>
        <v>789.91199999999992</v>
      </c>
      <c r="N24" s="77">
        <f t="shared" si="4"/>
        <v>658.26</v>
      </c>
      <c r="O24" s="76">
        <v>0.55000000000000004</v>
      </c>
    </row>
    <row r="25" spans="1:26" s="12" customFormat="1" ht="50.1" customHeight="1" x14ac:dyDescent="0.25">
      <c r="A25" s="14"/>
      <c r="B25" s="14"/>
      <c r="C25" s="15" t="s">
        <v>47</v>
      </c>
      <c r="D25" s="16" t="s">
        <v>271</v>
      </c>
      <c r="E25" s="17" t="s">
        <v>44</v>
      </c>
      <c r="F25" s="18" t="s">
        <v>13</v>
      </c>
      <c r="G25" s="16">
        <v>500</v>
      </c>
      <c r="H25" s="16">
        <v>116</v>
      </c>
      <c r="I25" s="16">
        <v>320</v>
      </c>
      <c r="J25" s="16">
        <v>1.91</v>
      </c>
      <c r="K25" s="79">
        <v>1514.1</v>
      </c>
      <c r="L25" s="75">
        <f t="shared" si="3"/>
        <v>1261.75</v>
      </c>
      <c r="M25" s="77">
        <f>K25-(K25*O25)</f>
        <v>681.34499999999991</v>
      </c>
      <c r="N25" s="77">
        <f t="shared" si="4"/>
        <v>567.78749999999991</v>
      </c>
      <c r="O25" s="76">
        <v>0.55000000000000004</v>
      </c>
    </row>
    <row r="26" spans="1:26" s="12" customFormat="1" x14ac:dyDescent="0.25">
      <c r="A26" s="88" t="s">
        <v>285</v>
      </c>
      <c r="B26" s="89"/>
      <c r="C26" s="90"/>
      <c r="D26" s="89"/>
      <c r="E26" s="91"/>
      <c r="F26" s="89"/>
      <c r="G26" s="89"/>
      <c r="H26" s="89"/>
      <c r="I26" s="89"/>
      <c r="J26" s="89"/>
      <c r="K26" s="84"/>
      <c r="L26" s="85"/>
      <c r="M26" s="93"/>
      <c r="N26" s="93"/>
      <c r="O26" s="92"/>
    </row>
    <row r="27" spans="1:26" s="12" customFormat="1" ht="50.1" customHeight="1" x14ac:dyDescent="0.25">
      <c r="A27" s="14"/>
      <c r="B27" s="14"/>
      <c r="C27" s="25">
        <v>18061</v>
      </c>
      <c r="D27" s="16" t="s">
        <v>48</v>
      </c>
      <c r="E27" s="17" t="s">
        <v>286</v>
      </c>
      <c r="F27" s="18" t="s">
        <v>13</v>
      </c>
      <c r="G27" s="16">
        <v>100</v>
      </c>
      <c r="H27" s="16">
        <v>2.7</v>
      </c>
      <c r="I27" s="16">
        <v>68</v>
      </c>
      <c r="J27" s="16">
        <v>0.04</v>
      </c>
      <c r="K27" s="75">
        <v>117.6</v>
      </c>
      <c r="L27" s="75">
        <f t="shared" ref="L27:L28" si="5">K27/1.2</f>
        <v>98</v>
      </c>
      <c r="M27" s="77">
        <f>K27-(K27*O27)</f>
        <v>52.919999999999987</v>
      </c>
      <c r="N27" s="77">
        <f t="shared" ref="N27:N28" si="6">M27/1.2</f>
        <v>44.099999999999994</v>
      </c>
      <c r="O27" s="76">
        <v>0.55000000000000004</v>
      </c>
    </row>
    <row r="28" spans="1:26" s="12" customFormat="1" ht="50.1" customHeight="1" x14ac:dyDescent="0.25">
      <c r="A28" s="14"/>
      <c r="B28" s="14"/>
      <c r="C28" s="25">
        <v>18062</v>
      </c>
      <c r="D28" s="16" t="s">
        <v>48</v>
      </c>
      <c r="E28" s="17" t="s">
        <v>287</v>
      </c>
      <c r="F28" s="18" t="s">
        <v>288</v>
      </c>
      <c r="G28" s="16">
        <v>109</v>
      </c>
      <c r="H28" s="16">
        <v>109</v>
      </c>
      <c r="I28" s="16">
        <v>52.5</v>
      </c>
      <c r="J28" s="16">
        <v>0.1</v>
      </c>
      <c r="K28" s="79">
        <v>179.28</v>
      </c>
      <c r="L28" s="75">
        <f t="shared" si="5"/>
        <v>149.4</v>
      </c>
      <c r="M28" s="77">
        <f>K28-(K28*O28)</f>
        <v>80.675999999999988</v>
      </c>
      <c r="N28" s="77">
        <f t="shared" si="6"/>
        <v>67.22999999999999</v>
      </c>
      <c r="O28" s="76">
        <v>0.55000000000000004</v>
      </c>
    </row>
    <row r="29" spans="1:26" s="13" customFormat="1" ht="15.75" customHeight="1" x14ac:dyDescent="0.25">
      <c r="A29" s="80" t="s">
        <v>289</v>
      </c>
      <c r="B29" s="81"/>
      <c r="C29" s="82"/>
      <c r="D29" s="81"/>
      <c r="E29" s="83"/>
      <c r="F29" s="81"/>
      <c r="G29" s="81"/>
      <c r="H29" s="81"/>
      <c r="I29" s="81"/>
      <c r="J29" s="81"/>
      <c r="K29" s="84"/>
      <c r="L29" s="85"/>
      <c r="M29" s="93"/>
      <c r="N29" s="93"/>
      <c r="O29" s="9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 s="20" customFormat="1" ht="50.1" customHeight="1" x14ac:dyDescent="0.25">
      <c r="A30" s="27"/>
      <c r="B30" s="27"/>
      <c r="C30" s="25">
        <v>805</v>
      </c>
      <c r="D30" s="16" t="s">
        <v>290</v>
      </c>
      <c r="E30" s="17" t="s">
        <v>49</v>
      </c>
      <c r="F30" s="18" t="s">
        <v>13</v>
      </c>
      <c r="G30" s="19">
        <v>1000</v>
      </c>
      <c r="H30" s="16">
        <v>146</v>
      </c>
      <c r="I30" s="16">
        <v>63</v>
      </c>
      <c r="J30" s="16">
        <v>1</v>
      </c>
      <c r="K30" s="75">
        <v>396</v>
      </c>
      <c r="L30" s="75">
        <f t="shared" ref="L30:L35" si="7">K30/1.2</f>
        <v>330</v>
      </c>
      <c r="M30" s="77">
        <f t="shared" ref="M30:M35" si="8">K30-(K30*O30)</f>
        <v>178.2</v>
      </c>
      <c r="N30" s="77">
        <f t="shared" ref="N30:N35" si="9">M30/1.2</f>
        <v>148.5</v>
      </c>
      <c r="O30" s="76">
        <v>0.55000000000000004</v>
      </c>
    </row>
    <row r="31" spans="1:26" s="20" customFormat="1" ht="50.1" customHeight="1" x14ac:dyDescent="0.25">
      <c r="A31" s="27"/>
      <c r="B31" s="27"/>
      <c r="C31" s="25">
        <v>803</v>
      </c>
      <c r="D31" s="16" t="s">
        <v>290</v>
      </c>
      <c r="E31" s="17" t="s">
        <v>50</v>
      </c>
      <c r="F31" s="18" t="s">
        <v>13</v>
      </c>
      <c r="G31" s="16">
        <v>1000</v>
      </c>
      <c r="H31" s="16">
        <v>146</v>
      </c>
      <c r="I31" s="16">
        <v>80</v>
      </c>
      <c r="J31" s="16">
        <v>1.2</v>
      </c>
      <c r="K31" s="73">
        <v>460</v>
      </c>
      <c r="L31" s="75">
        <f t="shared" si="7"/>
        <v>383.33333333333337</v>
      </c>
      <c r="M31" s="77">
        <f t="shared" si="8"/>
        <v>206.99999999999997</v>
      </c>
      <c r="N31" s="77">
        <f t="shared" si="9"/>
        <v>172.49999999999997</v>
      </c>
      <c r="O31" s="76">
        <v>0.55000000000000004</v>
      </c>
    </row>
    <row r="32" spans="1:26" s="20" customFormat="1" ht="50.1" customHeight="1" x14ac:dyDescent="0.25">
      <c r="A32" s="27"/>
      <c r="B32" s="27"/>
      <c r="C32" s="25">
        <v>804</v>
      </c>
      <c r="D32" s="16" t="s">
        <v>290</v>
      </c>
      <c r="E32" s="17" t="s">
        <v>51</v>
      </c>
      <c r="F32" s="18" t="s">
        <v>13</v>
      </c>
      <c r="G32" s="16">
        <v>1000</v>
      </c>
      <c r="H32" s="16">
        <v>146</v>
      </c>
      <c r="I32" s="16">
        <v>100</v>
      </c>
      <c r="J32" s="16">
        <v>1.32</v>
      </c>
      <c r="K32" s="73">
        <v>486</v>
      </c>
      <c r="L32" s="75">
        <f t="shared" si="7"/>
        <v>405</v>
      </c>
      <c r="M32" s="77">
        <f t="shared" si="8"/>
        <v>218.7</v>
      </c>
      <c r="N32" s="77">
        <f t="shared" si="9"/>
        <v>182.25</v>
      </c>
      <c r="O32" s="76">
        <v>0.55000000000000004</v>
      </c>
    </row>
    <row r="33" spans="1:26" s="20" customFormat="1" ht="50.1" customHeight="1" x14ac:dyDescent="0.25">
      <c r="A33" s="27"/>
      <c r="B33" s="27"/>
      <c r="C33" s="25">
        <v>801</v>
      </c>
      <c r="D33" s="16" t="s">
        <v>290</v>
      </c>
      <c r="E33" s="17" t="s">
        <v>52</v>
      </c>
      <c r="F33" s="18" t="s">
        <v>13</v>
      </c>
      <c r="G33" s="16">
        <v>1000</v>
      </c>
      <c r="H33" s="16">
        <v>146</v>
      </c>
      <c r="I33" s="16">
        <v>120</v>
      </c>
      <c r="J33" s="16">
        <v>1.46</v>
      </c>
      <c r="K33" s="73">
        <v>508</v>
      </c>
      <c r="L33" s="75">
        <f t="shared" si="7"/>
        <v>423.33333333333337</v>
      </c>
      <c r="M33" s="77">
        <f t="shared" si="8"/>
        <v>228.59999999999997</v>
      </c>
      <c r="N33" s="77">
        <f t="shared" si="9"/>
        <v>190.49999999999997</v>
      </c>
      <c r="O33" s="76">
        <v>0.55000000000000004</v>
      </c>
    </row>
    <row r="34" spans="1:26" s="20" customFormat="1" ht="50.1" customHeight="1" x14ac:dyDescent="0.25">
      <c r="A34" s="27"/>
      <c r="B34" s="27"/>
      <c r="C34" s="25">
        <v>800</v>
      </c>
      <c r="D34" s="16" t="s">
        <v>290</v>
      </c>
      <c r="E34" s="17" t="s">
        <v>53</v>
      </c>
      <c r="F34" s="18" t="s">
        <v>13</v>
      </c>
      <c r="G34" s="16">
        <v>1000</v>
      </c>
      <c r="H34" s="16">
        <v>146</v>
      </c>
      <c r="I34" s="16">
        <v>135</v>
      </c>
      <c r="J34" s="16">
        <v>1.59</v>
      </c>
      <c r="K34" s="73">
        <v>572</v>
      </c>
      <c r="L34" s="75">
        <f t="shared" si="7"/>
        <v>476.66666666666669</v>
      </c>
      <c r="M34" s="77">
        <f t="shared" si="8"/>
        <v>257.39999999999998</v>
      </c>
      <c r="N34" s="77">
        <f t="shared" si="9"/>
        <v>214.5</v>
      </c>
      <c r="O34" s="76">
        <v>0.55000000000000004</v>
      </c>
    </row>
    <row r="35" spans="1:26" s="20" customFormat="1" ht="50.1" customHeight="1" x14ac:dyDescent="0.25">
      <c r="A35" s="27"/>
      <c r="B35" s="27"/>
      <c r="C35" s="25">
        <v>802</v>
      </c>
      <c r="D35" s="16" t="s">
        <v>290</v>
      </c>
      <c r="E35" s="17" t="s">
        <v>54</v>
      </c>
      <c r="F35" s="18" t="s">
        <v>13</v>
      </c>
      <c r="G35" s="19">
        <v>1000</v>
      </c>
      <c r="H35" s="16">
        <v>146</v>
      </c>
      <c r="I35" s="16">
        <v>185</v>
      </c>
      <c r="J35" s="16">
        <v>2.0699999999999998</v>
      </c>
      <c r="K35" s="79">
        <v>652</v>
      </c>
      <c r="L35" s="75">
        <f t="shared" si="7"/>
        <v>543.33333333333337</v>
      </c>
      <c r="M35" s="77">
        <f t="shared" si="8"/>
        <v>293.39999999999998</v>
      </c>
      <c r="N35" s="77">
        <f t="shared" si="9"/>
        <v>244.5</v>
      </c>
      <c r="O35" s="76">
        <v>0.55000000000000004</v>
      </c>
    </row>
    <row r="36" spans="1:26" s="13" customFormat="1" ht="15.75" customHeight="1" x14ac:dyDescent="0.25">
      <c r="A36" s="80" t="s">
        <v>291</v>
      </c>
      <c r="B36" s="81"/>
      <c r="C36" s="82"/>
      <c r="D36" s="81"/>
      <c r="E36" s="83"/>
      <c r="F36" s="81"/>
      <c r="G36" s="81"/>
      <c r="H36" s="81"/>
      <c r="I36" s="81"/>
      <c r="J36" s="81"/>
      <c r="K36" s="84"/>
      <c r="L36" s="85"/>
      <c r="M36" s="93"/>
      <c r="N36" s="93"/>
      <c r="O36" s="9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s="20" customFormat="1" ht="50.1" customHeight="1" x14ac:dyDescent="0.25">
      <c r="A37" s="28"/>
      <c r="B37" s="28"/>
      <c r="C37" s="25">
        <v>808</v>
      </c>
      <c r="D37" s="16" t="s">
        <v>290</v>
      </c>
      <c r="E37" s="17" t="s">
        <v>55</v>
      </c>
      <c r="F37" s="18" t="s">
        <v>13</v>
      </c>
      <c r="G37" s="19">
        <v>500</v>
      </c>
      <c r="H37" s="16">
        <v>160</v>
      </c>
      <c r="I37" s="16">
        <v>420</v>
      </c>
      <c r="J37" s="16">
        <v>2.75</v>
      </c>
      <c r="K37" s="94">
        <v>1869</v>
      </c>
      <c r="L37" s="75">
        <f>K37/1.2</f>
        <v>1557.5</v>
      </c>
      <c r="M37" s="77">
        <f>K37-(K37*O37)</f>
        <v>841.05</v>
      </c>
      <c r="N37" s="77">
        <f>M37/1.2</f>
        <v>700.875</v>
      </c>
      <c r="O37" s="76">
        <v>0.55000000000000004</v>
      </c>
    </row>
    <row r="38" spans="1:26" s="13" customFormat="1" ht="15.75" customHeight="1" x14ac:dyDescent="0.25">
      <c r="A38" s="80" t="s">
        <v>292</v>
      </c>
      <c r="B38" s="81"/>
      <c r="C38" s="82"/>
      <c r="D38" s="81"/>
      <c r="E38" s="83"/>
      <c r="F38" s="81"/>
      <c r="G38" s="81"/>
      <c r="H38" s="81"/>
      <c r="I38" s="81"/>
      <c r="J38" s="81"/>
      <c r="K38" s="84"/>
      <c r="L38" s="85"/>
      <c r="M38" s="93"/>
      <c r="N38" s="93"/>
      <c r="O38" s="9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s="20" customFormat="1" ht="50.1" customHeight="1" x14ac:dyDescent="0.25">
      <c r="A39" s="27"/>
      <c r="B39" s="27"/>
      <c r="C39" s="25">
        <v>8054</v>
      </c>
      <c r="D39" s="16" t="s">
        <v>290</v>
      </c>
      <c r="E39" s="17" t="s">
        <v>56</v>
      </c>
      <c r="F39" s="18" t="s">
        <v>13</v>
      </c>
      <c r="G39" s="19">
        <v>1000</v>
      </c>
      <c r="H39" s="16">
        <v>148</v>
      </c>
      <c r="I39" s="16">
        <v>66</v>
      </c>
      <c r="J39" s="16">
        <v>2</v>
      </c>
      <c r="K39" s="75">
        <v>967.86</v>
      </c>
      <c r="L39" s="75">
        <f t="shared" ref="L39:L44" si="10">K39/1.2</f>
        <v>806.55000000000007</v>
      </c>
      <c r="M39" s="77">
        <f t="shared" ref="M39:M44" si="11">K39-(K39*O39)</f>
        <v>435.53699999999992</v>
      </c>
      <c r="N39" s="77">
        <f t="shared" ref="N39:N44" si="12">M39/1.2</f>
        <v>362.94749999999993</v>
      </c>
      <c r="O39" s="76">
        <v>0.55000000000000004</v>
      </c>
    </row>
    <row r="40" spans="1:26" s="20" customFormat="1" ht="50.1" customHeight="1" x14ac:dyDescent="0.25">
      <c r="A40" s="27"/>
      <c r="B40" s="27"/>
      <c r="C40" s="25">
        <v>8034</v>
      </c>
      <c r="D40" s="16" t="s">
        <v>290</v>
      </c>
      <c r="E40" s="17" t="s">
        <v>57</v>
      </c>
      <c r="F40" s="18" t="s">
        <v>13</v>
      </c>
      <c r="G40" s="16">
        <v>1000</v>
      </c>
      <c r="H40" s="16">
        <v>148</v>
      </c>
      <c r="I40" s="16">
        <v>83</v>
      </c>
      <c r="J40" s="16">
        <v>2.2000000000000002</v>
      </c>
      <c r="K40" s="73">
        <v>1022.58</v>
      </c>
      <c r="L40" s="75">
        <f t="shared" si="10"/>
        <v>852.15000000000009</v>
      </c>
      <c r="M40" s="77">
        <f t="shared" si="11"/>
        <v>460.16099999999994</v>
      </c>
      <c r="N40" s="77">
        <f t="shared" si="12"/>
        <v>383.46749999999997</v>
      </c>
      <c r="O40" s="76">
        <v>0.55000000000000004</v>
      </c>
    </row>
    <row r="41" spans="1:26" s="20" customFormat="1" ht="50.1" customHeight="1" x14ac:dyDescent="0.25">
      <c r="A41" s="27"/>
      <c r="B41" s="27"/>
      <c r="C41" s="25">
        <v>8044</v>
      </c>
      <c r="D41" s="16" t="s">
        <v>290</v>
      </c>
      <c r="E41" s="17" t="s">
        <v>58</v>
      </c>
      <c r="F41" s="18" t="s">
        <v>13</v>
      </c>
      <c r="G41" s="16">
        <v>1000</v>
      </c>
      <c r="H41" s="16">
        <v>148</v>
      </c>
      <c r="I41" s="16">
        <v>103</v>
      </c>
      <c r="J41" s="16">
        <v>2.4</v>
      </c>
      <c r="K41" s="73">
        <v>1026.1300000000001</v>
      </c>
      <c r="L41" s="75">
        <f t="shared" si="10"/>
        <v>855.10833333333346</v>
      </c>
      <c r="M41" s="77">
        <f t="shared" si="11"/>
        <v>461.75850000000003</v>
      </c>
      <c r="N41" s="77">
        <f t="shared" si="12"/>
        <v>384.79875000000004</v>
      </c>
      <c r="O41" s="76">
        <v>0.55000000000000004</v>
      </c>
    </row>
    <row r="42" spans="1:26" s="20" customFormat="1" ht="50.1" customHeight="1" x14ac:dyDescent="0.25">
      <c r="A42" s="27"/>
      <c r="B42" s="27"/>
      <c r="C42" s="25">
        <v>8014</v>
      </c>
      <c r="D42" s="16" t="s">
        <v>290</v>
      </c>
      <c r="E42" s="17" t="s">
        <v>59</v>
      </c>
      <c r="F42" s="18" t="s">
        <v>13</v>
      </c>
      <c r="G42" s="16">
        <v>1000</v>
      </c>
      <c r="H42" s="16">
        <v>148</v>
      </c>
      <c r="I42" s="16">
        <v>123</v>
      </c>
      <c r="J42" s="16">
        <v>2.4</v>
      </c>
      <c r="K42" s="73">
        <v>1048.95</v>
      </c>
      <c r="L42" s="75">
        <f t="shared" si="10"/>
        <v>874.12500000000011</v>
      </c>
      <c r="M42" s="77">
        <f t="shared" si="11"/>
        <v>472.02749999999992</v>
      </c>
      <c r="N42" s="77">
        <f t="shared" si="12"/>
        <v>393.35624999999993</v>
      </c>
      <c r="O42" s="76">
        <v>0.55000000000000004</v>
      </c>
    </row>
    <row r="43" spans="1:26" s="20" customFormat="1" ht="50.1" customHeight="1" x14ac:dyDescent="0.25">
      <c r="A43" s="27"/>
      <c r="B43" s="27"/>
      <c r="C43" s="25">
        <v>8004</v>
      </c>
      <c r="D43" s="16" t="s">
        <v>290</v>
      </c>
      <c r="E43" s="17" t="s">
        <v>60</v>
      </c>
      <c r="F43" s="18" t="s">
        <v>13</v>
      </c>
      <c r="G43" s="16">
        <v>1000</v>
      </c>
      <c r="H43" s="16">
        <v>148</v>
      </c>
      <c r="I43" s="16">
        <v>138</v>
      </c>
      <c r="J43" s="16">
        <v>2.4500000000000002</v>
      </c>
      <c r="K43" s="73">
        <v>1141.3</v>
      </c>
      <c r="L43" s="75">
        <f t="shared" si="10"/>
        <v>951.08333333333337</v>
      </c>
      <c r="M43" s="77">
        <f t="shared" si="11"/>
        <v>513.58499999999992</v>
      </c>
      <c r="N43" s="77">
        <f t="shared" si="12"/>
        <v>427.98749999999995</v>
      </c>
      <c r="O43" s="76">
        <v>0.55000000000000004</v>
      </c>
    </row>
    <row r="44" spans="1:26" s="20" customFormat="1" ht="50.1" customHeight="1" x14ac:dyDescent="0.25">
      <c r="A44" s="27"/>
      <c r="B44" s="27"/>
      <c r="C44" s="25">
        <v>8024</v>
      </c>
      <c r="D44" s="16" t="s">
        <v>290</v>
      </c>
      <c r="E44" s="17" t="s">
        <v>61</v>
      </c>
      <c r="F44" s="18" t="s">
        <v>13</v>
      </c>
      <c r="G44" s="19">
        <v>1000</v>
      </c>
      <c r="H44" s="16">
        <v>148</v>
      </c>
      <c r="I44" s="16">
        <v>187</v>
      </c>
      <c r="J44" s="16">
        <v>2.8</v>
      </c>
      <c r="K44" s="79">
        <v>1166.3</v>
      </c>
      <c r="L44" s="75">
        <f t="shared" si="10"/>
        <v>971.91666666666663</v>
      </c>
      <c r="M44" s="77">
        <f t="shared" si="11"/>
        <v>524.83499999999992</v>
      </c>
      <c r="N44" s="77">
        <f t="shared" si="12"/>
        <v>437.36249999999995</v>
      </c>
      <c r="O44" s="76">
        <v>0.55000000000000004</v>
      </c>
    </row>
    <row r="45" spans="1:26" s="12" customFormat="1" ht="15.75" customHeight="1" x14ac:dyDescent="0.25">
      <c r="A45" s="80" t="s">
        <v>293</v>
      </c>
      <c r="B45" s="81"/>
      <c r="C45" s="82"/>
      <c r="D45" s="81"/>
      <c r="E45" s="83"/>
      <c r="F45" s="81"/>
      <c r="G45" s="81"/>
      <c r="H45" s="81"/>
      <c r="I45" s="81"/>
      <c r="J45" s="81"/>
      <c r="K45" s="84"/>
      <c r="L45" s="85"/>
      <c r="M45" s="93"/>
      <c r="N45" s="93"/>
      <c r="O45" s="92"/>
    </row>
    <row r="46" spans="1:26" s="20" customFormat="1" ht="50.1" customHeight="1" x14ac:dyDescent="0.25">
      <c r="A46" s="27"/>
      <c r="B46" s="27"/>
      <c r="C46" s="25">
        <v>8084</v>
      </c>
      <c r="D46" s="16" t="s">
        <v>290</v>
      </c>
      <c r="E46" s="17" t="s">
        <v>62</v>
      </c>
      <c r="F46" s="18" t="s">
        <v>13</v>
      </c>
      <c r="G46" s="19">
        <v>500</v>
      </c>
      <c r="H46" s="16">
        <v>160</v>
      </c>
      <c r="I46" s="16">
        <v>423</v>
      </c>
      <c r="J46" s="16">
        <v>3</v>
      </c>
      <c r="K46" s="94">
        <v>2088</v>
      </c>
      <c r="L46" s="75">
        <f>K46/1.2</f>
        <v>1740</v>
      </c>
      <c r="M46" s="77">
        <f>K46-(K46*O46)</f>
        <v>939.59999999999991</v>
      </c>
      <c r="N46" s="77">
        <f>M46/1.2</f>
        <v>783</v>
      </c>
      <c r="O46" s="76">
        <v>0.55000000000000004</v>
      </c>
    </row>
    <row r="47" spans="1:26" s="12" customFormat="1" ht="15.75" customHeight="1" x14ac:dyDescent="0.25">
      <c r="A47" s="80" t="s">
        <v>294</v>
      </c>
      <c r="B47" s="81"/>
      <c r="C47" s="82"/>
      <c r="D47" s="81"/>
      <c r="E47" s="83"/>
      <c r="F47" s="81"/>
      <c r="G47" s="81"/>
      <c r="H47" s="81"/>
      <c r="I47" s="81"/>
      <c r="J47" s="81"/>
      <c r="K47" s="84"/>
      <c r="L47" s="85"/>
      <c r="M47" s="93"/>
      <c r="N47" s="93"/>
      <c r="O47" s="92"/>
    </row>
    <row r="48" spans="1:26" s="12" customFormat="1" ht="50.1" customHeight="1" x14ac:dyDescent="0.25">
      <c r="A48" s="14"/>
      <c r="B48" s="14"/>
      <c r="C48" s="25">
        <v>18101</v>
      </c>
      <c r="D48" s="16" t="s">
        <v>48</v>
      </c>
      <c r="E48" s="17" t="s">
        <v>295</v>
      </c>
      <c r="F48" s="18" t="s">
        <v>13</v>
      </c>
      <c r="G48" s="19">
        <v>152</v>
      </c>
      <c r="H48" s="16">
        <v>4</v>
      </c>
      <c r="I48" s="16">
        <v>185</v>
      </c>
      <c r="J48" s="16">
        <v>0.15</v>
      </c>
      <c r="K48" s="75">
        <v>156</v>
      </c>
      <c r="L48" s="75">
        <f t="shared" ref="L48:L51" si="13">K48/1.2</f>
        <v>130</v>
      </c>
      <c r="M48" s="77">
        <f>K48-(K48*O48)</f>
        <v>70.199999999999989</v>
      </c>
      <c r="N48" s="77">
        <f t="shared" ref="N48:N51" si="14">M48/1.2</f>
        <v>58.499999999999993</v>
      </c>
      <c r="O48" s="76">
        <v>0.55000000000000004</v>
      </c>
    </row>
    <row r="49" spans="1:26" s="13" customFormat="1" ht="50.1" customHeight="1" x14ac:dyDescent="0.25">
      <c r="A49" s="14"/>
      <c r="B49" s="14"/>
      <c r="C49" s="25">
        <v>108</v>
      </c>
      <c r="D49" s="16" t="s">
        <v>48</v>
      </c>
      <c r="E49" s="17" t="s">
        <v>296</v>
      </c>
      <c r="F49" s="18" t="s">
        <v>13</v>
      </c>
      <c r="G49" s="16">
        <v>119</v>
      </c>
      <c r="H49" s="16">
        <v>28</v>
      </c>
      <c r="I49" s="16">
        <v>14</v>
      </c>
      <c r="J49" s="16">
        <v>0.05</v>
      </c>
      <c r="K49" s="73">
        <v>95</v>
      </c>
      <c r="L49" s="75">
        <f t="shared" si="13"/>
        <v>79.166666666666671</v>
      </c>
      <c r="M49" s="77">
        <f>K49-(K49*O49)</f>
        <v>47.5</v>
      </c>
      <c r="N49" s="77">
        <f t="shared" si="14"/>
        <v>39.583333333333336</v>
      </c>
      <c r="O49" s="76">
        <v>0.5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s="13" customFormat="1" ht="50.1" customHeight="1" x14ac:dyDescent="0.25">
      <c r="A50" s="14"/>
      <c r="B50" s="14"/>
      <c r="C50" s="25" t="s">
        <v>297</v>
      </c>
      <c r="D50" s="16"/>
      <c r="E50" s="17" t="s">
        <v>298</v>
      </c>
      <c r="F50" s="18" t="s">
        <v>13</v>
      </c>
      <c r="G50" s="16">
        <v>119</v>
      </c>
      <c r="H50" s="16">
        <v>28</v>
      </c>
      <c r="I50" s="16">
        <v>14</v>
      </c>
      <c r="J50" s="16">
        <v>0.1</v>
      </c>
      <c r="K50" s="73">
        <v>121</v>
      </c>
      <c r="L50" s="75">
        <f t="shared" si="13"/>
        <v>100.83333333333334</v>
      </c>
      <c r="M50" s="77">
        <f>K50-(K50*O50)</f>
        <v>60.5</v>
      </c>
      <c r="N50" s="77">
        <f t="shared" si="14"/>
        <v>50.416666666666671</v>
      </c>
      <c r="O50" s="76">
        <v>0.5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s="12" customFormat="1" ht="50.1" customHeight="1" x14ac:dyDescent="0.25">
      <c r="A51" s="14"/>
      <c r="B51" s="14"/>
      <c r="C51" s="25" t="s">
        <v>299</v>
      </c>
      <c r="D51" s="16" t="s">
        <v>48</v>
      </c>
      <c r="E51" s="17" t="s">
        <v>300</v>
      </c>
      <c r="F51" s="18" t="s">
        <v>13</v>
      </c>
      <c r="G51" s="16">
        <v>119</v>
      </c>
      <c r="H51" s="16">
        <v>28</v>
      </c>
      <c r="I51" s="16">
        <v>14</v>
      </c>
      <c r="J51" s="16">
        <v>0.05</v>
      </c>
      <c r="K51" s="79">
        <v>95</v>
      </c>
      <c r="L51" s="75">
        <f t="shared" si="13"/>
        <v>79.166666666666671</v>
      </c>
      <c r="M51" s="77">
        <f>K51-(K51*O51)</f>
        <v>47.5</v>
      </c>
      <c r="N51" s="77">
        <f t="shared" si="14"/>
        <v>39.583333333333336</v>
      </c>
      <c r="O51" s="76">
        <v>0.5</v>
      </c>
    </row>
    <row r="52" spans="1:26" s="12" customFormat="1" ht="15.75" customHeight="1" x14ac:dyDescent="0.25">
      <c r="A52" s="80" t="s">
        <v>301</v>
      </c>
      <c r="B52" s="81"/>
      <c r="C52" s="82"/>
      <c r="D52" s="81"/>
      <c r="E52" s="83"/>
      <c r="F52" s="81"/>
      <c r="G52" s="81"/>
      <c r="H52" s="81"/>
      <c r="I52" s="81"/>
      <c r="J52" s="81"/>
      <c r="K52" s="84"/>
      <c r="L52" s="85"/>
      <c r="M52" s="93"/>
      <c r="N52" s="93"/>
      <c r="O52" s="92"/>
    </row>
    <row r="53" spans="1:26" s="12" customFormat="1" ht="50.1" customHeight="1" x14ac:dyDescent="0.25">
      <c r="A53" s="14"/>
      <c r="B53" s="14"/>
      <c r="C53" s="29">
        <v>13800</v>
      </c>
      <c r="D53" s="16" t="s">
        <v>290</v>
      </c>
      <c r="E53" s="17" t="s">
        <v>63</v>
      </c>
      <c r="F53" s="30" t="s">
        <v>13</v>
      </c>
      <c r="G53" s="31">
        <v>500</v>
      </c>
      <c r="H53" s="31">
        <v>140</v>
      </c>
      <c r="I53" s="31">
        <v>60</v>
      </c>
      <c r="J53" s="31">
        <v>7</v>
      </c>
      <c r="K53" s="36">
        <v>299</v>
      </c>
      <c r="L53" s="75">
        <f t="shared" ref="L53:L55" si="15">K53/1.2</f>
        <v>249.16666666666669</v>
      </c>
      <c r="M53" s="77">
        <f>K53-(K53*O53)</f>
        <v>149.5</v>
      </c>
      <c r="N53" s="77">
        <f t="shared" ref="N53:N55" si="16">M53/1.2</f>
        <v>124.58333333333334</v>
      </c>
      <c r="O53" s="76">
        <v>0.5</v>
      </c>
    </row>
    <row r="54" spans="1:26" s="12" customFormat="1" ht="50.1" customHeight="1" x14ac:dyDescent="0.25">
      <c r="A54" s="14"/>
      <c r="B54" s="14"/>
      <c r="C54" s="29">
        <v>11000</v>
      </c>
      <c r="D54" s="16" t="s">
        <v>290</v>
      </c>
      <c r="E54" s="17" t="s">
        <v>64</v>
      </c>
      <c r="F54" s="30" t="s">
        <v>13</v>
      </c>
      <c r="G54" s="31">
        <v>1000</v>
      </c>
      <c r="H54" s="31">
        <v>160</v>
      </c>
      <c r="I54" s="31">
        <v>80</v>
      </c>
      <c r="J54" s="31">
        <v>19</v>
      </c>
      <c r="K54" s="69">
        <v>647</v>
      </c>
      <c r="L54" s="75">
        <f t="shared" si="15"/>
        <v>539.16666666666674</v>
      </c>
      <c r="M54" s="77">
        <f>K54-(K54*O54)</f>
        <v>323.5</v>
      </c>
      <c r="N54" s="77">
        <f t="shared" si="16"/>
        <v>269.58333333333337</v>
      </c>
      <c r="O54" s="76">
        <v>0.5</v>
      </c>
    </row>
    <row r="55" spans="1:26" s="13" customFormat="1" ht="50.1" customHeight="1" x14ac:dyDescent="0.25">
      <c r="A55" s="14"/>
      <c r="B55" s="14"/>
      <c r="C55" s="29">
        <v>11001</v>
      </c>
      <c r="D55" s="16" t="s">
        <v>290</v>
      </c>
      <c r="E55" s="17" t="s">
        <v>65</v>
      </c>
      <c r="F55" s="30" t="s">
        <v>13</v>
      </c>
      <c r="G55" s="31">
        <v>1000</v>
      </c>
      <c r="H55" s="31">
        <v>160</v>
      </c>
      <c r="I55" s="31">
        <v>100</v>
      </c>
      <c r="J55" s="31">
        <v>22</v>
      </c>
      <c r="K55" s="95">
        <v>673</v>
      </c>
      <c r="L55" s="75">
        <f t="shared" si="15"/>
        <v>560.83333333333337</v>
      </c>
      <c r="M55" s="77">
        <f>K55-(K55*O55)</f>
        <v>336.5</v>
      </c>
      <c r="N55" s="77">
        <f t="shared" si="16"/>
        <v>280.41666666666669</v>
      </c>
      <c r="O55" s="76">
        <v>0.5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s="12" customFormat="1" ht="15.75" customHeight="1" x14ac:dyDescent="0.25">
      <c r="A56" s="80" t="s">
        <v>302</v>
      </c>
      <c r="B56" s="81"/>
      <c r="C56" s="82"/>
      <c r="D56" s="81"/>
      <c r="E56" s="83"/>
      <c r="F56" s="81"/>
      <c r="G56" s="81"/>
      <c r="H56" s="81"/>
      <c r="I56" s="81"/>
      <c r="J56" s="81"/>
      <c r="K56" s="84"/>
      <c r="L56" s="85"/>
      <c r="M56" s="93"/>
      <c r="N56" s="93"/>
      <c r="O56" s="92"/>
    </row>
    <row r="57" spans="1:26" s="12" customFormat="1" ht="50.1" customHeight="1" x14ac:dyDescent="0.25">
      <c r="A57" s="14"/>
      <c r="B57" s="14"/>
      <c r="C57" s="29">
        <v>11002</v>
      </c>
      <c r="D57" s="16" t="s">
        <v>290</v>
      </c>
      <c r="E57" s="17" t="s">
        <v>66</v>
      </c>
      <c r="F57" s="30" t="s">
        <v>13</v>
      </c>
      <c r="G57" s="32">
        <v>1000</v>
      </c>
      <c r="H57" s="32">
        <v>160</v>
      </c>
      <c r="I57" s="32">
        <v>80</v>
      </c>
      <c r="J57" s="32">
        <v>17.5</v>
      </c>
      <c r="K57" s="36">
        <v>1010</v>
      </c>
      <c r="L57" s="75">
        <f t="shared" ref="L57:L58" si="17">K57/1.2</f>
        <v>841.66666666666674</v>
      </c>
      <c r="M57" s="77">
        <f>K57-(K57*O57)</f>
        <v>505</v>
      </c>
      <c r="N57" s="77">
        <f t="shared" ref="N57:N58" si="18">M57/1.2</f>
        <v>420.83333333333337</v>
      </c>
      <c r="O57" s="76">
        <v>0.5</v>
      </c>
    </row>
    <row r="58" spans="1:26" s="12" customFormat="1" ht="50.1" customHeight="1" x14ac:dyDescent="0.25">
      <c r="A58" s="14"/>
      <c r="B58" s="14"/>
      <c r="C58" s="29">
        <v>11003</v>
      </c>
      <c r="D58" s="16" t="s">
        <v>290</v>
      </c>
      <c r="E58" s="17" t="s">
        <v>67</v>
      </c>
      <c r="F58" s="30" t="s">
        <v>13</v>
      </c>
      <c r="G58" s="32">
        <v>1000</v>
      </c>
      <c r="H58" s="32">
        <v>160</v>
      </c>
      <c r="I58" s="32">
        <v>100</v>
      </c>
      <c r="J58" s="32">
        <v>20.5</v>
      </c>
      <c r="K58" s="95">
        <v>1010</v>
      </c>
      <c r="L58" s="75">
        <f t="shared" si="17"/>
        <v>841.66666666666674</v>
      </c>
      <c r="M58" s="77">
        <f>K58-(K58*O58)</f>
        <v>505</v>
      </c>
      <c r="N58" s="77">
        <f t="shared" si="18"/>
        <v>420.83333333333337</v>
      </c>
      <c r="O58" s="76">
        <v>0.5</v>
      </c>
    </row>
    <row r="59" spans="1:26" s="12" customFormat="1" ht="15.75" customHeight="1" x14ac:dyDescent="0.25">
      <c r="A59" s="80" t="s">
        <v>303</v>
      </c>
      <c r="B59" s="81"/>
      <c r="C59" s="82"/>
      <c r="D59" s="81"/>
      <c r="E59" s="83"/>
      <c r="F59" s="81"/>
      <c r="G59" s="81"/>
      <c r="H59" s="81"/>
      <c r="I59" s="81"/>
      <c r="J59" s="81"/>
      <c r="K59" s="84"/>
      <c r="L59" s="85"/>
      <c r="M59" s="93"/>
      <c r="N59" s="93"/>
      <c r="O59" s="92"/>
    </row>
    <row r="60" spans="1:26" s="13" customFormat="1" ht="50.1" customHeight="1" x14ac:dyDescent="0.25">
      <c r="A60" s="14"/>
      <c r="B60" s="14"/>
      <c r="C60" s="29">
        <v>13801</v>
      </c>
      <c r="D60" s="16" t="s">
        <v>290</v>
      </c>
      <c r="E60" s="17" t="s">
        <v>68</v>
      </c>
      <c r="F60" s="30" t="s">
        <v>13</v>
      </c>
      <c r="G60" s="31">
        <v>1000</v>
      </c>
      <c r="H60" s="31">
        <v>140</v>
      </c>
      <c r="I60" s="31">
        <v>125</v>
      </c>
      <c r="J60" s="31">
        <v>24</v>
      </c>
      <c r="K60" s="36">
        <v>598</v>
      </c>
      <c r="L60" s="75">
        <f t="shared" ref="L60:L65" si="19">K60/1.2</f>
        <v>498.33333333333337</v>
      </c>
      <c r="M60" s="77">
        <f t="shared" ref="M60:M65" si="20">K60-(K60*O60)</f>
        <v>299</v>
      </c>
      <c r="N60" s="77">
        <f t="shared" ref="N60:N65" si="21">M60/1.2</f>
        <v>249.16666666666669</v>
      </c>
      <c r="O60" s="76">
        <v>0.5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s="12" customFormat="1" ht="50.1" customHeight="1" x14ac:dyDescent="0.25">
      <c r="A61" s="14"/>
      <c r="B61" s="14"/>
      <c r="C61" s="29" t="s">
        <v>69</v>
      </c>
      <c r="D61" s="16" t="s">
        <v>290</v>
      </c>
      <c r="E61" s="17" t="s">
        <v>70</v>
      </c>
      <c r="F61" s="30" t="s">
        <v>13</v>
      </c>
      <c r="G61" s="31">
        <v>1000</v>
      </c>
      <c r="H61" s="31">
        <v>163</v>
      </c>
      <c r="I61" s="31">
        <v>132</v>
      </c>
      <c r="J61" s="31">
        <v>30</v>
      </c>
      <c r="K61" s="69">
        <v>705</v>
      </c>
      <c r="L61" s="75">
        <f t="shared" si="19"/>
        <v>587.5</v>
      </c>
      <c r="M61" s="77">
        <f t="shared" si="20"/>
        <v>352.5</v>
      </c>
      <c r="N61" s="77">
        <f t="shared" si="21"/>
        <v>293.75</v>
      </c>
      <c r="O61" s="76">
        <v>0.5</v>
      </c>
    </row>
    <row r="62" spans="1:26" s="12" customFormat="1" ht="50.1" customHeight="1" x14ac:dyDescent="0.25">
      <c r="A62" s="14"/>
      <c r="B62" s="14"/>
      <c r="C62" s="29" t="s">
        <v>71</v>
      </c>
      <c r="D62" s="16" t="s">
        <v>290</v>
      </c>
      <c r="E62" s="17" t="s">
        <v>72</v>
      </c>
      <c r="F62" s="30" t="s">
        <v>13</v>
      </c>
      <c r="G62" s="31">
        <v>1000</v>
      </c>
      <c r="H62" s="31">
        <v>163</v>
      </c>
      <c r="I62" s="31">
        <v>157</v>
      </c>
      <c r="J62" s="31">
        <v>33</v>
      </c>
      <c r="K62" s="69">
        <v>727</v>
      </c>
      <c r="L62" s="75">
        <f t="shared" si="19"/>
        <v>605.83333333333337</v>
      </c>
      <c r="M62" s="77">
        <f t="shared" si="20"/>
        <v>363.5</v>
      </c>
      <c r="N62" s="77">
        <f t="shared" si="21"/>
        <v>302.91666666666669</v>
      </c>
      <c r="O62" s="76">
        <v>0.5</v>
      </c>
    </row>
    <row r="63" spans="1:26" s="12" customFormat="1" ht="50.1" customHeight="1" x14ac:dyDescent="0.25">
      <c r="A63" s="14"/>
      <c r="B63" s="14"/>
      <c r="C63" s="29" t="s">
        <v>73</v>
      </c>
      <c r="D63" s="16" t="s">
        <v>290</v>
      </c>
      <c r="E63" s="17" t="s">
        <v>74</v>
      </c>
      <c r="F63" s="30" t="s">
        <v>13</v>
      </c>
      <c r="G63" s="31">
        <v>1000</v>
      </c>
      <c r="H63" s="31">
        <v>163</v>
      </c>
      <c r="I63" s="31">
        <v>182</v>
      </c>
      <c r="J63" s="31">
        <v>36</v>
      </c>
      <c r="K63" s="69">
        <v>753</v>
      </c>
      <c r="L63" s="75">
        <f t="shared" si="19"/>
        <v>627.5</v>
      </c>
      <c r="M63" s="77">
        <f t="shared" si="20"/>
        <v>376.5</v>
      </c>
      <c r="N63" s="77">
        <f t="shared" si="21"/>
        <v>313.75</v>
      </c>
      <c r="O63" s="76">
        <v>0.5</v>
      </c>
    </row>
    <row r="64" spans="1:26" s="12" customFormat="1" ht="50.1" customHeight="1" x14ac:dyDescent="0.25">
      <c r="A64" s="96"/>
      <c r="B64" s="96"/>
      <c r="C64" s="29" t="s">
        <v>75</v>
      </c>
      <c r="D64" s="25" t="s">
        <v>290</v>
      </c>
      <c r="E64" s="33" t="s">
        <v>76</v>
      </c>
      <c r="F64" s="34" t="s">
        <v>13</v>
      </c>
      <c r="G64" s="29">
        <v>1000</v>
      </c>
      <c r="H64" s="35">
        <v>163</v>
      </c>
      <c r="I64" s="35">
        <v>207</v>
      </c>
      <c r="J64" s="29">
        <v>39</v>
      </c>
      <c r="K64" s="69">
        <v>788.4</v>
      </c>
      <c r="L64" s="75">
        <f t="shared" si="19"/>
        <v>657</v>
      </c>
      <c r="M64" s="77">
        <f t="shared" si="20"/>
        <v>394.2</v>
      </c>
      <c r="N64" s="77">
        <f t="shared" si="21"/>
        <v>328.5</v>
      </c>
      <c r="O64" s="76">
        <v>0.5</v>
      </c>
    </row>
    <row r="65" spans="1:26" s="12" customFormat="1" ht="50.1" customHeight="1" x14ac:dyDescent="0.25">
      <c r="A65" s="96"/>
      <c r="B65" s="96"/>
      <c r="C65" s="29" t="s">
        <v>77</v>
      </c>
      <c r="D65" s="25" t="s">
        <v>290</v>
      </c>
      <c r="E65" s="33" t="s">
        <v>78</v>
      </c>
      <c r="F65" s="34" t="s">
        <v>13</v>
      </c>
      <c r="G65" s="29">
        <v>1000</v>
      </c>
      <c r="H65" s="29">
        <v>163</v>
      </c>
      <c r="I65" s="35">
        <v>215</v>
      </c>
      <c r="J65" s="29">
        <v>42</v>
      </c>
      <c r="K65" s="95">
        <v>884.4</v>
      </c>
      <c r="L65" s="75">
        <f t="shared" si="19"/>
        <v>737</v>
      </c>
      <c r="M65" s="77">
        <f t="shared" si="20"/>
        <v>442.2</v>
      </c>
      <c r="N65" s="77">
        <f t="shared" si="21"/>
        <v>368.5</v>
      </c>
      <c r="O65" s="76">
        <v>0.5</v>
      </c>
    </row>
    <row r="66" spans="1:26" s="12" customFormat="1" ht="15.75" customHeight="1" x14ac:dyDescent="0.25">
      <c r="A66" s="97" t="s">
        <v>304</v>
      </c>
      <c r="B66" s="82"/>
      <c r="C66" s="82"/>
      <c r="D66" s="82"/>
      <c r="E66" s="98"/>
      <c r="F66" s="82"/>
      <c r="G66" s="82"/>
      <c r="H66" s="82"/>
      <c r="I66" s="82"/>
      <c r="J66" s="82"/>
      <c r="K66" s="84"/>
      <c r="L66" s="85"/>
      <c r="M66" s="93"/>
      <c r="N66" s="93"/>
      <c r="O66" s="92"/>
    </row>
    <row r="67" spans="1:26" s="12" customFormat="1" ht="50.1" customHeight="1" x14ac:dyDescent="0.25">
      <c r="A67" s="14"/>
      <c r="B67" s="14"/>
      <c r="C67" s="29">
        <v>13803</v>
      </c>
      <c r="D67" s="16" t="s">
        <v>290</v>
      </c>
      <c r="E67" s="17" t="s">
        <v>79</v>
      </c>
      <c r="F67" s="30" t="s">
        <v>13</v>
      </c>
      <c r="G67" s="31">
        <v>1000</v>
      </c>
      <c r="H67" s="31">
        <v>140</v>
      </c>
      <c r="I67" s="31">
        <v>125</v>
      </c>
      <c r="J67" s="31">
        <v>22.7</v>
      </c>
      <c r="K67" s="36">
        <v>951</v>
      </c>
      <c r="L67" s="75">
        <f t="shared" ref="L67:L72" si="22">K67/1.2</f>
        <v>792.5</v>
      </c>
      <c r="M67" s="77">
        <f t="shared" ref="M67:M72" si="23">K67-(K67*O67)</f>
        <v>475.5</v>
      </c>
      <c r="N67" s="77">
        <f t="shared" ref="N67:N72" si="24">M67/1.2</f>
        <v>396.25</v>
      </c>
      <c r="O67" s="76">
        <v>0.5</v>
      </c>
    </row>
    <row r="68" spans="1:26" s="12" customFormat="1" ht="50.1" customHeight="1" x14ac:dyDescent="0.25">
      <c r="A68" s="14"/>
      <c r="B68" s="14"/>
      <c r="C68" s="29" t="s">
        <v>80</v>
      </c>
      <c r="D68" s="16" t="s">
        <v>290</v>
      </c>
      <c r="E68" s="17" t="s">
        <v>81</v>
      </c>
      <c r="F68" s="30" t="s">
        <v>13</v>
      </c>
      <c r="G68" s="31">
        <v>1000</v>
      </c>
      <c r="H68" s="31">
        <v>163</v>
      </c>
      <c r="I68" s="31">
        <v>132</v>
      </c>
      <c r="J68" s="31">
        <v>28.7</v>
      </c>
      <c r="K68" s="69">
        <v>1058</v>
      </c>
      <c r="L68" s="75">
        <f t="shared" si="22"/>
        <v>881.66666666666674</v>
      </c>
      <c r="M68" s="77">
        <f t="shared" si="23"/>
        <v>529</v>
      </c>
      <c r="N68" s="77">
        <f t="shared" si="24"/>
        <v>440.83333333333337</v>
      </c>
      <c r="O68" s="76">
        <v>0.5</v>
      </c>
    </row>
    <row r="69" spans="1:26" s="12" customFormat="1" ht="50.1" customHeight="1" x14ac:dyDescent="0.25">
      <c r="A69" s="14"/>
      <c r="B69" s="14"/>
      <c r="C69" s="29" t="s">
        <v>82</v>
      </c>
      <c r="D69" s="16" t="s">
        <v>290</v>
      </c>
      <c r="E69" s="17" t="s">
        <v>83</v>
      </c>
      <c r="F69" s="30" t="s">
        <v>13</v>
      </c>
      <c r="G69" s="31">
        <v>1000</v>
      </c>
      <c r="H69" s="31">
        <v>163</v>
      </c>
      <c r="I69" s="31">
        <v>157</v>
      </c>
      <c r="J69" s="31">
        <v>31.7</v>
      </c>
      <c r="K69" s="69">
        <v>1084</v>
      </c>
      <c r="L69" s="75">
        <f t="shared" si="22"/>
        <v>903.33333333333337</v>
      </c>
      <c r="M69" s="77">
        <f t="shared" si="23"/>
        <v>542</v>
      </c>
      <c r="N69" s="77">
        <f t="shared" si="24"/>
        <v>451.66666666666669</v>
      </c>
      <c r="O69" s="76">
        <v>0.5</v>
      </c>
    </row>
    <row r="70" spans="1:26" s="12" customFormat="1" ht="50.1" customHeight="1" x14ac:dyDescent="0.25">
      <c r="A70" s="14"/>
      <c r="B70" s="14"/>
      <c r="C70" s="29" t="s">
        <v>84</v>
      </c>
      <c r="D70" s="16" t="s">
        <v>290</v>
      </c>
      <c r="E70" s="17" t="s">
        <v>85</v>
      </c>
      <c r="F70" s="30" t="s">
        <v>13</v>
      </c>
      <c r="G70" s="31">
        <v>1000</v>
      </c>
      <c r="H70" s="31">
        <v>163</v>
      </c>
      <c r="I70" s="31">
        <v>182</v>
      </c>
      <c r="J70" s="31">
        <v>34.799999999999997</v>
      </c>
      <c r="K70" s="69">
        <v>1110</v>
      </c>
      <c r="L70" s="75">
        <f t="shared" si="22"/>
        <v>925</v>
      </c>
      <c r="M70" s="77">
        <f t="shared" si="23"/>
        <v>555</v>
      </c>
      <c r="N70" s="77">
        <f t="shared" si="24"/>
        <v>462.5</v>
      </c>
      <c r="O70" s="76">
        <v>0.5</v>
      </c>
    </row>
    <row r="71" spans="1:26" s="12" customFormat="1" ht="50.1" customHeight="1" x14ac:dyDescent="0.25">
      <c r="A71" s="96"/>
      <c r="B71" s="96"/>
      <c r="C71" s="29" t="s">
        <v>86</v>
      </c>
      <c r="D71" s="25" t="s">
        <v>290</v>
      </c>
      <c r="E71" s="33" t="s">
        <v>87</v>
      </c>
      <c r="F71" s="34" t="s">
        <v>13</v>
      </c>
      <c r="G71" s="29">
        <v>1000</v>
      </c>
      <c r="H71" s="29">
        <v>163</v>
      </c>
      <c r="I71" s="35">
        <v>207</v>
      </c>
      <c r="J71" s="29">
        <v>37.9</v>
      </c>
      <c r="K71" s="69">
        <v>1183.2</v>
      </c>
      <c r="L71" s="75">
        <f t="shared" si="22"/>
        <v>986.00000000000011</v>
      </c>
      <c r="M71" s="77">
        <f t="shared" si="23"/>
        <v>591.6</v>
      </c>
      <c r="N71" s="77">
        <f t="shared" si="24"/>
        <v>493.00000000000006</v>
      </c>
      <c r="O71" s="76">
        <v>0.5</v>
      </c>
    </row>
    <row r="72" spans="1:26" s="12" customFormat="1" ht="50.1" customHeight="1" x14ac:dyDescent="0.25">
      <c r="A72" s="96"/>
      <c r="B72" s="96"/>
      <c r="C72" s="29" t="s">
        <v>88</v>
      </c>
      <c r="D72" s="25" t="s">
        <v>290</v>
      </c>
      <c r="E72" s="33" t="s">
        <v>89</v>
      </c>
      <c r="F72" s="34" t="s">
        <v>13</v>
      </c>
      <c r="G72" s="29">
        <v>1000</v>
      </c>
      <c r="H72" s="29">
        <v>163</v>
      </c>
      <c r="I72" s="35">
        <v>215</v>
      </c>
      <c r="J72" s="29">
        <v>41</v>
      </c>
      <c r="K72" s="95">
        <v>1218</v>
      </c>
      <c r="L72" s="75">
        <f t="shared" si="22"/>
        <v>1015</v>
      </c>
      <c r="M72" s="77">
        <f t="shared" si="23"/>
        <v>609</v>
      </c>
      <c r="N72" s="77">
        <f t="shared" si="24"/>
        <v>507.5</v>
      </c>
      <c r="O72" s="76">
        <v>0.5</v>
      </c>
    </row>
    <row r="73" spans="1:26" s="12" customFormat="1" ht="15.75" customHeight="1" x14ac:dyDescent="0.25">
      <c r="A73" s="80" t="s">
        <v>305</v>
      </c>
      <c r="B73" s="81"/>
      <c r="C73" s="82"/>
      <c r="D73" s="81"/>
      <c r="E73" s="83"/>
      <c r="F73" s="81"/>
      <c r="G73" s="81"/>
      <c r="H73" s="81"/>
      <c r="I73" s="81"/>
      <c r="J73" s="81"/>
      <c r="K73" s="84"/>
      <c r="L73" s="85"/>
      <c r="M73" s="93"/>
      <c r="N73" s="93"/>
      <c r="O73" s="92"/>
    </row>
    <row r="74" spans="1:26" s="12" customFormat="1" ht="50.1" customHeight="1" x14ac:dyDescent="0.25">
      <c r="A74" s="14"/>
      <c r="B74" s="14"/>
      <c r="C74" s="29" t="s">
        <v>90</v>
      </c>
      <c r="D74" s="16" t="s">
        <v>290</v>
      </c>
      <c r="E74" s="17" t="s">
        <v>91</v>
      </c>
      <c r="F74" s="30" t="s">
        <v>13</v>
      </c>
      <c r="G74" s="31">
        <v>1000</v>
      </c>
      <c r="H74" s="31">
        <v>163</v>
      </c>
      <c r="I74" s="31">
        <v>137</v>
      </c>
      <c r="J74" s="31">
        <v>30.3</v>
      </c>
      <c r="K74" s="36">
        <v>812</v>
      </c>
      <c r="L74" s="75">
        <f t="shared" ref="L74:L88" si="25">K74/1.2</f>
        <v>676.66666666666674</v>
      </c>
      <c r="M74" s="77">
        <f t="shared" ref="M74:M88" si="26">K74-(K74*O74)</f>
        <v>406</v>
      </c>
      <c r="N74" s="77">
        <f t="shared" ref="N74:N88" si="27">M74/1.2</f>
        <v>338.33333333333337</v>
      </c>
      <c r="O74" s="76">
        <v>0.5</v>
      </c>
    </row>
    <row r="75" spans="1:26" s="13" customFormat="1" ht="50.1" customHeight="1" x14ac:dyDescent="0.25">
      <c r="A75" s="14"/>
      <c r="B75" s="14"/>
      <c r="C75" s="29" t="s">
        <v>92</v>
      </c>
      <c r="D75" s="16" t="s">
        <v>290</v>
      </c>
      <c r="E75" s="17" t="s">
        <v>93</v>
      </c>
      <c r="F75" s="30" t="s">
        <v>13</v>
      </c>
      <c r="G75" s="31">
        <v>1000</v>
      </c>
      <c r="H75" s="31">
        <v>163</v>
      </c>
      <c r="I75" s="31">
        <v>142</v>
      </c>
      <c r="J75" s="31">
        <v>30.9</v>
      </c>
      <c r="K75" s="69">
        <v>812</v>
      </c>
      <c r="L75" s="75">
        <f t="shared" si="25"/>
        <v>676.66666666666674</v>
      </c>
      <c r="M75" s="77">
        <f t="shared" si="26"/>
        <v>406</v>
      </c>
      <c r="N75" s="77">
        <f t="shared" si="27"/>
        <v>338.33333333333337</v>
      </c>
      <c r="O75" s="76">
        <v>0.5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s="12" customFormat="1" ht="50.1" customHeight="1" x14ac:dyDescent="0.25">
      <c r="A76" s="14"/>
      <c r="B76" s="14"/>
      <c r="C76" s="29" t="s">
        <v>94</v>
      </c>
      <c r="D76" s="16" t="s">
        <v>290</v>
      </c>
      <c r="E76" s="17" t="s">
        <v>95</v>
      </c>
      <c r="F76" s="30" t="s">
        <v>13</v>
      </c>
      <c r="G76" s="31">
        <v>1000</v>
      </c>
      <c r="H76" s="31">
        <v>163</v>
      </c>
      <c r="I76" s="31">
        <v>147</v>
      </c>
      <c r="J76" s="31">
        <v>31.5</v>
      </c>
      <c r="K76" s="69">
        <v>812</v>
      </c>
      <c r="L76" s="75">
        <f t="shared" si="25"/>
        <v>676.66666666666674</v>
      </c>
      <c r="M76" s="77">
        <f t="shared" si="26"/>
        <v>406</v>
      </c>
      <c r="N76" s="77">
        <f t="shared" si="27"/>
        <v>338.33333333333337</v>
      </c>
      <c r="O76" s="76">
        <v>0.5</v>
      </c>
    </row>
    <row r="77" spans="1:26" s="12" customFormat="1" ht="50.1" customHeight="1" x14ac:dyDescent="0.25">
      <c r="A77" s="14"/>
      <c r="B77" s="14"/>
      <c r="C77" s="29" t="s">
        <v>96</v>
      </c>
      <c r="D77" s="16" t="s">
        <v>290</v>
      </c>
      <c r="E77" s="17" t="s">
        <v>97</v>
      </c>
      <c r="F77" s="30" t="s">
        <v>13</v>
      </c>
      <c r="G77" s="31">
        <v>1000</v>
      </c>
      <c r="H77" s="31">
        <v>163</v>
      </c>
      <c r="I77" s="31">
        <v>152</v>
      </c>
      <c r="J77" s="31">
        <v>32.1</v>
      </c>
      <c r="K77" s="69">
        <v>812</v>
      </c>
      <c r="L77" s="75">
        <f t="shared" si="25"/>
        <v>676.66666666666674</v>
      </c>
      <c r="M77" s="77">
        <f t="shared" si="26"/>
        <v>406</v>
      </c>
      <c r="N77" s="77">
        <f t="shared" si="27"/>
        <v>338.33333333333337</v>
      </c>
      <c r="O77" s="76">
        <v>0.5</v>
      </c>
    </row>
    <row r="78" spans="1:26" s="13" customFormat="1" ht="50.1" customHeight="1" x14ac:dyDescent="0.25">
      <c r="A78" s="14"/>
      <c r="B78" s="14"/>
      <c r="C78" s="29" t="s">
        <v>98</v>
      </c>
      <c r="D78" s="16" t="s">
        <v>290</v>
      </c>
      <c r="E78" s="17" t="s">
        <v>99</v>
      </c>
      <c r="F78" s="30" t="s">
        <v>13</v>
      </c>
      <c r="G78" s="31">
        <v>1000</v>
      </c>
      <c r="H78" s="31">
        <v>163</v>
      </c>
      <c r="I78" s="31">
        <v>157</v>
      </c>
      <c r="J78" s="31">
        <v>32.700000000000003</v>
      </c>
      <c r="K78" s="69">
        <v>812</v>
      </c>
      <c r="L78" s="75">
        <f t="shared" si="25"/>
        <v>676.66666666666674</v>
      </c>
      <c r="M78" s="77">
        <f t="shared" si="26"/>
        <v>406</v>
      </c>
      <c r="N78" s="77">
        <f t="shared" si="27"/>
        <v>338.33333333333337</v>
      </c>
      <c r="O78" s="76">
        <v>0.5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s="12" customFormat="1" ht="50.1" customHeight="1" x14ac:dyDescent="0.25">
      <c r="A79" s="14"/>
      <c r="B79" s="14"/>
      <c r="C79" s="29" t="s">
        <v>100</v>
      </c>
      <c r="D79" s="16" t="s">
        <v>290</v>
      </c>
      <c r="E79" s="17" t="s">
        <v>101</v>
      </c>
      <c r="F79" s="30" t="s">
        <v>13</v>
      </c>
      <c r="G79" s="31">
        <v>1000</v>
      </c>
      <c r="H79" s="31">
        <v>163</v>
      </c>
      <c r="I79" s="31">
        <v>162</v>
      </c>
      <c r="J79" s="31">
        <v>33.299999999999997</v>
      </c>
      <c r="K79" s="69">
        <v>812</v>
      </c>
      <c r="L79" s="75">
        <f t="shared" si="25"/>
        <v>676.66666666666674</v>
      </c>
      <c r="M79" s="77">
        <f t="shared" si="26"/>
        <v>406</v>
      </c>
      <c r="N79" s="77">
        <f t="shared" si="27"/>
        <v>338.33333333333337</v>
      </c>
      <c r="O79" s="76">
        <v>0.5</v>
      </c>
    </row>
    <row r="80" spans="1:26" s="13" customFormat="1" ht="50.1" customHeight="1" x14ac:dyDescent="0.25">
      <c r="A80" s="14"/>
      <c r="B80" s="14"/>
      <c r="C80" s="29" t="s">
        <v>102</v>
      </c>
      <c r="D80" s="16" t="s">
        <v>290</v>
      </c>
      <c r="E80" s="17" t="s">
        <v>103</v>
      </c>
      <c r="F80" s="30" t="s">
        <v>13</v>
      </c>
      <c r="G80" s="31">
        <v>1000</v>
      </c>
      <c r="H80" s="31">
        <v>163</v>
      </c>
      <c r="I80" s="31">
        <v>167</v>
      </c>
      <c r="J80" s="31">
        <v>33.9</v>
      </c>
      <c r="K80" s="69">
        <v>812</v>
      </c>
      <c r="L80" s="75">
        <f t="shared" si="25"/>
        <v>676.66666666666674</v>
      </c>
      <c r="M80" s="77">
        <f t="shared" si="26"/>
        <v>406</v>
      </c>
      <c r="N80" s="77">
        <f t="shared" si="27"/>
        <v>338.33333333333337</v>
      </c>
      <c r="O80" s="76">
        <v>0.5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s="12" customFormat="1" ht="50.1" customHeight="1" x14ac:dyDescent="0.25">
      <c r="A81" s="14"/>
      <c r="B81" s="14"/>
      <c r="C81" s="29" t="s">
        <v>104</v>
      </c>
      <c r="D81" s="16" t="s">
        <v>290</v>
      </c>
      <c r="E81" s="17" t="s">
        <v>105</v>
      </c>
      <c r="F81" s="30" t="s">
        <v>13</v>
      </c>
      <c r="G81" s="31">
        <v>1000</v>
      </c>
      <c r="H81" s="31">
        <v>163</v>
      </c>
      <c r="I81" s="31">
        <v>172</v>
      </c>
      <c r="J81" s="31">
        <v>34.5</v>
      </c>
      <c r="K81" s="69">
        <v>812</v>
      </c>
      <c r="L81" s="75">
        <f t="shared" si="25"/>
        <v>676.66666666666674</v>
      </c>
      <c r="M81" s="77">
        <f t="shared" si="26"/>
        <v>406</v>
      </c>
      <c r="N81" s="77">
        <f t="shared" si="27"/>
        <v>338.33333333333337</v>
      </c>
      <c r="O81" s="76">
        <v>0.5</v>
      </c>
    </row>
    <row r="82" spans="1:26" s="12" customFormat="1" ht="50.1" customHeight="1" x14ac:dyDescent="0.25">
      <c r="A82" s="14"/>
      <c r="B82" s="14"/>
      <c r="C82" s="29" t="s">
        <v>106</v>
      </c>
      <c r="D82" s="16" t="s">
        <v>290</v>
      </c>
      <c r="E82" s="17" t="s">
        <v>107</v>
      </c>
      <c r="F82" s="30" t="s">
        <v>13</v>
      </c>
      <c r="G82" s="31">
        <v>1000</v>
      </c>
      <c r="H82" s="31">
        <v>163</v>
      </c>
      <c r="I82" s="31">
        <v>177</v>
      </c>
      <c r="J82" s="31">
        <v>35.1</v>
      </c>
      <c r="K82" s="69">
        <v>812</v>
      </c>
      <c r="L82" s="75">
        <f t="shared" si="25"/>
        <v>676.66666666666674</v>
      </c>
      <c r="M82" s="77">
        <f t="shared" si="26"/>
        <v>406</v>
      </c>
      <c r="N82" s="77">
        <f t="shared" si="27"/>
        <v>338.33333333333337</v>
      </c>
      <c r="O82" s="76">
        <v>0.5</v>
      </c>
    </row>
    <row r="83" spans="1:26" s="12" customFormat="1" ht="50.1" customHeight="1" x14ac:dyDescent="0.25">
      <c r="A83" s="14"/>
      <c r="B83" s="14"/>
      <c r="C83" s="29" t="s">
        <v>108</v>
      </c>
      <c r="D83" s="16" t="s">
        <v>290</v>
      </c>
      <c r="E83" s="17" t="s">
        <v>109</v>
      </c>
      <c r="F83" s="30" t="s">
        <v>13</v>
      </c>
      <c r="G83" s="31">
        <v>1000</v>
      </c>
      <c r="H83" s="31">
        <v>163</v>
      </c>
      <c r="I83" s="31">
        <v>182</v>
      </c>
      <c r="J83" s="31">
        <v>35.700000000000003</v>
      </c>
      <c r="K83" s="69">
        <v>812</v>
      </c>
      <c r="L83" s="75">
        <f t="shared" si="25"/>
        <v>676.66666666666674</v>
      </c>
      <c r="M83" s="77">
        <f t="shared" si="26"/>
        <v>406</v>
      </c>
      <c r="N83" s="77">
        <f t="shared" si="27"/>
        <v>338.33333333333337</v>
      </c>
      <c r="O83" s="76">
        <v>0.5</v>
      </c>
    </row>
    <row r="84" spans="1:26" s="12" customFormat="1" ht="50.1" customHeight="1" x14ac:dyDescent="0.25">
      <c r="A84" s="96"/>
      <c r="B84" s="96"/>
      <c r="C84" s="29" t="s">
        <v>110</v>
      </c>
      <c r="D84" s="25" t="s">
        <v>290</v>
      </c>
      <c r="E84" s="33" t="s">
        <v>111</v>
      </c>
      <c r="F84" s="34" t="s">
        <v>13</v>
      </c>
      <c r="G84" s="29">
        <v>1000</v>
      </c>
      <c r="H84" s="29">
        <v>163</v>
      </c>
      <c r="I84" s="35">
        <v>187</v>
      </c>
      <c r="J84" s="29">
        <v>36.299999999999997</v>
      </c>
      <c r="K84" s="69">
        <v>828</v>
      </c>
      <c r="L84" s="75">
        <f t="shared" si="25"/>
        <v>690</v>
      </c>
      <c r="M84" s="77">
        <f t="shared" si="26"/>
        <v>414</v>
      </c>
      <c r="N84" s="77">
        <f t="shared" si="27"/>
        <v>345</v>
      </c>
      <c r="O84" s="76">
        <v>0.5</v>
      </c>
    </row>
    <row r="85" spans="1:26" s="12" customFormat="1" ht="50.1" customHeight="1" x14ac:dyDescent="0.25">
      <c r="A85" s="96"/>
      <c r="B85" s="96"/>
      <c r="C85" s="29" t="s">
        <v>112</v>
      </c>
      <c r="D85" s="25" t="s">
        <v>290</v>
      </c>
      <c r="E85" s="33" t="s">
        <v>113</v>
      </c>
      <c r="F85" s="34" t="s">
        <v>13</v>
      </c>
      <c r="G85" s="29">
        <v>1000</v>
      </c>
      <c r="H85" s="29">
        <v>163</v>
      </c>
      <c r="I85" s="35">
        <v>192</v>
      </c>
      <c r="J85" s="29">
        <v>36.9</v>
      </c>
      <c r="K85" s="69">
        <v>828</v>
      </c>
      <c r="L85" s="75">
        <f t="shared" si="25"/>
        <v>690</v>
      </c>
      <c r="M85" s="77">
        <f t="shared" si="26"/>
        <v>414</v>
      </c>
      <c r="N85" s="77">
        <f t="shared" si="27"/>
        <v>345</v>
      </c>
      <c r="O85" s="76">
        <v>0.5</v>
      </c>
    </row>
    <row r="86" spans="1:26" s="12" customFormat="1" ht="50.1" customHeight="1" x14ac:dyDescent="0.25">
      <c r="A86" s="96"/>
      <c r="B86" s="96"/>
      <c r="C86" s="29" t="s">
        <v>114</v>
      </c>
      <c r="D86" s="25" t="s">
        <v>290</v>
      </c>
      <c r="E86" s="33" t="s">
        <v>115</v>
      </c>
      <c r="F86" s="34" t="s">
        <v>13</v>
      </c>
      <c r="G86" s="29">
        <v>1000</v>
      </c>
      <c r="H86" s="29">
        <v>163</v>
      </c>
      <c r="I86" s="35">
        <v>197</v>
      </c>
      <c r="J86" s="29">
        <v>37.5</v>
      </c>
      <c r="K86" s="69">
        <v>828</v>
      </c>
      <c r="L86" s="75">
        <f t="shared" si="25"/>
        <v>690</v>
      </c>
      <c r="M86" s="77">
        <f t="shared" si="26"/>
        <v>414</v>
      </c>
      <c r="N86" s="77">
        <f t="shared" si="27"/>
        <v>345</v>
      </c>
      <c r="O86" s="76">
        <v>0.5</v>
      </c>
    </row>
    <row r="87" spans="1:26" s="12" customFormat="1" ht="50.1" customHeight="1" x14ac:dyDescent="0.25">
      <c r="A87" s="96"/>
      <c r="B87" s="96"/>
      <c r="C87" s="29" t="s">
        <v>116</v>
      </c>
      <c r="D87" s="25" t="s">
        <v>290</v>
      </c>
      <c r="E87" s="33" t="s">
        <v>117</v>
      </c>
      <c r="F87" s="34" t="s">
        <v>13</v>
      </c>
      <c r="G87" s="29">
        <v>1000</v>
      </c>
      <c r="H87" s="29">
        <v>163</v>
      </c>
      <c r="I87" s="35">
        <v>202</v>
      </c>
      <c r="J87" s="29">
        <v>38.1</v>
      </c>
      <c r="K87" s="69">
        <v>828</v>
      </c>
      <c r="L87" s="75">
        <f t="shared" si="25"/>
        <v>690</v>
      </c>
      <c r="M87" s="77">
        <f t="shared" si="26"/>
        <v>414</v>
      </c>
      <c r="N87" s="77">
        <f t="shared" si="27"/>
        <v>345</v>
      </c>
      <c r="O87" s="76">
        <v>0.5</v>
      </c>
    </row>
    <row r="88" spans="1:26" s="12" customFormat="1" ht="50.1" customHeight="1" x14ac:dyDescent="0.25">
      <c r="A88" s="96"/>
      <c r="B88" s="96"/>
      <c r="C88" s="29" t="s">
        <v>118</v>
      </c>
      <c r="D88" s="25" t="s">
        <v>290</v>
      </c>
      <c r="E88" s="33" t="s">
        <v>119</v>
      </c>
      <c r="F88" s="34" t="s">
        <v>13</v>
      </c>
      <c r="G88" s="29">
        <v>1000</v>
      </c>
      <c r="H88" s="29">
        <v>163</v>
      </c>
      <c r="I88" s="35">
        <v>207</v>
      </c>
      <c r="J88" s="29">
        <v>38.700000000000003</v>
      </c>
      <c r="K88" s="95">
        <v>828</v>
      </c>
      <c r="L88" s="75">
        <f t="shared" si="25"/>
        <v>690</v>
      </c>
      <c r="M88" s="77">
        <f t="shared" si="26"/>
        <v>414</v>
      </c>
      <c r="N88" s="77">
        <f t="shared" si="27"/>
        <v>345</v>
      </c>
      <c r="O88" s="76">
        <v>0.5</v>
      </c>
    </row>
    <row r="89" spans="1:26" s="12" customFormat="1" ht="15.75" customHeight="1" x14ac:dyDescent="0.25">
      <c r="A89" s="80" t="s">
        <v>306</v>
      </c>
      <c r="B89" s="81"/>
      <c r="C89" s="82"/>
      <c r="D89" s="81"/>
      <c r="E89" s="83"/>
      <c r="F89" s="81"/>
      <c r="G89" s="81"/>
      <c r="H89" s="81"/>
      <c r="I89" s="81"/>
      <c r="J89" s="81"/>
      <c r="K89" s="84"/>
      <c r="L89" s="85"/>
      <c r="M89" s="93"/>
      <c r="N89" s="93"/>
      <c r="O89" s="92"/>
    </row>
    <row r="90" spans="1:26" s="12" customFormat="1" ht="50.1" customHeight="1" x14ac:dyDescent="0.25">
      <c r="A90" s="14"/>
      <c r="B90" s="14"/>
      <c r="C90" s="29">
        <v>13804</v>
      </c>
      <c r="D90" s="16" t="s">
        <v>290</v>
      </c>
      <c r="E90" s="17" t="s">
        <v>120</v>
      </c>
      <c r="F90" s="30" t="s">
        <v>13</v>
      </c>
      <c r="G90" s="31">
        <v>500</v>
      </c>
      <c r="H90" s="31">
        <v>140</v>
      </c>
      <c r="I90" s="31">
        <v>385</v>
      </c>
      <c r="J90" s="31">
        <v>26.5</v>
      </c>
      <c r="K90" s="36">
        <v>3348</v>
      </c>
      <c r="L90" s="75">
        <f t="shared" ref="L90:L91" si="28">K90/1.2</f>
        <v>2790</v>
      </c>
      <c r="M90" s="77">
        <f>K90-(K90*O90)</f>
        <v>2343.6</v>
      </c>
      <c r="N90" s="77">
        <f t="shared" ref="N90:N91" si="29">M90/1.2</f>
        <v>1953</v>
      </c>
      <c r="O90" s="76">
        <v>0.3</v>
      </c>
    </row>
    <row r="91" spans="1:26" s="13" customFormat="1" ht="50.1" customHeight="1" x14ac:dyDescent="0.25">
      <c r="A91" s="14"/>
      <c r="B91" s="14"/>
      <c r="C91" s="29" t="s">
        <v>121</v>
      </c>
      <c r="D91" s="16" t="s">
        <v>290</v>
      </c>
      <c r="E91" s="17" t="s">
        <v>122</v>
      </c>
      <c r="F91" s="30" t="s">
        <v>13</v>
      </c>
      <c r="G91" s="31">
        <v>500</v>
      </c>
      <c r="H91" s="31">
        <v>160</v>
      </c>
      <c r="I91" s="31">
        <v>500</v>
      </c>
      <c r="J91" s="31">
        <v>45</v>
      </c>
      <c r="K91" s="95">
        <v>3407</v>
      </c>
      <c r="L91" s="75">
        <f t="shared" si="28"/>
        <v>2839.166666666667</v>
      </c>
      <c r="M91" s="77">
        <f>K91-(K91*O91)</f>
        <v>2384.9</v>
      </c>
      <c r="N91" s="77">
        <f t="shared" si="29"/>
        <v>1987.4166666666667</v>
      </c>
      <c r="O91" s="76">
        <v>0.3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s="12" customFormat="1" ht="15.75" customHeight="1" x14ac:dyDescent="0.25">
      <c r="A92" s="99" t="s">
        <v>307</v>
      </c>
      <c r="B92" s="100"/>
      <c r="C92" s="101"/>
      <c r="D92" s="100"/>
      <c r="E92" s="102"/>
      <c r="F92" s="100"/>
      <c r="G92" s="100"/>
      <c r="H92" s="100"/>
      <c r="I92" s="100"/>
      <c r="J92" s="100"/>
      <c r="K92" s="103"/>
      <c r="L92" s="104"/>
      <c r="M92" s="87"/>
      <c r="N92" s="87"/>
      <c r="O92" s="86"/>
    </row>
    <row r="93" spans="1:26" s="12" customFormat="1" ht="50.1" customHeight="1" x14ac:dyDescent="0.25">
      <c r="A93" s="14"/>
      <c r="B93" s="14"/>
      <c r="C93" s="37" t="s">
        <v>308</v>
      </c>
      <c r="D93" s="105"/>
      <c r="E93" s="17" t="s">
        <v>309</v>
      </c>
      <c r="F93" s="30"/>
      <c r="G93" s="31">
        <v>400</v>
      </c>
      <c r="H93" s="31">
        <v>80</v>
      </c>
      <c r="I93" s="31">
        <v>163.5</v>
      </c>
      <c r="J93" s="31">
        <v>1.4</v>
      </c>
      <c r="K93" s="106">
        <v>2200</v>
      </c>
      <c r="L93" s="75">
        <f>K93/1.2</f>
        <v>1833.3333333333335</v>
      </c>
      <c r="M93" s="77">
        <f>K93-(K93*O93)</f>
        <v>1320</v>
      </c>
      <c r="N93" s="77">
        <f>M93/1.2</f>
        <v>1100</v>
      </c>
      <c r="O93" s="76">
        <v>0.4</v>
      </c>
    </row>
    <row r="94" spans="1:26" s="12" customFormat="1" ht="15.75" customHeight="1" x14ac:dyDescent="0.25">
      <c r="A94" s="80" t="s">
        <v>310</v>
      </c>
      <c r="B94" s="81"/>
      <c r="C94" s="82"/>
      <c r="D94" s="81"/>
      <c r="E94" s="83"/>
      <c r="F94" s="81"/>
      <c r="G94" s="81"/>
      <c r="H94" s="81"/>
      <c r="I94" s="81"/>
      <c r="J94" s="81"/>
      <c r="K94" s="84"/>
      <c r="L94" s="85"/>
      <c r="M94" s="93"/>
      <c r="N94" s="93"/>
      <c r="O94" s="92"/>
    </row>
    <row r="95" spans="1:26" s="13" customFormat="1" ht="50.1" customHeight="1" x14ac:dyDescent="0.25">
      <c r="A95" s="107"/>
      <c r="B95" s="107"/>
      <c r="C95" s="29">
        <v>104</v>
      </c>
      <c r="D95" s="31"/>
      <c r="E95" s="17" t="s">
        <v>311</v>
      </c>
      <c r="F95" s="30" t="s">
        <v>13</v>
      </c>
      <c r="G95" s="31">
        <v>95</v>
      </c>
      <c r="H95" s="31">
        <v>30</v>
      </c>
      <c r="I95" s="31">
        <v>27</v>
      </c>
      <c r="J95" s="31">
        <v>0.15</v>
      </c>
      <c r="K95" s="36">
        <v>107</v>
      </c>
      <c r="L95" s="75">
        <f t="shared" ref="L95:L99" si="30">K95/1.2</f>
        <v>89.166666666666671</v>
      </c>
      <c r="M95" s="77">
        <f>K95-(K95*O95)</f>
        <v>53.5</v>
      </c>
      <c r="N95" s="77">
        <f t="shared" ref="N95:N99" si="31">M95/1.2</f>
        <v>44.583333333333336</v>
      </c>
      <c r="O95" s="76">
        <v>0.5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s="12" customFormat="1" ht="50.1" customHeight="1" x14ac:dyDescent="0.25">
      <c r="A96" s="108"/>
      <c r="B96" s="108"/>
      <c r="C96" s="29">
        <v>22222</v>
      </c>
      <c r="D96" s="31"/>
      <c r="E96" s="17" t="s">
        <v>312</v>
      </c>
      <c r="F96" s="30" t="s">
        <v>13</v>
      </c>
      <c r="G96" s="31">
        <v>1.25</v>
      </c>
      <c r="H96" s="31">
        <v>160</v>
      </c>
      <c r="I96" s="31">
        <v>80</v>
      </c>
      <c r="J96" s="31">
        <v>0.2</v>
      </c>
      <c r="K96" s="69">
        <v>299.98</v>
      </c>
      <c r="L96" s="75">
        <f t="shared" si="30"/>
        <v>249.98333333333335</v>
      </c>
      <c r="M96" s="77">
        <f>K96-(K96*O96)</f>
        <v>209.98600000000002</v>
      </c>
      <c r="N96" s="77">
        <f t="shared" si="31"/>
        <v>174.98833333333334</v>
      </c>
      <c r="O96" s="76">
        <v>0.3</v>
      </c>
    </row>
    <row r="97" spans="1:26" s="13" customFormat="1" ht="50.1" customHeight="1" x14ac:dyDescent="0.25">
      <c r="A97" s="108"/>
      <c r="B97" s="108"/>
      <c r="C97" s="29">
        <v>22220</v>
      </c>
      <c r="D97" s="31"/>
      <c r="E97" s="17" t="s">
        <v>313</v>
      </c>
      <c r="F97" s="30" t="s">
        <v>13</v>
      </c>
      <c r="G97" s="31">
        <v>1.2</v>
      </c>
      <c r="H97" s="31">
        <v>156</v>
      </c>
      <c r="I97" s="31">
        <v>243</v>
      </c>
      <c r="J97" s="31">
        <v>0.4</v>
      </c>
      <c r="K97" s="69">
        <v>481.24</v>
      </c>
      <c r="L97" s="75">
        <f t="shared" si="30"/>
        <v>401.03333333333336</v>
      </c>
      <c r="M97" s="77">
        <f>K97-(K97*O97)</f>
        <v>336.86800000000005</v>
      </c>
      <c r="N97" s="77">
        <f t="shared" si="31"/>
        <v>280.72333333333341</v>
      </c>
      <c r="O97" s="76">
        <v>0.3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s="12" customFormat="1" ht="50.1" customHeight="1" x14ac:dyDescent="0.25">
      <c r="A98" s="108"/>
      <c r="B98" s="108"/>
      <c r="C98" s="29">
        <v>22221</v>
      </c>
      <c r="D98" s="31"/>
      <c r="E98" s="17" t="s">
        <v>314</v>
      </c>
      <c r="F98" s="30" t="s">
        <v>13</v>
      </c>
      <c r="G98" s="31">
        <v>1.2</v>
      </c>
      <c r="H98" s="31">
        <v>156</v>
      </c>
      <c r="I98" s="31">
        <v>250</v>
      </c>
      <c r="J98" s="31">
        <v>0.5</v>
      </c>
      <c r="K98" s="69">
        <v>1392.84</v>
      </c>
      <c r="L98" s="75">
        <f t="shared" si="30"/>
        <v>1160.7</v>
      </c>
      <c r="M98" s="77">
        <f>K98-(K98*O98)</f>
        <v>974.98799999999994</v>
      </c>
      <c r="N98" s="77">
        <f t="shared" si="31"/>
        <v>812.49</v>
      </c>
      <c r="O98" s="76">
        <v>0.3</v>
      </c>
    </row>
    <row r="99" spans="1:26" s="13" customFormat="1" ht="50.1" customHeight="1" x14ac:dyDescent="0.25">
      <c r="A99" s="38"/>
      <c r="B99" s="38"/>
      <c r="C99" s="29">
        <v>1400</v>
      </c>
      <c r="D99" s="31"/>
      <c r="E99" s="17" t="s">
        <v>315</v>
      </c>
      <c r="F99" s="18"/>
      <c r="G99" s="16">
        <v>1000</v>
      </c>
      <c r="H99" s="16">
        <v>23</v>
      </c>
      <c r="I99" s="16">
        <v>27</v>
      </c>
      <c r="J99" s="16">
        <v>0.5</v>
      </c>
      <c r="K99" s="95">
        <v>230</v>
      </c>
      <c r="L99" s="75">
        <f t="shared" si="30"/>
        <v>191.66666666666669</v>
      </c>
      <c r="M99" s="77">
        <f>K99-(K99*O99)</f>
        <v>126.5</v>
      </c>
      <c r="N99" s="77">
        <f t="shared" si="31"/>
        <v>105.41666666666667</v>
      </c>
      <c r="O99" s="76">
        <v>0.45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s="12" customFormat="1" ht="15.75" customHeight="1" x14ac:dyDescent="0.25">
      <c r="A100" s="80" t="s">
        <v>316</v>
      </c>
      <c r="B100" s="81"/>
      <c r="C100" s="82"/>
      <c r="D100" s="81"/>
      <c r="E100" s="83"/>
      <c r="F100" s="81"/>
      <c r="G100" s="81"/>
      <c r="H100" s="81"/>
      <c r="I100" s="81"/>
      <c r="J100" s="81"/>
      <c r="K100" s="84"/>
      <c r="L100" s="85"/>
      <c r="M100" s="93"/>
      <c r="N100" s="93"/>
      <c r="O100" s="92"/>
    </row>
    <row r="101" spans="1:26" s="13" customFormat="1" ht="50.1" customHeight="1" x14ac:dyDescent="0.25">
      <c r="A101" s="109" t="s">
        <v>317</v>
      </c>
      <c r="B101" s="109"/>
      <c r="C101" s="110">
        <v>10110000</v>
      </c>
      <c r="D101" s="111" t="s">
        <v>290</v>
      </c>
      <c r="E101" s="112" t="s">
        <v>318</v>
      </c>
      <c r="F101" s="113" t="s">
        <v>13</v>
      </c>
      <c r="G101" s="111">
        <v>1000</v>
      </c>
      <c r="H101" s="111">
        <v>126</v>
      </c>
      <c r="I101" s="111">
        <v>55</v>
      </c>
      <c r="J101" s="111">
        <v>7.7</v>
      </c>
      <c r="K101" s="75">
        <v>1369.97</v>
      </c>
      <c r="L101" s="75">
        <f t="shared" ref="L101:L104" si="32">K101/1.2</f>
        <v>1141.6416666666667</v>
      </c>
      <c r="M101" s="77">
        <f>K101-(K101*O101)</f>
        <v>1027.4775</v>
      </c>
      <c r="N101" s="77">
        <f t="shared" ref="N101:N104" si="33">M101/1.2</f>
        <v>856.23125000000005</v>
      </c>
      <c r="O101" s="76">
        <v>0.25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s="13" customFormat="1" ht="50.1" customHeight="1" x14ac:dyDescent="0.25">
      <c r="A102" s="109" t="s">
        <v>317</v>
      </c>
      <c r="B102" s="109"/>
      <c r="C102" s="110">
        <v>10311000</v>
      </c>
      <c r="D102" s="111" t="s">
        <v>290</v>
      </c>
      <c r="E102" s="112" t="s">
        <v>319</v>
      </c>
      <c r="F102" s="113" t="s">
        <v>13</v>
      </c>
      <c r="G102" s="111">
        <v>1000</v>
      </c>
      <c r="H102" s="111">
        <v>126</v>
      </c>
      <c r="I102" s="111">
        <v>115</v>
      </c>
      <c r="J102" s="111">
        <v>10.7</v>
      </c>
      <c r="K102" s="73">
        <v>1645.98</v>
      </c>
      <c r="L102" s="75">
        <f t="shared" si="32"/>
        <v>1371.65</v>
      </c>
      <c r="M102" s="77">
        <f>K102-(K102*O102)</f>
        <v>1234.4850000000001</v>
      </c>
      <c r="N102" s="77">
        <f t="shared" si="33"/>
        <v>1028.7375000000002</v>
      </c>
      <c r="O102" s="76">
        <v>0.25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s="13" customFormat="1" ht="50.1" customHeight="1" x14ac:dyDescent="0.25">
      <c r="A103" s="109" t="s">
        <v>317</v>
      </c>
      <c r="B103" s="109"/>
      <c r="C103" s="110">
        <v>10311061</v>
      </c>
      <c r="D103" s="111" t="s">
        <v>290</v>
      </c>
      <c r="E103" s="112" t="s">
        <v>320</v>
      </c>
      <c r="F103" s="113" t="s">
        <v>13</v>
      </c>
      <c r="G103" s="111">
        <v>1000</v>
      </c>
      <c r="H103" s="111">
        <v>126</v>
      </c>
      <c r="I103" s="111">
        <v>140</v>
      </c>
      <c r="J103" s="111">
        <v>13.4</v>
      </c>
      <c r="K103" s="73">
        <v>2135.21</v>
      </c>
      <c r="L103" s="75">
        <f t="shared" si="32"/>
        <v>1779.3416666666667</v>
      </c>
      <c r="M103" s="77">
        <f>K103-(K103*O103)</f>
        <v>1601.4075</v>
      </c>
      <c r="N103" s="77">
        <f t="shared" si="33"/>
        <v>1334.5062500000001</v>
      </c>
      <c r="O103" s="76">
        <v>0.25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s="13" customFormat="1" ht="50.1" customHeight="1" x14ac:dyDescent="0.25">
      <c r="A104" s="109" t="s">
        <v>317</v>
      </c>
      <c r="B104" s="109"/>
      <c r="C104" s="110">
        <v>10311062</v>
      </c>
      <c r="D104" s="111" t="s">
        <v>290</v>
      </c>
      <c r="E104" s="112" t="s">
        <v>321</v>
      </c>
      <c r="F104" s="113" t="s">
        <v>13</v>
      </c>
      <c r="G104" s="111">
        <v>1000</v>
      </c>
      <c r="H104" s="111">
        <v>126</v>
      </c>
      <c r="I104" s="111">
        <v>165</v>
      </c>
      <c r="J104" s="111">
        <v>16</v>
      </c>
      <c r="K104" s="79">
        <v>2528.44</v>
      </c>
      <c r="L104" s="75">
        <f t="shared" si="32"/>
        <v>2107.0333333333333</v>
      </c>
      <c r="M104" s="77">
        <f>K104-(K104*O104)</f>
        <v>1896.33</v>
      </c>
      <c r="N104" s="77">
        <f t="shared" si="33"/>
        <v>1580.2750000000001</v>
      </c>
      <c r="O104" s="76">
        <v>0.25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s="12" customFormat="1" ht="15.75" customHeight="1" x14ac:dyDescent="0.25">
      <c r="A105" s="80" t="s">
        <v>322</v>
      </c>
      <c r="B105" s="80"/>
      <c r="C105" s="97"/>
      <c r="D105" s="114"/>
      <c r="E105" s="115"/>
      <c r="F105" s="80"/>
      <c r="G105" s="80"/>
      <c r="H105" s="80"/>
      <c r="I105" s="80"/>
      <c r="J105" s="80"/>
      <c r="K105" s="116"/>
      <c r="L105" s="116"/>
      <c r="M105" s="118"/>
      <c r="N105" s="118"/>
      <c r="O105" s="117"/>
    </row>
    <row r="106" spans="1:26" s="13" customFormat="1" ht="50.1" customHeight="1" x14ac:dyDescent="0.25">
      <c r="A106" s="109" t="s">
        <v>317</v>
      </c>
      <c r="B106" s="109"/>
      <c r="C106" s="110">
        <v>10310093</v>
      </c>
      <c r="D106" s="111" t="s">
        <v>290</v>
      </c>
      <c r="E106" s="112" t="s">
        <v>323</v>
      </c>
      <c r="F106" s="113" t="s">
        <v>13</v>
      </c>
      <c r="G106" s="111">
        <v>500</v>
      </c>
      <c r="H106" s="111">
        <v>140</v>
      </c>
      <c r="I106" s="111">
        <v>500</v>
      </c>
      <c r="J106" s="111">
        <v>24.9</v>
      </c>
      <c r="K106" s="75">
        <v>7059</v>
      </c>
      <c r="L106" s="75">
        <f t="shared" ref="L106:L107" si="34">K106/1.2</f>
        <v>5882.5</v>
      </c>
      <c r="M106" s="77">
        <f>K106-(K106*O106)</f>
        <v>5294.25</v>
      </c>
      <c r="N106" s="77">
        <f t="shared" ref="N106:N107" si="35">M106/1.2</f>
        <v>4411.875</v>
      </c>
      <c r="O106" s="76">
        <v>0.25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s="13" customFormat="1" ht="50.1" customHeight="1" x14ac:dyDescent="0.25">
      <c r="A107" s="119" t="s">
        <v>317</v>
      </c>
      <c r="B107" s="119"/>
      <c r="C107" s="110">
        <v>22515</v>
      </c>
      <c r="D107" s="120"/>
      <c r="E107" s="121" t="s">
        <v>324</v>
      </c>
      <c r="F107" s="122"/>
      <c r="G107" s="120">
        <v>400</v>
      </c>
      <c r="H107" s="120">
        <v>92</v>
      </c>
      <c r="I107" s="120">
        <v>120</v>
      </c>
      <c r="J107" s="120">
        <v>0.17</v>
      </c>
      <c r="K107" s="79">
        <v>2580</v>
      </c>
      <c r="L107" s="75">
        <f t="shared" si="34"/>
        <v>2150</v>
      </c>
      <c r="M107" s="77">
        <f>K107-(K107*O107)</f>
        <v>1935</v>
      </c>
      <c r="N107" s="77">
        <f t="shared" si="35"/>
        <v>1612.5</v>
      </c>
      <c r="O107" s="76">
        <v>0.25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s="12" customFormat="1" ht="15.75" customHeight="1" x14ac:dyDescent="0.25">
      <c r="A108" s="80" t="s">
        <v>325</v>
      </c>
      <c r="B108" s="80"/>
      <c r="C108" s="97"/>
      <c r="D108" s="114"/>
      <c r="E108" s="115"/>
      <c r="F108" s="80"/>
      <c r="G108" s="80"/>
      <c r="H108" s="80"/>
      <c r="I108" s="80"/>
      <c r="J108" s="80"/>
      <c r="K108" s="116"/>
      <c r="L108" s="116"/>
      <c r="M108" s="118"/>
      <c r="N108" s="118"/>
      <c r="O108" s="117"/>
    </row>
    <row r="109" spans="1:26" s="13" customFormat="1" ht="50.1" customHeight="1" x14ac:dyDescent="0.25">
      <c r="A109" s="109" t="s">
        <v>317</v>
      </c>
      <c r="B109" s="109"/>
      <c r="C109" s="110">
        <v>17010100</v>
      </c>
      <c r="D109" s="111" t="s">
        <v>290</v>
      </c>
      <c r="E109" s="112" t="s">
        <v>326</v>
      </c>
      <c r="F109" s="113" t="s">
        <v>13</v>
      </c>
      <c r="G109" s="111">
        <v>500</v>
      </c>
      <c r="H109" s="111">
        <v>124</v>
      </c>
      <c r="I109" s="111">
        <v>5</v>
      </c>
      <c r="J109" s="111">
        <v>2.2000000000000002</v>
      </c>
      <c r="K109" s="75">
        <v>827.8116</v>
      </c>
      <c r="L109" s="75">
        <f t="shared" ref="L109:L110" si="36">K109/1.2</f>
        <v>689.84300000000007</v>
      </c>
      <c r="M109" s="77">
        <f>K109-(K109*O109)</f>
        <v>620.8587</v>
      </c>
      <c r="N109" s="77">
        <f t="shared" ref="N109:N110" si="37">M109/1.2</f>
        <v>517.38225</v>
      </c>
      <c r="O109" s="76">
        <v>0.25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s="13" customFormat="1" ht="50.1" customHeight="1" x14ac:dyDescent="0.25">
      <c r="A110" s="109" t="s">
        <v>317</v>
      </c>
      <c r="B110" s="109"/>
      <c r="C110" s="110">
        <v>17010200</v>
      </c>
      <c r="D110" s="111" t="s">
        <v>271</v>
      </c>
      <c r="E110" s="112" t="s">
        <v>327</v>
      </c>
      <c r="F110" s="113" t="s">
        <v>13</v>
      </c>
      <c r="G110" s="111">
        <v>1000</v>
      </c>
      <c r="H110" s="111">
        <v>124</v>
      </c>
      <c r="I110" s="111">
        <v>2</v>
      </c>
      <c r="J110" s="111">
        <v>1.6</v>
      </c>
      <c r="K110" s="79">
        <v>737.82</v>
      </c>
      <c r="L110" s="75">
        <f t="shared" si="36"/>
        <v>614.85</v>
      </c>
      <c r="M110" s="77">
        <f>K110-(K110*O110)</f>
        <v>553.36500000000001</v>
      </c>
      <c r="N110" s="77">
        <f t="shared" si="37"/>
        <v>461.13750000000005</v>
      </c>
      <c r="O110" s="76">
        <v>0.25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s="13" customFormat="1" ht="15.75" customHeight="1" x14ac:dyDescent="0.25">
      <c r="A111" s="123" t="s">
        <v>328</v>
      </c>
      <c r="B111" s="123"/>
      <c r="C111" s="123"/>
      <c r="D111" s="123"/>
      <c r="E111" s="123"/>
      <c r="F111" s="123"/>
      <c r="G111" s="123"/>
      <c r="H111" s="123"/>
      <c r="I111" s="123"/>
      <c r="J111" s="123"/>
      <c r="K111" s="124"/>
      <c r="L111" s="124"/>
      <c r="M111" s="80"/>
      <c r="N111" s="80"/>
      <c r="O111" s="80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s="13" customFormat="1" ht="50.1" customHeight="1" x14ac:dyDescent="0.25">
      <c r="A112" s="119" t="s">
        <v>317</v>
      </c>
      <c r="B112" s="119"/>
      <c r="C112" s="110">
        <v>12515001</v>
      </c>
      <c r="D112" s="120" t="s">
        <v>329</v>
      </c>
      <c r="E112" s="121" t="s">
        <v>330</v>
      </c>
      <c r="F112" s="122" t="s">
        <v>123</v>
      </c>
      <c r="G112" s="120">
        <v>1000</v>
      </c>
      <c r="H112" s="120">
        <v>150</v>
      </c>
      <c r="I112" s="120">
        <v>50</v>
      </c>
      <c r="J112" s="120">
        <v>12.1</v>
      </c>
      <c r="K112" s="75">
        <v>2150.0039999999999</v>
      </c>
      <c r="L112" s="75">
        <f t="shared" ref="L112:L118" si="38">K112/1.2</f>
        <v>1791.67</v>
      </c>
      <c r="M112" s="77">
        <f t="shared" ref="M112:M118" si="39">K112-(K112*O112)</f>
        <v>1612.5029999999999</v>
      </c>
      <c r="N112" s="77">
        <f t="shared" ref="N112:N118" si="40">M112/1.2</f>
        <v>1343.7525000000001</v>
      </c>
      <c r="O112" s="76">
        <v>0.25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s="13" customFormat="1" ht="50.1" customHeight="1" x14ac:dyDescent="0.25">
      <c r="A113" s="119" t="s">
        <v>317</v>
      </c>
      <c r="B113" s="119"/>
      <c r="C113" s="110">
        <v>12515071</v>
      </c>
      <c r="D113" s="120" t="s">
        <v>329</v>
      </c>
      <c r="E113" s="121" t="s">
        <v>331</v>
      </c>
      <c r="F113" s="122" t="s">
        <v>123</v>
      </c>
      <c r="G113" s="120">
        <v>1000</v>
      </c>
      <c r="H113" s="120">
        <v>150</v>
      </c>
      <c r="I113" s="120">
        <v>50</v>
      </c>
      <c r="J113" s="120">
        <v>11.8</v>
      </c>
      <c r="K113" s="73">
        <v>2379.9959999999996</v>
      </c>
      <c r="L113" s="75">
        <f t="shared" si="38"/>
        <v>1983.3299999999997</v>
      </c>
      <c r="M113" s="77">
        <f t="shared" si="39"/>
        <v>1784.9969999999998</v>
      </c>
      <c r="N113" s="77">
        <f t="shared" si="40"/>
        <v>1487.4974999999999</v>
      </c>
      <c r="O113" s="76">
        <v>0.25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s="13" customFormat="1" ht="50.1" customHeight="1" x14ac:dyDescent="0.25">
      <c r="A114" s="119" t="s">
        <v>317</v>
      </c>
      <c r="B114" s="119"/>
      <c r="C114" s="110">
        <v>12515081</v>
      </c>
      <c r="D114" s="120"/>
      <c r="E114" s="121" t="s">
        <v>332</v>
      </c>
      <c r="F114" s="122"/>
      <c r="G114" s="120"/>
      <c r="H114" s="120"/>
      <c r="I114" s="120"/>
      <c r="J114" s="120">
        <v>0.05</v>
      </c>
      <c r="K114" s="73">
        <v>4400.0039999999999</v>
      </c>
      <c r="L114" s="75">
        <f t="shared" si="38"/>
        <v>3666.67</v>
      </c>
      <c r="M114" s="77">
        <f t="shared" si="39"/>
        <v>3300.0029999999997</v>
      </c>
      <c r="N114" s="77">
        <f t="shared" si="40"/>
        <v>2750.0025000000001</v>
      </c>
      <c r="O114" s="76">
        <v>0.25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s="13" customFormat="1" ht="50.1" customHeight="1" x14ac:dyDescent="0.25">
      <c r="A115" s="119" t="s">
        <v>317</v>
      </c>
      <c r="B115" s="119"/>
      <c r="C115" s="110">
        <v>12515380</v>
      </c>
      <c r="D115" s="120"/>
      <c r="E115" s="121" t="s">
        <v>333</v>
      </c>
      <c r="F115" s="122"/>
      <c r="G115" s="120">
        <v>174</v>
      </c>
      <c r="H115" s="120">
        <v>154</v>
      </c>
      <c r="I115" s="120">
        <v>50</v>
      </c>
      <c r="J115" s="120">
        <v>1.1200000000000001</v>
      </c>
      <c r="K115" s="73">
        <v>13400.003999999999</v>
      </c>
      <c r="L115" s="75">
        <f t="shared" si="38"/>
        <v>11166.67</v>
      </c>
      <c r="M115" s="77">
        <f t="shared" si="39"/>
        <v>10050.002999999999</v>
      </c>
      <c r="N115" s="77">
        <f t="shared" si="40"/>
        <v>8375.0024999999987</v>
      </c>
      <c r="O115" s="76">
        <v>0.25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s="13" customFormat="1" ht="50.1" customHeight="1" x14ac:dyDescent="0.25">
      <c r="A116" s="119" t="s">
        <v>317</v>
      </c>
      <c r="B116" s="119"/>
      <c r="C116" s="110">
        <v>12515386</v>
      </c>
      <c r="D116" s="120"/>
      <c r="E116" s="121" t="s">
        <v>334</v>
      </c>
      <c r="F116" s="122"/>
      <c r="G116" s="120"/>
      <c r="H116" s="120"/>
      <c r="I116" s="120"/>
      <c r="J116" s="120">
        <v>0.04</v>
      </c>
      <c r="K116" s="73">
        <v>834.99599999999998</v>
      </c>
      <c r="L116" s="75">
        <f t="shared" si="38"/>
        <v>695.83</v>
      </c>
      <c r="M116" s="77">
        <f t="shared" si="39"/>
        <v>626.24699999999996</v>
      </c>
      <c r="N116" s="77">
        <f t="shared" si="40"/>
        <v>521.87249999999995</v>
      </c>
      <c r="O116" s="76">
        <v>0.25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s="13" customFormat="1" ht="50.1" customHeight="1" x14ac:dyDescent="0.25">
      <c r="A117" s="119" t="s">
        <v>317</v>
      </c>
      <c r="B117" s="119"/>
      <c r="C117" s="110">
        <v>12515391</v>
      </c>
      <c r="D117" s="120"/>
      <c r="E117" s="121" t="s">
        <v>335</v>
      </c>
      <c r="F117" s="122"/>
      <c r="G117" s="120"/>
      <c r="H117" s="120"/>
      <c r="I117" s="120"/>
      <c r="J117" s="120">
        <v>0.25</v>
      </c>
      <c r="K117" s="73">
        <v>15500.003999999999</v>
      </c>
      <c r="L117" s="75">
        <f t="shared" si="38"/>
        <v>12916.67</v>
      </c>
      <c r="M117" s="77">
        <f t="shared" si="39"/>
        <v>11625.002999999999</v>
      </c>
      <c r="N117" s="77">
        <f t="shared" si="40"/>
        <v>9687.5024999999987</v>
      </c>
      <c r="O117" s="76">
        <v>0.25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s="13" customFormat="1" ht="50.1" customHeight="1" x14ac:dyDescent="0.25">
      <c r="A118" s="119" t="s">
        <v>317</v>
      </c>
      <c r="B118" s="119"/>
      <c r="C118" s="110">
        <v>12530000</v>
      </c>
      <c r="D118" s="120" t="s">
        <v>329</v>
      </c>
      <c r="E118" s="121" t="s">
        <v>336</v>
      </c>
      <c r="F118" s="122" t="s">
        <v>34</v>
      </c>
      <c r="G118" s="120">
        <v>1000</v>
      </c>
      <c r="H118" s="120">
        <v>300</v>
      </c>
      <c r="I118" s="120">
        <v>50</v>
      </c>
      <c r="J118" s="120">
        <v>25.3</v>
      </c>
      <c r="K118" s="79">
        <v>3750</v>
      </c>
      <c r="L118" s="75">
        <f t="shared" si="38"/>
        <v>3125</v>
      </c>
      <c r="M118" s="77">
        <f t="shared" si="39"/>
        <v>2812.5</v>
      </c>
      <c r="N118" s="77">
        <f t="shared" si="40"/>
        <v>2343.75</v>
      </c>
      <c r="O118" s="76">
        <v>0.25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s="12" customFormat="1" ht="15.75" customHeight="1" x14ac:dyDescent="0.25">
      <c r="A119" s="80" t="s">
        <v>337</v>
      </c>
      <c r="B119" s="80"/>
      <c r="C119" s="97"/>
      <c r="D119" s="80"/>
      <c r="E119" s="115"/>
      <c r="F119" s="80"/>
      <c r="G119" s="80"/>
      <c r="H119" s="80"/>
      <c r="I119" s="80"/>
      <c r="J119" s="80"/>
      <c r="K119" s="125"/>
      <c r="L119" s="125"/>
      <c r="M119" s="127"/>
      <c r="N119" s="127"/>
      <c r="O119" s="126"/>
    </row>
    <row r="120" spans="1:26" s="12" customFormat="1" ht="50.1" customHeight="1" x14ac:dyDescent="0.25">
      <c r="A120" s="128"/>
      <c r="B120" s="128"/>
      <c r="C120" s="29">
        <v>705</v>
      </c>
      <c r="D120" s="16" t="s">
        <v>290</v>
      </c>
      <c r="E120" s="129" t="s">
        <v>338</v>
      </c>
      <c r="F120" s="18" t="s">
        <v>13</v>
      </c>
      <c r="G120" s="16">
        <v>1000</v>
      </c>
      <c r="H120" s="16">
        <v>140</v>
      </c>
      <c r="I120" s="16">
        <v>125</v>
      </c>
      <c r="J120" s="16">
        <v>10.5</v>
      </c>
      <c r="K120" s="75">
        <v>598</v>
      </c>
      <c r="L120" s="75">
        <f t="shared" ref="L120:L121" si="41">K120/1.2</f>
        <v>498.33333333333337</v>
      </c>
      <c r="M120" s="77">
        <f>K120-(K120*O120)</f>
        <v>328.9</v>
      </c>
      <c r="N120" s="77">
        <f t="shared" ref="N120:N121" si="42">M120/1.2</f>
        <v>274.08333333333331</v>
      </c>
      <c r="O120" s="76">
        <v>0.45</v>
      </c>
    </row>
    <row r="121" spans="1:26" s="12" customFormat="1" ht="50.1" customHeight="1" x14ac:dyDescent="0.25">
      <c r="A121" s="128"/>
      <c r="B121" s="128"/>
      <c r="C121" s="29">
        <v>703</v>
      </c>
      <c r="D121" s="16" t="s">
        <v>290</v>
      </c>
      <c r="E121" s="129" t="s">
        <v>339</v>
      </c>
      <c r="F121" s="18" t="s">
        <v>13</v>
      </c>
      <c r="G121" s="16">
        <v>1000</v>
      </c>
      <c r="H121" s="16">
        <v>140</v>
      </c>
      <c r="I121" s="16">
        <v>65</v>
      </c>
      <c r="J121" s="16">
        <v>6</v>
      </c>
      <c r="K121" s="79">
        <v>530.4</v>
      </c>
      <c r="L121" s="75">
        <f t="shared" si="41"/>
        <v>442</v>
      </c>
      <c r="M121" s="77">
        <f>K121-(K121*O121)</f>
        <v>291.71999999999997</v>
      </c>
      <c r="N121" s="77">
        <f t="shared" si="42"/>
        <v>243.1</v>
      </c>
      <c r="O121" s="76">
        <v>0.45</v>
      </c>
    </row>
    <row r="122" spans="1:26" s="12" customFormat="1" ht="15.75" customHeight="1" x14ac:dyDescent="0.25">
      <c r="A122" s="80" t="s">
        <v>340</v>
      </c>
      <c r="B122" s="81"/>
      <c r="C122" s="82"/>
      <c r="D122" s="81"/>
      <c r="E122" s="83"/>
      <c r="F122" s="81"/>
      <c r="G122" s="81"/>
      <c r="H122" s="81"/>
      <c r="I122" s="81"/>
      <c r="J122" s="81"/>
      <c r="K122" s="84"/>
      <c r="L122" s="85"/>
      <c r="M122" s="93"/>
      <c r="N122" s="93"/>
      <c r="O122" s="92"/>
    </row>
    <row r="123" spans="1:26" s="20" customFormat="1" ht="50.1" customHeight="1" x14ac:dyDescent="0.25">
      <c r="A123" s="74"/>
      <c r="B123" s="74"/>
      <c r="C123" s="25">
        <v>500</v>
      </c>
      <c r="D123" s="16" t="s">
        <v>271</v>
      </c>
      <c r="E123" s="17" t="s">
        <v>124</v>
      </c>
      <c r="F123" s="18" t="s">
        <v>13</v>
      </c>
      <c r="G123" s="16">
        <v>500</v>
      </c>
      <c r="H123" s="16">
        <v>136</v>
      </c>
      <c r="I123" s="16">
        <v>20</v>
      </c>
      <c r="J123" s="16">
        <v>0.8</v>
      </c>
      <c r="K123" s="75">
        <v>434.31360000000006</v>
      </c>
      <c r="L123" s="75">
        <f t="shared" ref="L123:L136" si="43">K123/1.2</f>
        <v>361.92800000000005</v>
      </c>
      <c r="M123" s="77">
        <f t="shared" ref="M123:M138" si="44">K123-(K123*O123)</f>
        <v>217.15680000000003</v>
      </c>
      <c r="N123" s="77">
        <f t="shared" ref="N123:N138" si="45">M123/1.2</f>
        <v>180.96400000000003</v>
      </c>
      <c r="O123" s="76">
        <v>0.5</v>
      </c>
    </row>
    <row r="124" spans="1:26" s="20" customFormat="1" ht="50.1" customHeight="1" x14ac:dyDescent="0.25">
      <c r="A124" s="74"/>
      <c r="B124" s="74"/>
      <c r="C124" s="25">
        <v>508</v>
      </c>
      <c r="D124" s="16" t="s">
        <v>271</v>
      </c>
      <c r="E124" s="17" t="s">
        <v>125</v>
      </c>
      <c r="F124" s="18" t="s">
        <v>13</v>
      </c>
      <c r="G124" s="16">
        <v>1000</v>
      </c>
      <c r="H124" s="16">
        <v>136</v>
      </c>
      <c r="I124" s="16">
        <v>20</v>
      </c>
      <c r="J124" s="16">
        <v>1.6</v>
      </c>
      <c r="K124" s="73">
        <v>785</v>
      </c>
      <c r="L124" s="75">
        <f t="shared" si="43"/>
        <v>654.16666666666674</v>
      </c>
      <c r="M124" s="77">
        <f t="shared" si="44"/>
        <v>353.24999999999994</v>
      </c>
      <c r="N124" s="77">
        <f t="shared" si="45"/>
        <v>294.37499999999994</v>
      </c>
      <c r="O124" s="76">
        <v>0.55000000000000004</v>
      </c>
    </row>
    <row r="125" spans="1:26" s="39" customFormat="1" ht="50.1" customHeight="1" x14ac:dyDescent="0.25">
      <c r="A125" s="74"/>
      <c r="B125" s="74"/>
      <c r="C125" s="25" t="s">
        <v>126</v>
      </c>
      <c r="D125" s="16" t="s">
        <v>271</v>
      </c>
      <c r="E125" s="17" t="s">
        <v>127</v>
      </c>
      <c r="F125" s="18" t="s">
        <v>13</v>
      </c>
      <c r="G125" s="16">
        <v>1000</v>
      </c>
      <c r="H125" s="16">
        <v>136</v>
      </c>
      <c r="I125" s="16">
        <v>20</v>
      </c>
      <c r="J125" s="16">
        <v>1.6</v>
      </c>
      <c r="K125" s="73">
        <v>785</v>
      </c>
      <c r="L125" s="75">
        <f t="shared" si="43"/>
        <v>654.16666666666674</v>
      </c>
      <c r="M125" s="77">
        <f t="shared" si="44"/>
        <v>353.24999999999994</v>
      </c>
      <c r="N125" s="77">
        <f t="shared" si="45"/>
        <v>294.37499999999994</v>
      </c>
      <c r="O125" s="76">
        <v>0.55000000000000004</v>
      </c>
    </row>
    <row r="126" spans="1:26" s="12" customFormat="1" ht="50.1" customHeight="1" x14ac:dyDescent="0.25">
      <c r="A126" s="14"/>
      <c r="B126" s="14"/>
      <c r="C126" s="25">
        <v>502</v>
      </c>
      <c r="D126" s="16" t="s">
        <v>271</v>
      </c>
      <c r="E126" s="17" t="s">
        <v>128</v>
      </c>
      <c r="F126" s="18" t="s">
        <v>13</v>
      </c>
      <c r="G126" s="16">
        <v>1000</v>
      </c>
      <c r="H126" s="16">
        <v>136</v>
      </c>
      <c r="I126" s="16">
        <v>20</v>
      </c>
      <c r="J126" s="16">
        <v>1.6</v>
      </c>
      <c r="K126" s="73">
        <v>3932</v>
      </c>
      <c r="L126" s="75">
        <f t="shared" si="43"/>
        <v>3276.666666666667</v>
      </c>
      <c r="M126" s="77">
        <f t="shared" si="44"/>
        <v>1769.3999999999996</v>
      </c>
      <c r="N126" s="77">
        <f t="shared" si="45"/>
        <v>1474.4999999999998</v>
      </c>
      <c r="O126" s="76">
        <v>0.55000000000000004</v>
      </c>
    </row>
    <row r="127" spans="1:26" s="12" customFormat="1" ht="50.1" customHeight="1" x14ac:dyDescent="0.25">
      <c r="A127" s="74"/>
      <c r="B127" s="74"/>
      <c r="C127" s="25">
        <v>503</v>
      </c>
      <c r="D127" s="16" t="s">
        <v>271</v>
      </c>
      <c r="E127" s="17" t="s">
        <v>129</v>
      </c>
      <c r="F127" s="18" t="s">
        <v>13</v>
      </c>
      <c r="G127" s="16">
        <v>1000</v>
      </c>
      <c r="H127" s="16">
        <v>136</v>
      </c>
      <c r="I127" s="16">
        <v>20</v>
      </c>
      <c r="J127" s="16">
        <v>1.6</v>
      </c>
      <c r="K127" s="73">
        <v>2020.1515000000002</v>
      </c>
      <c r="L127" s="75">
        <f t="shared" si="43"/>
        <v>1683.4595833333335</v>
      </c>
      <c r="M127" s="77">
        <f t="shared" si="44"/>
        <v>909.06817499999988</v>
      </c>
      <c r="N127" s="77">
        <f t="shared" si="45"/>
        <v>757.55681249999998</v>
      </c>
      <c r="O127" s="76">
        <v>0.55000000000000004</v>
      </c>
    </row>
    <row r="128" spans="1:26" s="20" customFormat="1" ht="50.1" customHeight="1" x14ac:dyDescent="0.25">
      <c r="A128" s="130"/>
      <c r="B128" s="130"/>
      <c r="C128" s="25">
        <v>504</v>
      </c>
      <c r="D128" s="16" t="s">
        <v>271</v>
      </c>
      <c r="E128" s="17" t="s">
        <v>130</v>
      </c>
      <c r="F128" s="18" t="s">
        <v>13</v>
      </c>
      <c r="G128" s="16">
        <v>500</v>
      </c>
      <c r="H128" s="16">
        <v>137.80000000000001</v>
      </c>
      <c r="I128" s="16">
        <v>16.5</v>
      </c>
      <c r="J128" s="16">
        <v>0.42</v>
      </c>
      <c r="K128" s="73">
        <v>225</v>
      </c>
      <c r="L128" s="75">
        <f t="shared" si="43"/>
        <v>187.5</v>
      </c>
      <c r="M128" s="77">
        <f t="shared" si="44"/>
        <v>101.24999999999999</v>
      </c>
      <c r="N128" s="77">
        <f t="shared" si="45"/>
        <v>84.374999999999986</v>
      </c>
      <c r="O128" s="76">
        <v>0.55000000000000004</v>
      </c>
    </row>
    <row r="129" spans="1:26" s="20" customFormat="1" ht="50.1" customHeight="1" x14ac:dyDescent="0.25">
      <c r="A129" s="131"/>
      <c r="B129" s="131"/>
      <c r="C129" s="25">
        <v>501</v>
      </c>
      <c r="D129" s="16" t="s">
        <v>275</v>
      </c>
      <c r="E129" s="17" t="s">
        <v>131</v>
      </c>
      <c r="F129" s="18" t="s">
        <v>13</v>
      </c>
      <c r="G129" s="16">
        <v>1000</v>
      </c>
      <c r="H129" s="16">
        <v>136</v>
      </c>
      <c r="I129" s="16">
        <v>20</v>
      </c>
      <c r="J129" s="16">
        <v>3.3</v>
      </c>
      <c r="K129" s="73">
        <v>1845.6996799999999</v>
      </c>
      <c r="L129" s="75">
        <f t="shared" si="43"/>
        <v>1538.0830666666666</v>
      </c>
      <c r="M129" s="77">
        <f t="shared" si="44"/>
        <v>922.84983999999997</v>
      </c>
      <c r="N129" s="77">
        <f t="shared" si="45"/>
        <v>769.04153333333329</v>
      </c>
      <c r="O129" s="76">
        <v>0.5</v>
      </c>
    </row>
    <row r="130" spans="1:26" s="20" customFormat="1" ht="50.1" customHeight="1" x14ac:dyDescent="0.25">
      <c r="A130" s="130"/>
      <c r="B130" s="130"/>
      <c r="C130" s="25">
        <v>506</v>
      </c>
      <c r="D130" s="16" t="s">
        <v>290</v>
      </c>
      <c r="E130" s="17" t="s">
        <v>132</v>
      </c>
      <c r="F130" s="18" t="s">
        <v>13</v>
      </c>
      <c r="G130" s="16">
        <v>500</v>
      </c>
      <c r="H130" s="16">
        <v>136</v>
      </c>
      <c r="I130" s="16">
        <v>13</v>
      </c>
      <c r="J130" s="16">
        <v>2.1</v>
      </c>
      <c r="K130" s="73">
        <v>794</v>
      </c>
      <c r="L130" s="75">
        <f t="shared" si="43"/>
        <v>661.66666666666674</v>
      </c>
      <c r="M130" s="77">
        <f t="shared" si="44"/>
        <v>357.29999999999995</v>
      </c>
      <c r="N130" s="77">
        <f t="shared" si="45"/>
        <v>297.75</v>
      </c>
      <c r="O130" s="76">
        <v>0.55000000000000004</v>
      </c>
    </row>
    <row r="131" spans="1:26" s="20" customFormat="1" ht="50.1" customHeight="1" x14ac:dyDescent="0.25">
      <c r="A131" s="130"/>
      <c r="B131" s="130"/>
      <c r="C131" s="40">
        <v>5065</v>
      </c>
      <c r="D131" s="16" t="s">
        <v>290</v>
      </c>
      <c r="E131" s="17" t="s">
        <v>133</v>
      </c>
      <c r="F131" s="18" t="s">
        <v>13</v>
      </c>
      <c r="G131" s="19">
        <v>500</v>
      </c>
      <c r="H131" s="16">
        <v>136</v>
      </c>
      <c r="I131" s="16">
        <v>13</v>
      </c>
      <c r="J131" s="16">
        <v>2.2000000000000002</v>
      </c>
      <c r="K131" s="73">
        <v>1116.1500000000001</v>
      </c>
      <c r="L131" s="75">
        <f t="shared" si="43"/>
        <v>930.12500000000011</v>
      </c>
      <c r="M131" s="77">
        <f t="shared" si="44"/>
        <v>502.26750000000004</v>
      </c>
      <c r="N131" s="77">
        <f t="shared" si="45"/>
        <v>418.55625000000003</v>
      </c>
      <c r="O131" s="76">
        <v>0.55000000000000004</v>
      </c>
    </row>
    <row r="132" spans="1:26" s="41" customFormat="1" ht="50.1" customHeight="1" x14ac:dyDescent="0.25">
      <c r="A132" s="130"/>
      <c r="B132" s="130"/>
      <c r="C132" s="25">
        <v>507</v>
      </c>
      <c r="D132" s="16" t="s">
        <v>290</v>
      </c>
      <c r="E132" s="17" t="s">
        <v>134</v>
      </c>
      <c r="F132" s="18" t="s">
        <v>13</v>
      </c>
      <c r="G132" s="16">
        <v>500</v>
      </c>
      <c r="H132" s="16">
        <v>136</v>
      </c>
      <c r="I132" s="16">
        <v>13.5</v>
      </c>
      <c r="J132" s="16">
        <v>2.7</v>
      </c>
      <c r="K132" s="73">
        <v>794</v>
      </c>
      <c r="L132" s="75">
        <f t="shared" si="43"/>
        <v>661.66666666666674</v>
      </c>
      <c r="M132" s="77">
        <f t="shared" si="44"/>
        <v>357.29999999999995</v>
      </c>
      <c r="N132" s="77">
        <f t="shared" si="45"/>
        <v>297.75</v>
      </c>
      <c r="O132" s="76">
        <v>0.55000000000000004</v>
      </c>
    </row>
    <row r="133" spans="1:26" s="41" customFormat="1" ht="50.1" customHeight="1" x14ac:dyDescent="0.25">
      <c r="A133" s="130"/>
      <c r="B133" s="130"/>
      <c r="C133" s="40">
        <v>5075</v>
      </c>
      <c r="D133" s="16" t="s">
        <v>290</v>
      </c>
      <c r="E133" s="17" t="s">
        <v>135</v>
      </c>
      <c r="F133" s="18" t="s">
        <v>13</v>
      </c>
      <c r="G133" s="19">
        <v>500</v>
      </c>
      <c r="H133" s="16">
        <v>136</v>
      </c>
      <c r="I133" s="16">
        <v>13.5</v>
      </c>
      <c r="J133" s="16">
        <v>2.8</v>
      </c>
      <c r="K133" s="73">
        <v>1116.1500000000001</v>
      </c>
      <c r="L133" s="75">
        <f t="shared" si="43"/>
        <v>930.12500000000011</v>
      </c>
      <c r="M133" s="77">
        <f t="shared" si="44"/>
        <v>558.07500000000005</v>
      </c>
      <c r="N133" s="77">
        <f t="shared" si="45"/>
        <v>465.06250000000006</v>
      </c>
      <c r="O133" s="76">
        <v>0.5</v>
      </c>
    </row>
    <row r="134" spans="1:26" s="41" customFormat="1" ht="50.1" customHeight="1" x14ac:dyDescent="0.25">
      <c r="A134" s="130"/>
      <c r="B134" s="130"/>
      <c r="C134" s="40" t="s">
        <v>136</v>
      </c>
      <c r="D134" s="16" t="s">
        <v>290</v>
      </c>
      <c r="E134" s="17" t="s">
        <v>137</v>
      </c>
      <c r="F134" s="18" t="s">
        <v>13</v>
      </c>
      <c r="G134" s="19">
        <v>500</v>
      </c>
      <c r="H134" s="16">
        <v>155</v>
      </c>
      <c r="I134" s="16">
        <v>17</v>
      </c>
      <c r="J134" s="16">
        <v>3.6</v>
      </c>
      <c r="K134" s="73">
        <v>1116.1500000000001</v>
      </c>
      <c r="L134" s="75">
        <f t="shared" si="43"/>
        <v>930.12500000000011</v>
      </c>
      <c r="M134" s="77">
        <f t="shared" si="44"/>
        <v>558.07500000000005</v>
      </c>
      <c r="N134" s="77">
        <f t="shared" si="45"/>
        <v>465.06250000000006</v>
      </c>
      <c r="O134" s="76">
        <v>0.5</v>
      </c>
    </row>
    <row r="135" spans="1:26" s="41" customFormat="1" ht="50.1" customHeight="1" x14ac:dyDescent="0.25">
      <c r="A135" s="130"/>
      <c r="B135" s="130"/>
      <c r="C135" s="15" t="s">
        <v>138</v>
      </c>
      <c r="D135" s="16" t="s">
        <v>290</v>
      </c>
      <c r="E135" s="17" t="s">
        <v>132</v>
      </c>
      <c r="F135" s="18" t="s">
        <v>13</v>
      </c>
      <c r="G135" s="16">
        <v>500</v>
      </c>
      <c r="H135" s="16">
        <v>136</v>
      </c>
      <c r="I135" s="16">
        <v>13</v>
      </c>
      <c r="J135" s="42">
        <v>2.1</v>
      </c>
      <c r="K135" s="73">
        <v>714</v>
      </c>
      <c r="L135" s="75">
        <f t="shared" si="43"/>
        <v>595</v>
      </c>
      <c r="M135" s="77">
        <f t="shared" si="44"/>
        <v>321.29999999999995</v>
      </c>
      <c r="N135" s="77">
        <f t="shared" si="45"/>
        <v>267.75</v>
      </c>
      <c r="O135" s="76">
        <v>0.55000000000000004</v>
      </c>
    </row>
    <row r="136" spans="1:26" s="41" customFormat="1" ht="50.1" customHeight="1" x14ac:dyDescent="0.25">
      <c r="A136" s="130"/>
      <c r="B136" s="130"/>
      <c r="C136" s="15" t="s">
        <v>139</v>
      </c>
      <c r="D136" s="16" t="s">
        <v>290</v>
      </c>
      <c r="E136" s="17" t="s">
        <v>132</v>
      </c>
      <c r="F136" s="18" t="s">
        <v>13</v>
      </c>
      <c r="G136" s="16">
        <v>500</v>
      </c>
      <c r="H136" s="16">
        <v>136</v>
      </c>
      <c r="I136" s="16">
        <v>13</v>
      </c>
      <c r="J136" s="42">
        <v>2.1</v>
      </c>
      <c r="K136" s="73">
        <v>714</v>
      </c>
      <c r="L136" s="75">
        <f t="shared" si="43"/>
        <v>595</v>
      </c>
      <c r="M136" s="77">
        <f t="shared" si="44"/>
        <v>321.29999999999995</v>
      </c>
      <c r="N136" s="77">
        <f t="shared" si="45"/>
        <v>267.75</v>
      </c>
      <c r="O136" s="76">
        <v>0.55000000000000004</v>
      </c>
    </row>
    <row r="137" spans="1:26" s="41" customFormat="1" ht="50.1" customHeight="1" x14ac:dyDescent="0.25">
      <c r="A137" s="130" t="s">
        <v>341</v>
      </c>
      <c r="B137" s="130"/>
      <c r="C137" s="15" t="s">
        <v>342</v>
      </c>
      <c r="D137" s="16" t="s">
        <v>290</v>
      </c>
      <c r="E137" s="132" t="s">
        <v>343</v>
      </c>
      <c r="F137" s="18" t="s">
        <v>13</v>
      </c>
      <c r="G137" s="19">
        <v>1000</v>
      </c>
      <c r="H137" s="16">
        <v>140</v>
      </c>
      <c r="I137" s="16">
        <v>10</v>
      </c>
      <c r="J137" s="133"/>
      <c r="K137" s="73">
        <v>0</v>
      </c>
      <c r="L137" s="75">
        <v>0</v>
      </c>
      <c r="M137" s="77">
        <f t="shared" si="44"/>
        <v>0</v>
      </c>
      <c r="N137" s="77">
        <f t="shared" si="45"/>
        <v>0</v>
      </c>
      <c r="O137" s="76">
        <v>0.5</v>
      </c>
    </row>
    <row r="138" spans="1:26" s="41" customFormat="1" ht="50.1" customHeight="1" x14ac:dyDescent="0.25">
      <c r="A138" s="130" t="s">
        <v>341</v>
      </c>
      <c r="B138" s="134"/>
      <c r="C138" s="52" t="s">
        <v>344</v>
      </c>
      <c r="D138" s="133" t="s">
        <v>271</v>
      </c>
      <c r="E138" s="135" t="s">
        <v>345</v>
      </c>
      <c r="F138" s="136" t="s">
        <v>13</v>
      </c>
      <c r="G138" s="133">
        <v>1000</v>
      </c>
      <c r="H138" s="133">
        <v>136</v>
      </c>
      <c r="I138" s="133">
        <v>20</v>
      </c>
      <c r="J138" s="133">
        <v>1.6</v>
      </c>
      <c r="K138" s="79">
        <v>0</v>
      </c>
      <c r="L138" s="75">
        <v>0</v>
      </c>
      <c r="M138" s="77">
        <f t="shared" si="44"/>
        <v>0</v>
      </c>
      <c r="N138" s="77">
        <f t="shared" si="45"/>
        <v>0</v>
      </c>
      <c r="O138" s="76">
        <v>0.5</v>
      </c>
    </row>
    <row r="139" spans="1:26" s="43" customFormat="1" ht="15.75" customHeight="1" x14ac:dyDescent="0.25">
      <c r="A139" s="88" t="s">
        <v>346</v>
      </c>
      <c r="B139" s="89"/>
      <c r="C139" s="90"/>
      <c r="D139" s="89"/>
      <c r="E139" s="91"/>
      <c r="F139" s="89"/>
      <c r="G139" s="89"/>
      <c r="H139" s="89"/>
      <c r="I139" s="89"/>
      <c r="J139" s="89"/>
      <c r="K139" s="84"/>
      <c r="L139" s="85"/>
      <c r="M139" s="138"/>
      <c r="N139" s="138"/>
      <c r="O139" s="137"/>
    </row>
    <row r="140" spans="1:26" s="41" customFormat="1" ht="50.1" customHeight="1" x14ac:dyDescent="0.25">
      <c r="A140" s="28"/>
      <c r="B140" s="28"/>
      <c r="C140" s="25">
        <v>103</v>
      </c>
      <c r="D140" s="16"/>
      <c r="E140" s="17" t="s">
        <v>347</v>
      </c>
      <c r="F140" s="18" t="s">
        <v>13</v>
      </c>
      <c r="G140" s="16">
        <v>54</v>
      </c>
      <c r="H140" s="16">
        <v>20</v>
      </c>
      <c r="I140" s="16">
        <v>25</v>
      </c>
      <c r="J140" s="16">
        <v>0.1</v>
      </c>
      <c r="K140" s="94">
        <v>97.92</v>
      </c>
      <c r="L140" s="75">
        <f>K140/1.2</f>
        <v>81.600000000000009</v>
      </c>
      <c r="M140" s="77">
        <f>K140-(K140*O140)</f>
        <v>58.751999999999995</v>
      </c>
      <c r="N140" s="77">
        <f>M140/1.2</f>
        <v>48.96</v>
      </c>
      <c r="O140" s="76">
        <v>0.4</v>
      </c>
    </row>
    <row r="141" spans="1:26" s="43" customFormat="1" ht="15.75" customHeight="1" x14ac:dyDescent="0.25">
      <c r="A141" s="80" t="s">
        <v>348</v>
      </c>
      <c r="B141" s="81"/>
      <c r="C141" s="82"/>
      <c r="D141" s="81"/>
      <c r="E141" s="83"/>
      <c r="F141" s="81"/>
      <c r="G141" s="81"/>
      <c r="H141" s="81"/>
      <c r="I141" s="81"/>
      <c r="J141" s="81"/>
      <c r="K141" s="84"/>
      <c r="L141" s="85"/>
      <c r="M141" s="138"/>
      <c r="N141" s="138"/>
      <c r="O141" s="137"/>
    </row>
    <row r="142" spans="1:26" s="13" customFormat="1" ht="50.1" customHeight="1" x14ac:dyDescent="0.25">
      <c r="A142" s="74" t="s">
        <v>140</v>
      </c>
      <c r="B142" s="74"/>
      <c r="C142" s="45" t="s">
        <v>141</v>
      </c>
      <c r="D142" s="46" t="s">
        <v>271</v>
      </c>
      <c r="E142" s="47" t="s">
        <v>142</v>
      </c>
      <c r="F142" s="48" t="s">
        <v>13</v>
      </c>
      <c r="G142" s="46">
        <v>1000</v>
      </c>
      <c r="H142" s="46">
        <v>146</v>
      </c>
      <c r="I142" s="46">
        <v>84</v>
      </c>
      <c r="J142" s="46" t="s">
        <v>143</v>
      </c>
      <c r="K142" s="75">
        <v>2818.4</v>
      </c>
      <c r="L142" s="75">
        <f t="shared" ref="L142:L146" si="46">K142/1.2</f>
        <v>2348.666666666667</v>
      </c>
      <c r="M142" s="77">
        <f>K142-(K142*O142)</f>
        <v>1268.28</v>
      </c>
      <c r="N142" s="77">
        <f t="shared" ref="N142:N146" si="47">M142/1.2</f>
        <v>1056.9000000000001</v>
      </c>
      <c r="O142" s="76">
        <v>0.55000000000000004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s="43" customFormat="1" ht="50.1" customHeight="1" x14ac:dyDescent="0.25">
      <c r="A143" s="74" t="s">
        <v>140</v>
      </c>
      <c r="B143" s="74"/>
      <c r="C143" s="45" t="s">
        <v>144</v>
      </c>
      <c r="D143" s="46" t="s">
        <v>271</v>
      </c>
      <c r="E143" s="49" t="s">
        <v>145</v>
      </c>
      <c r="F143" s="48" t="s">
        <v>13</v>
      </c>
      <c r="G143" s="46">
        <v>1000</v>
      </c>
      <c r="H143" s="46">
        <v>146</v>
      </c>
      <c r="I143" s="46">
        <v>104</v>
      </c>
      <c r="J143" s="46" t="s">
        <v>146</v>
      </c>
      <c r="K143" s="73">
        <v>2845.7</v>
      </c>
      <c r="L143" s="75">
        <f t="shared" si="46"/>
        <v>2371.4166666666665</v>
      </c>
      <c r="M143" s="77">
        <f>K143-(K143*O143)</f>
        <v>1280.5649999999998</v>
      </c>
      <c r="N143" s="77">
        <f t="shared" si="47"/>
        <v>1067.1374999999998</v>
      </c>
      <c r="O143" s="76">
        <v>0.55000000000000004</v>
      </c>
    </row>
    <row r="144" spans="1:26" s="13" customFormat="1" ht="50.1" customHeight="1" x14ac:dyDescent="0.25">
      <c r="A144" s="74" t="s">
        <v>140</v>
      </c>
      <c r="B144" s="74"/>
      <c r="C144" s="45" t="s">
        <v>147</v>
      </c>
      <c r="D144" s="46" t="s">
        <v>271</v>
      </c>
      <c r="E144" s="47" t="s">
        <v>148</v>
      </c>
      <c r="F144" s="48" t="s">
        <v>13</v>
      </c>
      <c r="G144" s="46">
        <v>1000</v>
      </c>
      <c r="H144" s="46">
        <v>146</v>
      </c>
      <c r="I144" s="46">
        <v>124</v>
      </c>
      <c r="J144" s="46" t="s">
        <v>149</v>
      </c>
      <c r="K144" s="73">
        <v>2999.7</v>
      </c>
      <c r="L144" s="75">
        <f t="shared" si="46"/>
        <v>2499.75</v>
      </c>
      <c r="M144" s="77">
        <f>K144-(K144*O144)</f>
        <v>1349.8649999999998</v>
      </c>
      <c r="N144" s="77">
        <f t="shared" si="47"/>
        <v>1124.8874999999998</v>
      </c>
      <c r="O144" s="76">
        <v>0.55000000000000004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s="12" customFormat="1" ht="50.1" customHeight="1" x14ac:dyDescent="0.25">
      <c r="A145" s="74" t="s">
        <v>140</v>
      </c>
      <c r="B145" s="74"/>
      <c r="C145" s="45" t="s">
        <v>150</v>
      </c>
      <c r="D145" s="46" t="s">
        <v>271</v>
      </c>
      <c r="E145" s="50" t="s">
        <v>151</v>
      </c>
      <c r="F145" s="48" t="s">
        <v>13</v>
      </c>
      <c r="G145" s="46">
        <v>1000</v>
      </c>
      <c r="H145" s="46">
        <v>146</v>
      </c>
      <c r="I145" s="46">
        <v>139</v>
      </c>
      <c r="J145" s="46" t="s">
        <v>152</v>
      </c>
      <c r="K145" s="73">
        <v>2964</v>
      </c>
      <c r="L145" s="75">
        <f t="shared" si="46"/>
        <v>2470</v>
      </c>
      <c r="M145" s="77">
        <f>K145-(K145*O145)</f>
        <v>1333.8</v>
      </c>
      <c r="N145" s="77">
        <f t="shared" si="47"/>
        <v>1111.5</v>
      </c>
      <c r="O145" s="76">
        <v>0.55000000000000004</v>
      </c>
    </row>
    <row r="146" spans="1:26" s="13" customFormat="1" ht="50.1" customHeight="1" x14ac:dyDescent="0.25">
      <c r="A146" s="74" t="s">
        <v>140</v>
      </c>
      <c r="B146" s="74"/>
      <c r="C146" s="45" t="s">
        <v>153</v>
      </c>
      <c r="D146" s="46" t="s">
        <v>271</v>
      </c>
      <c r="E146" s="50" t="s">
        <v>154</v>
      </c>
      <c r="F146" s="48" t="s">
        <v>13</v>
      </c>
      <c r="G146" s="46">
        <v>1000</v>
      </c>
      <c r="H146" s="46">
        <v>146</v>
      </c>
      <c r="I146" s="46">
        <v>189</v>
      </c>
      <c r="J146" s="46" t="s">
        <v>155</v>
      </c>
      <c r="K146" s="79">
        <v>2957.5</v>
      </c>
      <c r="L146" s="75">
        <f t="shared" si="46"/>
        <v>2464.5833333333335</v>
      </c>
      <c r="M146" s="77">
        <f>K146-(K146*O146)</f>
        <v>1330.8749999999998</v>
      </c>
      <c r="N146" s="77">
        <f t="shared" si="47"/>
        <v>1109.0624999999998</v>
      </c>
      <c r="O146" s="76">
        <v>0.55000000000000004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s="12" customFormat="1" ht="15.75" customHeight="1" x14ac:dyDescent="0.25">
      <c r="A147" s="80" t="s">
        <v>349</v>
      </c>
      <c r="B147" s="80"/>
      <c r="C147" s="97"/>
      <c r="D147" s="114"/>
      <c r="E147" s="139"/>
      <c r="F147" s="80"/>
      <c r="G147" s="80"/>
      <c r="H147" s="80"/>
      <c r="I147" s="80"/>
      <c r="J147" s="80"/>
      <c r="K147" s="84"/>
      <c r="L147" s="84"/>
      <c r="M147" s="118"/>
      <c r="N147" s="118"/>
      <c r="O147" s="117"/>
    </row>
    <row r="148" spans="1:26" s="13" customFormat="1" ht="50.1" customHeight="1" x14ac:dyDescent="0.25">
      <c r="A148" s="74" t="s">
        <v>140</v>
      </c>
      <c r="B148" s="74"/>
      <c r="C148" s="45" t="s">
        <v>350</v>
      </c>
      <c r="D148" s="46" t="s">
        <v>271</v>
      </c>
      <c r="E148" s="50" t="s">
        <v>351</v>
      </c>
      <c r="F148" s="48" t="s">
        <v>13</v>
      </c>
      <c r="G148" s="46">
        <v>500</v>
      </c>
      <c r="H148" s="46">
        <v>160</v>
      </c>
      <c r="I148" s="46">
        <v>424</v>
      </c>
      <c r="J148" s="46" t="s">
        <v>352</v>
      </c>
      <c r="K148" s="94">
        <v>4905.25</v>
      </c>
      <c r="L148" s="75">
        <f>K148/1.2</f>
        <v>4087.7083333333335</v>
      </c>
      <c r="M148" s="77">
        <f>K148-(K148*O148)</f>
        <v>2207.3624999999997</v>
      </c>
      <c r="N148" s="77">
        <f>M148/1.2</f>
        <v>1839.4687499999998</v>
      </c>
      <c r="O148" s="76">
        <v>0.55000000000000004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s="12" customFormat="1" ht="15.75" customHeight="1" x14ac:dyDescent="0.25">
      <c r="A149" s="88" t="s">
        <v>353</v>
      </c>
      <c r="B149" s="88"/>
      <c r="C149" s="140"/>
      <c r="D149" s="88"/>
      <c r="E149" s="141"/>
      <c r="F149" s="88"/>
      <c r="G149" s="88"/>
      <c r="H149" s="88"/>
      <c r="I149" s="88"/>
      <c r="J149" s="88"/>
      <c r="K149" s="84"/>
      <c r="L149" s="84"/>
      <c r="M149" s="118"/>
      <c r="N149" s="118"/>
      <c r="O149" s="117"/>
    </row>
    <row r="150" spans="1:26" s="13" customFormat="1" ht="50.1" customHeight="1" x14ac:dyDescent="0.25">
      <c r="A150" s="44" t="s">
        <v>140</v>
      </c>
      <c r="B150" s="44"/>
      <c r="C150" s="45" t="s">
        <v>354</v>
      </c>
      <c r="D150" s="142"/>
      <c r="E150" s="143" t="s">
        <v>355</v>
      </c>
      <c r="F150" s="48" t="s">
        <v>13</v>
      </c>
      <c r="G150" s="46">
        <v>119</v>
      </c>
      <c r="H150" s="46">
        <v>28</v>
      </c>
      <c r="I150" s="46">
        <v>14</v>
      </c>
      <c r="J150" s="46">
        <v>0.02</v>
      </c>
      <c r="K150" s="94">
        <v>137.94999999999999</v>
      </c>
      <c r="L150" s="75">
        <f>K150/1.2</f>
        <v>114.95833333333333</v>
      </c>
      <c r="M150" s="77">
        <f>K150-(K150*O150)</f>
        <v>62.077499999999986</v>
      </c>
      <c r="N150" s="77">
        <f>M150/1.2</f>
        <v>51.731249999999989</v>
      </c>
      <c r="O150" s="76">
        <v>0.55000000000000004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s="12" customFormat="1" ht="15.75" customHeight="1" x14ac:dyDescent="0.25">
      <c r="A151" s="80" t="s">
        <v>356</v>
      </c>
      <c r="B151" s="80"/>
      <c r="C151" s="97"/>
      <c r="D151" s="80"/>
      <c r="E151" s="115"/>
      <c r="F151" s="80"/>
      <c r="G151" s="80"/>
      <c r="H151" s="80"/>
      <c r="I151" s="80"/>
      <c r="J151" s="80"/>
      <c r="K151" s="84"/>
      <c r="L151" s="84"/>
      <c r="M151" s="145"/>
      <c r="N151" s="145"/>
      <c r="O151" s="144"/>
    </row>
    <row r="152" spans="1:26" s="39" customFormat="1" ht="50.1" customHeight="1" collapsed="1" x14ac:dyDescent="0.25">
      <c r="A152" s="70"/>
      <c r="B152" s="70"/>
      <c r="C152" s="25" t="s">
        <v>156</v>
      </c>
      <c r="D152" s="16" t="s">
        <v>290</v>
      </c>
      <c r="E152" s="17" t="s">
        <v>157</v>
      </c>
      <c r="F152" s="18" t="s">
        <v>13</v>
      </c>
      <c r="G152" s="16">
        <v>1000</v>
      </c>
      <c r="H152" s="16">
        <v>146</v>
      </c>
      <c r="I152" s="16">
        <v>80</v>
      </c>
      <c r="J152" s="16">
        <v>1.1000000000000001</v>
      </c>
      <c r="K152" s="75">
        <v>470</v>
      </c>
      <c r="L152" s="75">
        <f t="shared" ref="L152:L154" si="48">K152/1.2</f>
        <v>391.66666666666669</v>
      </c>
      <c r="M152" s="77">
        <f>K152-(K152*O152)</f>
        <v>211.5</v>
      </c>
      <c r="N152" s="77">
        <f t="shared" ref="N152:N154" si="49">M152/1.2</f>
        <v>176.25</v>
      </c>
      <c r="O152" s="76">
        <v>0.55000000000000004</v>
      </c>
    </row>
    <row r="153" spans="1:26" s="39" customFormat="1" ht="50.1" customHeight="1" collapsed="1" x14ac:dyDescent="0.25">
      <c r="A153" s="70"/>
      <c r="B153" s="70"/>
      <c r="C153" s="25" t="s">
        <v>158</v>
      </c>
      <c r="D153" s="16" t="s">
        <v>290</v>
      </c>
      <c r="E153" s="17" t="s">
        <v>159</v>
      </c>
      <c r="F153" s="18" t="s">
        <v>13</v>
      </c>
      <c r="G153" s="16">
        <v>1000</v>
      </c>
      <c r="H153" s="16">
        <v>146</v>
      </c>
      <c r="I153" s="16">
        <v>117</v>
      </c>
      <c r="J153" s="16">
        <v>1.4</v>
      </c>
      <c r="K153" s="73">
        <v>556</v>
      </c>
      <c r="L153" s="75">
        <f t="shared" si="48"/>
        <v>463.33333333333337</v>
      </c>
      <c r="M153" s="77">
        <f>K153-(K153*O153)</f>
        <v>250.2</v>
      </c>
      <c r="N153" s="77">
        <f t="shared" si="49"/>
        <v>208.5</v>
      </c>
      <c r="O153" s="76">
        <v>0.55000000000000004</v>
      </c>
    </row>
    <row r="154" spans="1:26" s="39" customFormat="1" ht="50.1" customHeight="1" collapsed="1" x14ac:dyDescent="0.25">
      <c r="A154" s="70"/>
      <c r="B154" s="70"/>
      <c r="C154" s="25" t="s">
        <v>160</v>
      </c>
      <c r="D154" s="16" t="s">
        <v>290</v>
      </c>
      <c r="E154" s="17" t="s">
        <v>161</v>
      </c>
      <c r="F154" s="18" t="s">
        <v>13</v>
      </c>
      <c r="G154" s="16">
        <v>1000</v>
      </c>
      <c r="H154" s="16">
        <v>146</v>
      </c>
      <c r="I154" s="16">
        <v>152</v>
      </c>
      <c r="J154" s="16">
        <v>1.7</v>
      </c>
      <c r="K154" s="79">
        <v>711.7</v>
      </c>
      <c r="L154" s="75">
        <f t="shared" si="48"/>
        <v>593.08333333333337</v>
      </c>
      <c r="M154" s="77">
        <f>K154-(K154*O154)</f>
        <v>320.26499999999999</v>
      </c>
      <c r="N154" s="77">
        <f t="shared" si="49"/>
        <v>266.88749999999999</v>
      </c>
      <c r="O154" s="76">
        <v>0.55000000000000004</v>
      </c>
    </row>
    <row r="155" spans="1:26" s="12" customFormat="1" ht="15.75" customHeight="1" x14ac:dyDescent="0.25">
      <c r="A155" s="80" t="s">
        <v>357</v>
      </c>
      <c r="B155" s="81"/>
      <c r="C155" s="82"/>
      <c r="D155" s="81"/>
      <c r="E155" s="83"/>
      <c r="F155" s="81"/>
      <c r="G155" s="81"/>
      <c r="H155" s="81"/>
      <c r="I155" s="81"/>
      <c r="J155" s="81"/>
      <c r="K155" s="84"/>
      <c r="L155" s="85"/>
      <c r="M155" s="138"/>
      <c r="N155" s="138"/>
      <c r="O155" s="137"/>
    </row>
    <row r="156" spans="1:26" s="20" customFormat="1" ht="50.1" customHeight="1" x14ac:dyDescent="0.25">
      <c r="A156" s="27"/>
      <c r="B156" s="27"/>
      <c r="C156" s="25">
        <v>509</v>
      </c>
      <c r="D156" s="16" t="s">
        <v>290</v>
      </c>
      <c r="E156" s="17" t="s">
        <v>162</v>
      </c>
      <c r="F156" s="18" t="s">
        <v>13</v>
      </c>
      <c r="G156" s="16">
        <v>500</v>
      </c>
      <c r="H156" s="16">
        <v>138</v>
      </c>
      <c r="I156" s="16">
        <v>21</v>
      </c>
      <c r="J156" s="16">
        <v>1.24</v>
      </c>
      <c r="K156" s="94">
        <v>577</v>
      </c>
      <c r="L156" s="75">
        <f>K156/1.2</f>
        <v>480.83333333333337</v>
      </c>
      <c r="M156" s="77">
        <f>K156-(K156*O156)</f>
        <v>259.64999999999998</v>
      </c>
      <c r="N156" s="77">
        <f>M156/1.2</f>
        <v>216.375</v>
      </c>
      <c r="O156" s="76">
        <v>0.55000000000000004</v>
      </c>
    </row>
    <row r="157" spans="1:26" s="12" customFormat="1" ht="15.75" customHeight="1" x14ac:dyDescent="0.25">
      <c r="A157" s="88" t="s">
        <v>358</v>
      </c>
      <c r="B157" s="89"/>
      <c r="C157" s="90"/>
      <c r="D157" s="89"/>
      <c r="E157" s="91"/>
      <c r="F157" s="89"/>
      <c r="G157" s="89"/>
      <c r="H157" s="89"/>
      <c r="I157" s="89"/>
      <c r="J157" s="89"/>
      <c r="K157" s="84"/>
      <c r="L157" s="85"/>
      <c r="M157" s="138"/>
      <c r="N157" s="138"/>
      <c r="O157" s="137"/>
    </row>
    <row r="158" spans="1:26" s="12" customFormat="1" ht="50.1" customHeight="1" x14ac:dyDescent="0.25">
      <c r="A158" s="14"/>
      <c r="B158" s="14"/>
      <c r="C158" s="25">
        <v>106</v>
      </c>
      <c r="D158" s="16" t="s">
        <v>48</v>
      </c>
      <c r="E158" s="17" t="s">
        <v>359</v>
      </c>
      <c r="F158" s="18" t="s">
        <v>288</v>
      </c>
      <c r="G158" s="16"/>
      <c r="H158" s="16"/>
      <c r="I158" s="16"/>
      <c r="J158" s="16"/>
      <c r="K158" s="94">
        <v>43.89</v>
      </c>
      <c r="L158" s="75">
        <f>K158/1.2</f>
        <v>36.575000000000003</v>
      </c>
      <c r="M158" s="77">
        <f>K158-(K158*O158)</f>
        <v>26.334</v>
      </c>
      <c r="N158" s="77">
        <f>M158/1.2</f>
        <v>21.945</v>
      </c>
      <c r="O158" s="76">
        <v>0.4</v>
      </c>
    </row>
    <row r="159" spans="1:26" s="12" customFormat="1" ht="15.75" customHeight="1" x14ac:dyDescent="0.25">
      <c r="A159" s="80" t="s">
        <v>360</v>
      </c>
      <c r="B159" s="81"/>
      <c r="C159" s="82"/>
      <c r="D159" s="81"/>
      <c r="E159" s="83"/>
      <c r="F159" s="81"/>
      <c r="G159" s="81"/>
      <c r="H159" s="81"/>
      <c r="I159" s="81"/>
      <c r="J159" s="81"/>
      <c r="K159" s="84"/>
      <c r="L159" s="85"/>
      <c r="M159" s="147"/>
      <c r="N159" s="147"/>
      <c r="O159" s="146"/>
    </row>
    <row r="160" spans="1:26" s="20" customFormat="1" ht="50.1" customHeight="1" x14ac:dyDescent="0.25">
      <c r="A160" s="74"/>
      <c r="B160" s="74"/>
      <c r="C160" s="15" t="s">
        <v>163</v>
      </c>
      <c r="D160" s="16" t="s">
        <v>361</v>
      </c>
      <c r="E160" s="17" t="s">
        <v>164</v>
      </c>
      <c r="F160" s="18" t="s">
        <v>13</v>
      </c>
      <c r="G160" s="16">
        <v>1000</v>
      </c>
      <c r="H160" s="16">
        <v>149</v>
      </c>
      <c r="I160" s="16">
        <v>81.5</v>
      </c>
      <c r="J160" s="16">
        <v>3</v>
      </c>
      <c r="K160" s="75">
        <v>1338.52</v>
      </c>
      <c r="L160" s="75">
        <f t="shared" ref="L160:L165" si="50">K160/1.2</f>
        <v>1115.4333333333334</v>
      </c>
      <c r="M160" s="77">
        <f t="shared" ref="M160:M165" si="51">K160-(K160*O160)</f>
        <v>803.11199999999997</v>
      </c>
      <c r="N160" s="77">
        <f t="shared" ref="N160:N165" si="52">M160/1.2</f>
        <v>669.26</v>
      </c>
      <c r="O160" s="76">
        <v>0.4</v>
      </c>
    </row>
    <row r="161" spans="1:26" s="20" customFormat="1" ht="50.1" customHeight="1" x14ac:dyDescent="0.25">
      <c r="A161" s="74"/>
      <c r="B161" s="74"/>
      <c r="C161" s="15" t="s">
        <v>165</v>
      </c>
      <c r="D161" s="16" t="s">
        <v>361</v>
      </c>
      <c r="E161" s="17" t="s">
        <v>166</v>
      </c>
      <c r="F161" s="18" t="s">
        <v>13</v>
      </c>
      <c r="G161" s="16">
        <v>1000</v>
      </c>
      <c r="H161" s="16">
        <v>149</v>
      </c>
      <c r="I161" s="16">
        <v>98.5</v>
      </c>
      <c r="J161" s="16">
        <v>3.2</v>
      </c>
      <c r="K161" s="73">
        <v>1402.3899999999999</v>
      </c>
      <c r="L161" s="75">
        <f t="shared" si="50"/>
        <v>1168.6583333333333</v>
      </c>
      <c r="M161" s="77">
        <f t="shared" si="51"/>
        <v>841.43399999999986</v>
      </c>
      <c r="N161" s="77">
        <f t="shared" si="52"/>
        <v>701.19499999999994</v>
      </c>
      <c r="O161" s="76">
        <v>0.4</v>
      </c>
    </row>
    <row r="162" spans="1:26" s="20" customFormat="1" ht="50.1" customHeight="1" x14ac:dyDescent="0.25">
      <c r="A162" s="74"/>
      <c r="B162" s="74"/>
      <c r="C162" s="15" t="s">
        <v>167</v>
      </c>
      <c r="D162" s="16" t="s">
        <v>361</v>
      </c>
      <c r="E162" s="17" t="s">
        <v>168</v>
      </c>
      <c r="F162" s="18" t="s">
        <v>13</v>
      </c>
      <c r="G162" s="16">
        <v>1000</v>
      </c>
      <c r="H162" s="16">
        <v>149</v>
      </c>
      <c r="I162" s="16">
        <v>118.5</v>
      </c>
      <c r="J162" s="16">
        <v>3.32</v>
      </c>
      <c r="K162" s="73">
        <v>1431.44</v>
      </c>
      <c r="L162" s="75">
        <f t="shared" si="50"/>
        <v>1192.8666666666668</v>
      </c>
      <c r="M162" s="77">
        <f t="shared" si="51"/>
        <v>858.86400000000003</v>
      </c>
      <c r="N162" s="77">
        <f t="shared" si="52"/>
        <v>715.72</v>
      </c>
      <c r="O162" s="76">
        <v>0.4</v>
      </c>
    </row>
    <row r="163" spans="1:26" s="20" customFormat="1" ht="50.1" customHeight="1" x14ac:dyDescent="0.25">
      <c r="A163" s="74"/>
      <c r="B163" s="74"/>
      <c r="C163" s="15" t="s">
        <v>169</v>
      </c>
      <c r="D163" s="16" t="s">
        <v>361</v>
      </c>
      <c r="E163" s="17" t="s">
        <v>170</v>
      </c>
      <c r="F163" s="18" t="s">
        <v>13</v>
      </c>
      <c r="G163" s="16">
        <v>1000</v>
      </c>
      <c r="H163" s="16">
        <v>149</v>
      </c>
      <c r="I163" s="16">
        <v>138.5</v>
      </c>
      <c r="J163" s="16">
        <v>3.46</v>
      </c>
      <c r="K163" s="73">
        <v>1576.63</v>
      </c>
      <c r="L163" s="75">
        <f t="shared" si="50"/>
        <v>1313.8583333333336</v>
      </c>
      <c r="M163" s="77">
        <f t="shared" si="51"/>
        <v>945.97800000000007</v>
      </c>
      <c r="N163" s="77">
        <f t="shared" si="52"/>
        <v>788.31500000000005</v>
      </c>
      <c r="O163" s="76">
        <v>0.4</v>
      </c>
    </row>
    <row r="164" spans="1:26" s="20" customFormat="1" ht="50.1" customHeight="1" x14ac:dyDescent="0.25">
      <c r="A164" s="74"/>
      <c r="B164" s="74"/>
      <c r="C164" s="15" t="s">
        <v>171</v>
      </c>
      <c r="D164" s="16" t="s">
        <v>361</v>
      </c>
      <c r="E164" s="17" t="s">
        <v>172</v>
      </c>
      <c r="F164" s="18" t="s">
        <v>13</v>
      </c>
      <c r="G164" s="16">
        <v>1000</v>
      </c>
      <c r="H164" s="16">
        <v>149</v>
      </c>
      <c r="I164" s="16">
        <v>153.5</v>
      </c>
      <c r="J164" s="16">
        <v>3.59</v>
      </c>
      <c r="K164" s="73">
        <v>1613.2750000000001</v>
      </c>
      <c r="L164" s="75">
        <f t="shared" si="50"/>
        <v>1344.3958333333335</v>
      </c>
      <c r="M164" s="77">
        <f t="shared" si="51"/>
        <v>887.30124999999998</v>
      </c>
      <c r="N164" s="77">
        <f t="shared" si="52"/>
        <v>739.41770833333339</v>
      </c>
      <c r="O164" s="76">
        <v>0.45</v>
      </c>
    </row>
    <row r="165" spans="1:26" s="20" customFormat="1" ht="50.1" customHeight="1" x14ac:dyDescent="0.25">
      <c r="A165" s="74"/>
      <c r="B165" s="74"/>
      <c r="C165" s="15" t="s">
        <v>173</v>
      </c>
      <c r="D165" s="16" t="s">
        <v>361</v>
      </c>
      <c r="E165" s="17" t="s">
        <v>174</v>
      </c>
      <c r="F165" s="18" t="s">
        <v>13</v>
      </c>
      <c r="G165" s="16">
        <v>1000</v>
      </c>
      <c r="H165" s="16">
        <v>149</v>
      </c>
      <c r="I165" s="16">
        <v>203.5</v>
      </c>
      <c r="J165" s="16">
        <v>4.07</v>
      </c>
      <c r="K165" s="79">
        <v>1749.6</v>
      </c>
      <c r="L165" s="75">
        <f t="shared" si="50"/>
        <v>1458</v>
      </c>
      <c r="M165" s="77">
        <f t="shared" si="51"/>
        <v>962.28</v>
      </c>
      <c r="N165" s="77">
        <f t="shared" si="52"/>
        <v>801.9</v>
      </c>
      <c r="O165" s="76">
        <v>0.45</v>
      </c>
    </row>
    <row r="166" spans="1:26" s="12" customFormat="1" ht="15.75" customHeight="1" x14ac:dyDescent="0.25">
      <c r="A166" s="80" t="s">
        <v>362</v>
      </c>
      <c r="B166" s="81"/>
      <c r="C166" s="82"/>
      <c r="D166" s="81"/>
      <c r="E166" s="83"/>
      <c r="F166" s="81"/>
      <c r="G166" s="81"/>
      <c r="H166" s="81"/>
      <c r="I166" s="81"/>
      <c r="J166" s="81"/>
      <c r="K166" s="84"/>
      <c r="L166" s="85"/>
      <c r="M166" s="147"/>
      <c r="N166" s="147"/>
      <c r="O166" s="146"/>
    </row>
    <row r="167" spans="1:26" s="13" customFormat="1" ht="50.1" customHeight="1" x14ac:dyDescent="0.25">
      <c r="A167" s="74"/>
      <c r="B167" s="74"/>
      <c r="C167" s="15" t="s">
        <v>175</v>
      </c>
      <c r="D167" s="16" t="s">
        <v>361</v>
      </c>
      <c r="E167" s="17" t="s">
        <v>176</v>
      </c>
      <c r="F167" s="18" t="s">
        <v>13</v>
      </c>
      <c r="G167" s="16">
        <v>500</v>
      </c>
      <c r="H167" s="16">
        <v>160</v>
      </c>
      <c r="I167" s="16">
        <v>438</v>
      </c>
      <c r="J167" s="16">
        <v>3.75</v>
      </c>
      <c r="K167" s="94">
        <v>3223.36</v>
      </c>
      <c r="L167" s="75">
        <f>K167/1.2</f>
        <v>2686.1333333333337</v>
      </c>
      <c r="M167" s="77">
        <f>K167-(K167*O167)</f>
        <v>1611.68</v>
      </c>
      <c r="N167" s="77">
        <f>M167/1.2</f>
        <v>1343.0666666666668</v>
      </c>
      <c r="O167" s="76">
        <v>0.5</v>
      </c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s="12" customFormat="1" ht="15.75" customHeight="1" x14ac:dyDescent="0.25">
      <c r="A168" s="80" t="s">
        <v>363</v>
      </c>
      <c r="B168" s="81"/>
      <c r="C168" s="82"/>
      <c r="D168" s="81"/>
      <c r="E168" s="83"/>
      <c r="F168" s="81"/>
      <c r="G168" s="81"/>
      <c r="H168" s="81"/>
      <c r="I168" s="81"/>
      <c r="J168" s="81"/>
      <c r="K168" s="84"/>
      <c r="L168" s="85"/>
      <c r="M168" s="138"/>
      <c r="N168" s="138"/>
      <c r="O168" s="137"/>
    </row>
    <row r="169" spans="1:26" s="20" customFormat="1" ht="50.1" customHeight="1" x14ac:dyDescent="0.25">
      <c r="A169" s="27"/>
      <c r="B169" s="27"/>
      <c r="C169" s="25">
        <v>509</v>
      </c>
      <c r="D169" s="16" t="s">
        <v>290</v>
      </c>
      <c r="E169" s="17" t="s">
        <v>162</v>
      </c>
      <c r="F169" s="18" t="s">
        <v>13</v>
      </c>
      <c r="G169" s="16">
        <v>500</v>
      </c>
      <c r="H169" s="16">
        <v>138</v>
      </c>
      <c r="I169" s="16">
        <v>21</v>
      </c>
      <c r="J169" s="16">
        <v>1.24</v>
      </c>
      <c r="K169" s="75">
        <v>577</v>
      </c>
      <c r="L169" s="75">
        <f t="shared" ref="L169:L171" si="53">K169/1.2</f>
        <v>480.83333333333337</v>
      </c>
      <c r="M169" s="77">
        <f>K169-(K169*O169)</f>
        <v>259.64999999999998</v>
      </c>
      <c r="N169" s="77">
        <f t="shared" ref="N169:N171" si="54">M169/1.2</f>
        <v>216.375</v>
      </c>
      <c r="O169" s="76">
        <v>0.55000000000000004</v>
      </c>
    </row>
    <row r="170" spans="1:26" s="20" customFormat="1" ht="50.1" customHeight="1" x14ac:dyDescent="0.25">
      <c r="A170" s="27"/>
      <c r="B170" s="27"/>
      <c r="C170" s="25" t="s">
        <v>177</v>
      </c>
      <c r="D170" s="16" t="s">
        <v>364</v>
      </c>
      <c r="E170" s="17" t="s">
        <v>178</v>
      </c>
      <c r="F170" s="18" t="s">
        <v>13</v>
      </c>
      <c r="G170" s="16">
        <v>500</v>
      </c>
      <c r="H170" s="16">
        <v>140</v>
      </c>
      <c r="I170" s="16">
        <v>21</v>
      </c>
      <c r="J170" s="16">
        <v>4.45</v>
      </c>
      <c r="K170" s="73">
        <v>1116.1500000000001</v>
      </c>
      <c r="L170" s="75">
        <f t="shared" si="53"/>
        <v>930.12500000000011</v>
      </c>
      <c r="M170" s="77">
        <f>K170-(K170*O170)</f>
        <v>558.07500000000005</v>
      </c>
      <c r="N170" s="77">
        <f t="shared" si="54"/>
        <v>465.06250000000006</v>
      </c>
      <c r="O170" s="76">
        <v>0.5</v>
      </c>
    </row>
    <row r="171" spans="1:26" s="20" customFormat="1" ht="50.1" customHeight="1" x14ac:dyDescent="0.25">
      <c r="A171" s="27"/>
      <c r="B171" s="27"/>
      <c r="C171" s="25" t="s">
        <v>179</v>
      </c>
      <c r="D171" s="16" t="s">
        <v>361</v>
      </c>
      <c r="E171" s="17" t="s">
        <v>180</v>
      </c>
      <c r="F171" s="18" t="s">
        <v>13</v>
      </c>
      <c r="G171" s="16">
        <v>500</v>
      </c>
      <c r="H171" s="16">
        <v>140</v>
      </c>
      <c r="I171" s="16">
        <v>21</v>
      </c>
      <c r="J171" s="16">
        <v>4.4000000000000004</v>
      </c>
      <c r="K171" s="79">
        <v>1410.15</v>
      </c>
      <c r="L171" s="75">
        <f t="shared" si="53"/>
        <v>1175.1250000000002</v>
      </c>
      <c r="M171" s="77">
        <f>K171-(K171*O171)</f>
        <v>705.07500000000005</v>
      </c>
      <c r="N171" s="77">
        <f t="shared" si="54"/>
        <v>587.56250000000011</v>
      </c>
      <c r="O171" s="76">
        <v>0.5</v>
      </c>
    </row>
    <row r="172" spans="1:26" s="12" customFormat="1" ht="15.75" customHeight="1" x14ac:dyDescent="0.25">
      <c r="A172" s="88" t="s">
        <v>365</v>
      </c>
      <c r="B172" s="89"/>
      <c r="C172" s="90"/>
      <c r="D172" s="89"/>
      <c r="E172" s="91"/>
      <c r="F172" s="89"/>
      <c r="G172" s="89"/>
      <c r="H172" s="89"/>
      <c r="I172" s="89"/>
      <c r="J172" s="89"/>
      <c r="K172" s="84"/>
      <c r="L172" s="85"/>
      <c r="M172" s="147"/>
      <c r="N172" s="147"/>
      <c r="O172" s="146"/>
    </row>
    <row r="173" spans="1:26" s="13" customFormat="1" ht="50.1" customHeight="1" x14ac:dyDescent="0.25">
      <c r="A173" s="38"/>
      <c r="B173" s="38"/>
      <c r="C173" s="25">
        <v>106</v>
      </c>
      <c r="D173" s="16" t="s">
        <v>48</v>
      </c>
      <c r="E173" s="17" t="s">
        <v>359</v>
      </c>
      <c r="F173" s="18" t="s">
        <v>288</v>
      </c>
      <c r="G173" s="16"/>
      <c r="H173" s="16"/>
      <c r="I173" s="16"/>
      <c r="J173" s="16"/>
      <c r="K173" s="94">
        <v>43.89</v>
      </c>
      <c r="L173" s="75">
        <f>K173/1.2</f>
        <v>36.575000000000003</v>
      </c>
      <c r="M173" s="77">
        <f>K173-(K173*O173)</f>
        <v>26.334</v>
      </c>
      <c r="N173" s="77">
        <f>M173/1.2</f>
        <v>21.945</v>
      </c>
      <c r="O173" s="76">
        <v>0.4</v>
      </c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s="12" customFormat="1" ht="15.75" customHeight="1" x14ac:dyDescent="0.25">
      <c r="A174" s="80" t="s">
        <v>366</v>
      </c>
      <c r="B174" s="81"/>
      <c r="C174" s="148"/>
      <c r="D174" s="149"/>
      <c r="E174" s="83"/>
      <c r="F174" s="149"/>
      <c r="G174" s="149"/>
      <c r="H174" s="149"/>
      <c r="I174" s="149"/>
      <c r="J174" s="149"/>
      <c r="K174" s="150"/>
      <c r="L174" s="151"/>
      <c r="M174" s="138"/>
      <c r="N174" s="138"/>
      <c r="O174" s="137"/>
    </row>
    <row r="175" spans="1:26" s="12" customFormat="1" ht="15.75" customHeight="1" x14ac:dyDescent="0.25">
      <c r="A175" s="88" t="s">
        <v>367</v>
      </c>
      <c r="B175" s="88"/>
      <c r="C175" s="140"/>
      <c r="D175" s="88"/>
      <c r="E175" s="141"/>
      <c r="F175" s="88"/>
      <c r="G175" s="88"/>
      <c r="H175" s="88"/>
      <c r="I175" s="88"/>
      <c r="J175" s="88"/>
      <c r="K175" s="84"/>
      <c r="L175" s="84"/>
      <c r="M175" s="145"/>
      <c r="N175" s="145"/>
      <c r="O175" s="144"/>
    </row>
    <row r="176" spans="1:26" s="20" customFormat="1" ht="50.1" customHeight="1" x14ac:dyDescent="0.25">
      <c r="A176" s="27"/>
      <c r="B176" s="27"/>
      <c r="C176" s="25">
        <v>815</v>
      </c>
      <c r="D176" s="16" t="s">
        <v>290</v>
      </c>
      <c r="E176" s="17" t="s">
        <v>181</v>
      </c>
      <c r="F176" s="18" t="s">
        <v>123</v>
      </c>
      <c r="G176" s="19">
        <v>1000</v>
      </c>
      <c r="H176" s="16">
        <v>196</v>
      </c>
      <c r="I176" s="16">
        <v>100</v>
      </c>
      <c r="J176" s="16">
        <v>1.59</v>
      </c>
      <c r="K176" s="75">
        <v>796</v>
      </c>
      <c r="L176" s="75">
        <f t="shared" ref="L176:L177" si="55">K176/1.2</f>
        <v>663.33333333333337</v>
      </c>
      <c r="M176" s="77">
        <f>K176-(K176*O176)</f>
        <v>358.2</v>
      </c>
      <c r="N176" s="77">
        <f t="shared" ref="N176:N177" si="56">M176/1.2</f>
        <v>298.5</v>
      </c>
      <c r="O176" s="76">
        <v>0.55000000000000004</v>
      </c>
    </row>
    <row r="177" spans="1:26" s="51" customFormat="1" ht="50.1" customHeight="1" x14ac:dyDescent="0.25">
      <c r="A177" s="27"/>
      <c r="B177" s="27"/>
      <c r="C177" s="25">
        <v>816</v>
      </c>
      <c r="D177" s="16" t="s">
        <v>290</v>
      </c>
      <c r="E177" s="17" t="s">
        <v>182</v>
      </c>
      <c r="F177" s="18" t="s">
        <v>123</v>
      </c>
      <c r="G177" s="19">
        <v>1000</v>
      </c>
      <c r="H177" s="16">
        <v>196</v>
      </c>
      <c r="I177" s="16">
        <v>185</v>
      </c>
      <c r="J177" s="16">
        <v>2.41</v>
      </c>
      <c r="K177" s="79">
        <v>897</v>
      </c>
      <c r="L177" s="75">
        <f t="shared" si="55"/>
        <v>747.5</v>
      </c>
      <c r="M177" s="77">
        <f>K177-(K177*O177)</f>
        <v>403.65</v>
      </c>
      <c r="N177" s="77">
        <f t="shared" si="56"/>
        <v>336.375</v>
      </c>
      <c r="O177" s="76">
        <v>0.55000000000000004</v>
      </c>
    </row>
    <row r="178" spans="1:26" s="152" customFormat="1" ht="15.75" customHeight="1" x14ac:dyDescent="0.25">
      <c r="A178" s="88" t="s">
        <v>368</v>
      </c>
      <c r="B178" s="89"/>
      <c r="C178" s="90"/>
      <c r="D178" s="89"/>
      <c r="E178" s="91"/>
      <c r="F178" s="89"/>
      <c r="G178" s="89"/>
      <c r="H178" s="89"/>
      <c r="I178" s="89"/>
      <c r="J178" s="89"/>
      <c r="K178" s="84"/>
      <c r="L178" s="85"/>
      <c r="M178" s="138"/>
      <c r="N178" s="138"/>
      <c r="O178" s="137"/>
    </row>
    <row r="179" spans="1:26" s="20" customFormat="1" ht="50.1" customHeight="1" x14ac:dyDescent="0.25">
      <c r="A179" s="27"/>
      <c r="B179" s="27"/>
      <c r="C179" s="25">
        <v>8154</v>
      </c>
      <c r="D179" s="16" t="s">
        <v>290</v>
      </c>
      <c r="E179" s="17" t="s">
        <v>183</v>
      </c>
      <c r="F179" s="18" t="s">
        <v>123</v>
      </c>
      <c r="G179" s="19">
        <v>1000</v>
      </c>
      <c r="H179" s="16">
        <v>198</v>
      </c>
      <c r="I179" s="16">
        <v>102</v>
      </c>
      <c r="J179" s="16">
        <v>2.77</v>
      </c>
      <c r="K179" s="75">
        <v>1351.38</v>
      </c>
      <c r="L179" s="75">
        <f t="shared" ref="L179:L180" si="57">K179/1.2</f>
        <v>1126.1500000000001</v>
      </c>
      <c r="M179" s="77">
        <f>K179-(K179*O179)</f>
        <v>608.12099999999998</v>
      </c>
      <c r="N179" s="77">
        <f t="shared" ref="N179:N180" si="58">M179/1.2</f>
        <v>506.76749999999998</v>
      </c>
      <c r="O179" s="76">
        <v>0.55000000000000004</v>
      </c>
    </row>
    <row r="180" spans="1:26" s="20" customFormat="1" ht="50.1" customHeight="1" x14ac:dyDescent="0.25">
      <c r="A180" s="27"/>
      <c r="B180" s="27"/>
      <c r="C180" s="25">
        <v>8164</v>
      </c>
      <c r="D180" s="16" t="s">
        <v>290</v>
      </c>
      <c r="E180" s="17" t="s">
        <v>184</v>
      </c>
      <c r="F180" s="18" t="s">
        <v>123</v>
      </c>
      <c r="G180" s="19">
        <v>1000</v>
      </c>
      <c r="H180" s="16">
        <v>198</v>
      </c>
      <c r="I180" s="16">
        <v>187</v>
      </c>
      <c r="J180" s="16">
        <v>3.6</v>
      </c>
      <c r="K180" s="79">
        <v>1445.4</v>
      </c>
      <c r="L180" s="75">
        <f t="shared" si="57"/>
        <v>1204.5000000000002</v>
      </c>
      <c r="M180" s="77">
        <f>K180-(K180*O180)</f>
        <v>650.42999999999995</v>
      </c>
      <c r="N180" s="77">
        <f t="shared" si="58"/>
        <v>542.02499999999998</v>
      </c>
      <c r="O180" s="76">
        <v>0.55000000000000004</v>
      </c>
    </row>
    <row r="181" spans="1:26" s="12" customFormat="1" ht="15.75" customHeight="1" x14ac:dyDescent="0.25">
      <c r="A181" s="88" t="s">
        <v>369</v>
      </c>
      <c r="B181" s="89"/>
      <c r="C181" s="90"/>
      <c r="D181" s="89"/>
      <c r="E181" s="91"/>
      <c r="F181" s="89"/>
      <c r="G181" s="89"/>
      <c r="H181" s="89"/>
      <c r="I181" s="89"/>
      <c r="J181" s="89"/>
      <c r="K181" s="84"/>
      <c r="L181" s="85"/>
      <c r="M181" s="138"/>
      <c r="N181" s="138"/>
      <c r="O181" s="137"/>
    </row>
    <row r="182" spans="1:26" s="12" customFormat="1" ht="50.1" customHeight="1" x14ac:dyDescent="0.25">
      <c r="A182" s="153"/>
      <c r="B182" s="153"/>
      <c r="C182" s="25">
        <v>118</v>
      </c>
      <c r="D182" s="16" t="s">
        <v>48</v>
      </c>
      <c r="E182" s="17" t="s">
        <v>370</v>
      </c>
      <c r="F182" s="18" t="s">
        <v>123</v>
      </c>
      <c r="G182" s="16">
        <v>176</v>
      </c>
      <c r="H182" s="16">
        <v>28</v>
      </c>
      <c r="I182" s="16">
        <v>15</v>
      </c>
      <c r="J182" s="16">
        <v>0.06</v>
      </c>
      <c r="K182" s="75">
        <v>110.21</v>
      </c>
      <c r="L182" s="75">
        <f t="shared" ref="L182:L184" si="59">K182/1.2</f>
        <v>91.841666666666669</v>
      </c>
      <c r="M182" s="77">
        <f>K182-(K182*O182)</f>
        <v>49.594499999999989</v>
      </c>
      <c r="N182" s="77">
        <f t="shared" ref="N182:N184" si="60">M182/1.2</f>
        <v>41.328749999999992</v>
      </c>
      <c r="O182" s="76">
        <v>0.55000000000000004</v>
      </c>
    </row>
    <row r="183" spans="1:26" s="13" customFormat="1" ht="50.1" customHeight="1" x14ac:dyDescent="0.25">
      <c r="A183" s="74"/>
      <c r="B183" s="74"/>
      <c r="C183" s="25" t="s">
        <v>371</v>
      </c>
      <c r="D183" s="16"/>
      <c r="E183" s="17" t="s">
        <v>372</v>
      </c>
      <c r="F183" s="18" t="s">
        <v>123</v>
      </c>
      <c r="G183" s="16">
        <v>176</v>
      </c>
      <c r="H183" s="16">
        <v>28</v>
      </c>
      <c r="I183" s="16">
        <v>15</v>
      </c>
      <c r="J183" s="16">
        <v>0.12</v>
      </c>
      <c r="K183" s="73">
        <v>171.95489999999998</v>
      </c>
      <c r="L183" s="75">
        <f t="shared" si="59"/>
        <v>143.29575</v>
      </c>
      <c r="M183" s="77">
        <f>K183-(K183*O183)</f>
        <v>85.97744999999999</v>
      </c>
      <c r="N183" s="77">
        <f t="shared" si="60"/>
        <v>71.647874999999999</v>
      </c>
      <c r="O183" s="76">
        <v>0.5</v>
      </c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s="12" customFormat="1" ht="50.1" customHeight="1" x14ac:dyDescent="0.25">
      <c r="A184" s="14"/>
      <c r="B184" s="14"/>
      <c r="C184" s="25">
        <v>18151</v>
      </c>
      <c r="D184" s="16" t="s">
        <v>48</v>
      </c>
      <c r="E184" s="17" t="s">
        <v>373</v>
      </c>
      <c r="F184" s="18" t="s">
        <v>123</v>
      </c>
      <c r="G184" s="16">
        <v>202</v>
      </c>
      <c r="H184" s="16">
        <v>4</v>
      </c>
      <c r="I184" s="16">
        <v>235</v>
      </c>
      <c r="J184" s="16">
        <v>0.17</v>
      </c>
      <c r="K184" s="79">
        <v>185.85</v>
      </c>
      <c r="L184" s="75">
        <f t="shared" si="59"/>
        <v>154.875</v>
      </c>
      <c r="M184" s="77">
        <f>K184-(K184*O184)</f>
        <v>83.632499999999993</v>
      </c>
      <c r="N184" s="77">
        <f t="shared" si="60"/>
        <v>69.693749999999994</v>
      </c>
      <c r="O184" s="76">
        <v>0.55000000000000004</v>
      </c>
    </row>
    <row r="185" spans="1:26" s="12" customFormat="1" ht="15.75" customHeight="1" x14ac:dyDescent="0.25">
      <c r="A185" s="80" t="s">
        <v>374</v>
      </c>
      <c r="B185" s="81"/>
      <c r="C185" s="82"/>
      <c r="D185" s="81"/>
      <c r="E185" s="83"/>
      <c r="F185" s="81"/>
      <c r="G185" s="81"/>
      <c r="H185" s="81"/>
      <c r="I185" s="81"/>
      <c r="J185" s="81"/>
      <c r="K185" s="84"/>
      <c r="L185" s="85"/>
      <c r="M185" s="138"/>
      <c r="N185" s="138"/>
      <c r="O185" s="137"/>
    </row>
    <row r="186" spans="1:26" s="20" customFormat="1" ht="50.1" customHeight="1" x14ac:dyDescent="0.25">
      <c r="A186" s="74"/>
      <c r="B186" s="74"/>
      <c r="C186" s="25">
        <v>518</v>
      </c>
      <c r="D186" s="16" t="s">
        <v>271</v>
      </c>
      <c r="E186" s="17" t="s">
        <v>185</v>
      </c>
      <c r="F186" s="18" t="s">
        <v>123</v>
      </c>
      <c r="G186" s="16">
        <v>1000</v>
      </c>
      <c r="H186" s="16">
        <v>186</v>
      </c>
      <c r="I186" s="16">
        <v>15</v>
      </c>
      <c r="J186" s="16">
        <v>2.9</v>
      </c>
      <c r="K186" s="75">
        <v>1384.68</v>
      </c>
      <c r="L186" s="75">
        <f t="shared" ref="L186:L189" si="61">K186/1.2</f>
        <v>1153.9000000000001</v>
      </c>
      <c r="M186" s="77">
        <f>K186-(K186*O186)</f>
        <v>623.10599999999999</v>
      </c>
      <c r="N186" s="77">
        <f t="shared" ref="N186:N189" si="62">M186/1.2</f>
        <v>519.255</v>
      </c>
      <c r="O186" s="76">
        <v>0.55000000000000004</v>
      </c>
    </row>
    <row r="187" spans="1:26" s="20" customFormat="1" ht="50.1" customHeight="1" x14ac:dyDescent="0.25">
      <c r="A187" s="74"/>
      <c r="B187" s="74"/>
      <c r="C187" s="25">
        <v>511</v>
      </c>
      <c r="D187" s="16" t="s">
        <v>275</v>
      </c>
      <c r="E187" s="17" t="s">
        <v>186</v>
      </c>
      <c r="F187" s="18" t="s">
        <v>123</v>
      </c>
      <c r="G187" s="16">
        <v>1000</v>
      </c>
      <c r="H187" s="16">
        <v>187</v>
      </c>
      <c r="I187" s="16">
        <v>22</v>
      </c>
      <c r="J187" s="16">
        <v>4.8</v>
      </c>
      <c r="K187" s="73">
        <v>2997.0236999999997</v>
      </c>
      <c r="L187" s="75">
        <f t="shared" si="61"/>
        <v>2497.5197499999999</v>
      </c>
      <c r="M187" s="77">
        <f>K187-(K187*O187)</f>
        <v>1348.6606649999997</v>
      </c>
      <c r="N187" s="77">
        <f t="shared" si="62"/>
        <v>1123.8838874999997</v>
      </c>
      <c r="O187" s="76">
        <v>0.55000000000000004</v>
      </c>
    </row>
    <row r="188" spans="1:26" s="20" customFormat="1" ht="50.1" customHeight="1" x14ac:dyDescent="0.25">
      <c r="A188" s="27"/>
      <c r="B188" s="27"/>
      <c r="C188" s="25">
        <v>516</v>
      </c>
      <c r="D188" s="16" t="s">
        <v>290</v>
      </c>
      <c r="E188" s="17" t="s">
        <v>187</v>
      </c>
      <c r="F188" s="18" t="s">
        <v>123</v>
      </c>
      <c r="G188" s="16">
        <v>500</v>
      </c>
      <c r="H188" s="16">
        <v>186</v>
      </c>
      <c r="I188" s="16">
        <v>23</v>
      </c>
      <c r="J188" s="16">
        <v>3.54</v>
      </c>
      <c r="K188" s="73">
        <v>1457.4</v>
      </c>
      <c r="L188" s="75">
        <f t="shared" si="61"/>
        <v>1214.5000000000002</v>
      </c>
      <c r="M188" s="77">
        <f>K188-(K188*O188)</f>
        <v>655.82999999999993</v>
      </c>
      <c r="N188" s="77">
        <f t="shared" si="62"/>
        <v>546.52499999999998</v>
      </c>
      <c r="O188" s="76">
        <v>0.55000000000000004</v>
      </c>
    </row>
    <row r="189" spans="1:26" s="20" customFormat="1" ht="50.1" customHeight="1" x14ac:dyDescent="0.25">
      <c r="A189" s="27"/>
      <c r="B189" s="27"/>
      <c r="C189" s="25">
        <v>517</v>
      </c>
      <c r="D189" s="16" t="s">
        <v>290</v>
      </c>
      <c r="E189" s="17" t="s">
        <v>188</v>
      </c>
      <c r="F189" s="18" t="s">
        <v>123</v>
      </c>
      <c r="G189" s="16">
        <v>500</v>
      </c>
      <c r="H189" s="16">
        <v>186</v>
      </c>
      <c r="I189" s="16">
        <v>23</v>
      </c>
      <c r="J189" s="16">
        <v>3.9</v>
      </c>
      <c r="K189" s="79">
        <v>1457.4</v>
      </c>
      <c r="L189" s="75">
        <f t="shared" si="61"/>
        <v>1214.5000000000002</v>
      </c>
      <c r="M189" s="77">
        <f>K189-(K189*O189)</f>
        <v>655.82999999999993</v>
      </c>
      <c r="N189" s="77">
        <f t="shared" si="62"/>
        <v>546.52499999999998</v>
      </c>
      <c r="O189" s="76">
        <v>0.55000000000000004</v>
      </c>
    </row>
    <row r="190" spans="1:26" s="12" customFormat="1" ht="15.75" customHeight="1" x14ac:dyDescent="0.25">
      <c r="A190" s="80" t="s">
        <v>375</v>
      </c>
      <c r="B190" s="81"/>
      <c r="C190" s="82"/>
      <c r="D190" s="81"/>
      <c r="E190" s="83"/>
      <c r="F190" s="81"/>
      <c r="G190" s="81"/>
      <c r="H190" s="81"/>
      <c r="I190" s="81"/>
      <c r="J190" s="81"/>
      <c r="K190" s="150"/>
      <c r="L190" s="151"/>
      <c r="M190" s="138"/>
      <c r="N190" s="138"/>
      <c r="O190" s="137"/>
    </row>
    <row r="191" spans="1:26" s="20" customFormat="1" ht="50.1" customHeight="1" collapsed="1" x14ac:dyDescent="0.25">
      <c r="A191" s="27"/>
      <c r="B191" s="27"/>
      <c r="C191" s="25" t="s">
        <v>189</v>
      </c>
      <c r="D191" s="16" t="s">
        <v>290</v>
      </c>
      <c r="E191" s="17" t="s">
        <v>190</v>
      </c>
      <c r="F191" s="18" t="s">
        <v>123</v>
      </c>
      <c r="G191" s="19">
        <v>1000</v>
      </c>
      <c r="H191" s="16">
        <v>196</v>
      </c>
      <c r="I191" s="16">
        <v>117</v>
      </c>
      <c r="J191" s="16">
        <v>1.86</v>
      </c>
      <c r="K191" s="106">
        <v>1052</v>
      </c>
      <c r="L191" s="75">
        <f>K191/1.2</f>
        <v>876.66666666666674</v>
      </c>
      <c r="M191" s="77">
        <f>K191-(K191*O191)</f>
        <v>473.4</v>
      </c>
      <c r="N191" s="77">
        <f>M191/1.2</f>
        <v>394.5</v>
      </c>
      <c r="O191" s="76">
        <v>0.55000000000000004</v>
      </c>
    </row>
    <row r="192" spans="1:26" s="12" customFormat="1" ht="15.75" customHeight="1" x14ac:dyDescent="0.25">
      <c r="A192" s="80" t="s">
        <v>376</v>
      </c>
      <c r="B192" s="81"/>
      <c r="C192" s="82"/>
      <c r="D192" s="81"/>
      <c r="E192" s="83"/>
      <c r="F192" s="81"/>
      <c r="G192" s="81"/>
      <c r="H192" s="81"/>
      <c r="I192" s="81"/>
      <c r="J192" s="81"/>
      <c r="K192" s="150"/>
      <c r="L192" s="151"/>
      <c r="M192" s="138"/>
      <c r="N192" s="138"/>
      <c r="O192" s="137"/>
    </row>
    <row r="193" spans="1:26" s="20" customFormat="1" ht="50.1" customHeight="1" x14ac:dyDescent="0.25">
      <c r="A193" s="27"/>
      <c r="B193" s="27"/>
      <c r="C193" s="25">
        <v>512</v>
      </c>
      <c r="D193" s="16" t="s">
        <v>290</v>
      </c>
      <c r="E193" s="17" t="s">
        <v>191</v>
      </c>
      <c r="F193" s="18" t="s">
        <v>123</v>
      </c>
      <c r="G193" s="16">
        <v>500</v>
      </c>
      <c r="H193" s="16">
        <v>188</v>
      </c>
      <c r="I193" s="16">
        <v>21</v>
      </c>
      <c r="J193" s="16">
        <v>2.0699999999999998</v>
      </c>
      <c r="K193" s="106">
        <v>919</v>
      </c>
      <c r="L193" s="75">
        <f>K193/1.2</f>
        <v>765.83333333333337</v>
      </c>
      <c r="M193" s="77">
        <f>K193-(K193*O193)</f>
        <v>413.54999999999995</v>
      </c>
      <c r="N193" s="77">
        <f>M193/1.2</f>
        <v>344.625</v>
      </c>
      <c r="O193" s="76">
        <v>0.55000000000000004</v>
      </c>
    </row>
    <row r="194" spans="1:26" s="13" customFormat="1" ht="15.75" customHeight="1" x14ac:dyDescent="0.25">
      <c r="A194" s="88" t="s">
        <v>377</v>
      </c>
      <c r="B194" s="89"/>
      <c r="C194" s="90"/>
      <c r="D194" s="89"/>
      <c r="E194" s="91"/>
      <c r="F194" s="89"/>
      <c r="G194" s="89"/>
      <c r="H194" s="89"/>
      <c r="I194" s="89"/>
      <c r="J194" s="89"/>
      <c r="K194" s="150"/>
      <c r="L194" s="151"/>
      <c r="M194" s="138"/>
      <c r="N194" s="138"/>
      <c r="O194" s="137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s="12" customFormat="1" ht="50.1" customHeight="1" x14ac:dyDescent="0.25">
      <c r="A195" s="14"/>
      <c r="B195" s="14"/>
      <c r="C195" s="25">
        <v>106</v>
      </c>
      <c r="D195" s="16" t="s">
        <v>48</v>
      </c>
      <c r="E195" s="17" t="s">
        <v>359</v>
      </c>
      <c r="F195" s="18" t="s">
        <v>288</v>
      </c>
      <c r="G195" s="16"/>
      <c r="H195" s="16"/>
      <c r="I195" s="16"/>
      <c r="J195" s="16"/>
      <c r="K195" s="106">
        <v>43.89</v>
      </c>
      <c r="L195" s="75">
        <f>K195/1.2</f>
        <v>36.575000000000003</v>
      </c>
      <c r="M195" s="77">
        <f>K195-(K195*O195)</f>
        <v>26.334</v>
      </c>
      <c r="N195" s="77">
        <f>M195/1.2</f>
        <v>21.945</v>
      </c>
      <c r="O195" s="76">
        <v>0.4</v>
      </c>
    </row>
    <row r="196" spans="1:26" s="12" customFormat="1" ht="15.75" customHeight="1" x14ac:dyDescent="0.25">
      <c r="A196" s="80" t="s">
        <v>378</v>
      </c>
      <c r="B196" s="81"/>
      <c r="C196" s="82"/>
      <c r="D196" s="81"/>
      <c r="E196" s="83"/>
      <c r="F196" s="81"/>
      <c r="G196" s="81"/>
      <c r="H196" s="81"/>
      <c r="I196" s="81"/>
      <c r="J196" s="81"/>
      <c r="K196" s="150"/>
      <c r="L196" s="151"/>
      <c r="M196" s="147"/>
      <c r="N196" s="147"/>
      <c r="O196" s="146"/>
    </row>
    <row r="197" spans="1:26" s="20" customFormat="1" ht="50.1" customHeight="1" x14ac:dyDescent="0.25">
      <c r="A197" s="74"/>
      <c r="B197" s="74"/>
      <c r="C197" s="15" t="s">
        <v>192</v>
      </c>
      <c r="D197" s="16" t="s">
        <v>361</v>
      </c>
      <c r="E197" s="17" t="s">
        <v>193</v>
      </c>
      <c r="F197" s="18" t="s">
        <v>123</v>
      </c>
      <c r="G197" s="16">
        <v>1000</v>
      </c>
      <c r="H197" s="16">
        <v>199</v>
      </c>
      <c r="I197" s="16">
        <v>118.5</v>
      </c>
      <c r="J197" s="16">
        <v>3.8</v>
      </c>
      <c r="K197" s="75">
        <v>2071.0949999999998</v>
      </c>
      <c r="L197" s="75">
        <f t="shared" ref="L197:L198" si="63">K197/1.2</f>
        <v>1725.9124999999999</v>
      </c>
      <c r="M197" s="77">
        <f>K197-(K197*O197)</f>
        <v>931.99274999999989</v>
      </c>
      <c r="N197" s="77">
        <f t="shared" ref="N197:N198" si="64">M197/1.2</f>
        <v>776.66062499999998</v>
      </c>
      <c r="O197" s="76">
        <v>0.55000000000000004</v>
      </c>
    </row>
    <row r="198" spans="1:26" s="20" customFormat="1" ht="50.1" customHeight="1" x14ac:dyDescent="0.25">
      <c r="A198" s="74"/>
      <c r="B198" s="74"/>
      <c r="C198" s="15" t="s">
        <v>194</v>
      </c>
      <c r="D198" s="16" t="s">
        <v>361</v>
      </c>
      <c r="E198" s="17" t="s">
        <v>195</v>
      </c>
      <c r="F198" s="18" t="s">
        <v>123</v>
      </c>
      <c r="G198" s="16">
        <v>1000</v>
      </c>
      <c r="H198" s="16">
        <v>199</v>
      </c>
      <c r="I198" s="16">
        <v>203.5</v>
      </c>
      <c r="J198" s="16">
        <v>4.5</v>
      </c>
      <c r="K198" s="95">
        <v>2134.1550000000002</v>
      </c>
      <c r="L198" s="75">
        <f t="shared" si="63"/>
        <v>1778.4625000000003</v>
      </c>
      <c r="M198" s="77">
        <f>K198-(K198*O198)</f>
        <v>960.36975000000007</v>
      </c>
      <c r="N198" s="77">
        <f t="shared" si="64"/>
        <v>800.30812500000013</v>
      </c>
      <c r="O198" s="76">
        <v>0.55000000000000004</v>
      </c>
    </row>
    <row r="199" spans="1:26" s="12" customFormat="1" ht="15.75" customHeight="1" x14ac:dyDescent="0.25">
      <c r="A199" s="80" t="s">
        <v>379</v>
      </c>
      <c r="B199" s="81"/>
      <c r="C199" s="82"/>
      <c r="D199" s="81"/>
      <c r="E199" s="83"/>
      <c r="F199" s="81"/>
      <c r="G199" s="81"/>
      <c r="H199" s="81"/>
      <c r="I199" s="81"/>
      <c r="J199" s="81"/>
      <c r="K199" s="150"/>
      <c r="L199" s="151"/>
      <c r="M199" s="138"/>
      <c r="N199" s="138"/>
      <c r="O199" s="137"/>
    </row>
    <row r="200" spans="1:26" s="20" customFormat="1" ht="50.1" customHeight="1" x14ac:dyDescent="0.25">
      <c r="A200" s="27"/>
      <c r="B200" s="27"/>
      <c r="C200" s="25">
        <v>512</v>
      </c>
      <c r="D200" s="16" t="s">
        <v>290</v>
      </c>
      <c r="E200" s="17" t="s">
        <v>191</v>
      </c>
      <c r="F200" s="18" t="s">
        <v>123</v>
      </c>
      <c r="G200" s="16">
        <v>500</v>
      </c>
      <c r="H200" s="16">
        <v>188</v>
      </c>
      <c r="I200" s="16">
        <v>21</v>
      </c>
      <c r="J200" s="16">
        <v>2.0699999999999998</v>
      </c>
      <c r="K200" s="75">
        <v>919</v>
      </c>
      <c r="L200" s="75">
        <f t="shared" ref="L200:L202" si="65">K200/1.2</f>
        <v>765.83333333333337</v>
      </c>
      <c r="M200" s="77">
        <f>K200-(K200*O200)</f>
        <v>413.54999999999995</v>
      </c>
      <c r="N200" s="77">
        <f t="shared" ref="N200:N202" si="66">M200/1.2</f>
        <v>344.625</v>
      </c>
      <c r="O200" s="76">
        <v>0.55000000000000004</v>
      </c>
    </row>
    <row r="201" spans="1:26" s="20" customFormat="1" ht="50.1" customHeight="1" x14ac:dyDescent="0.25">
      <c r="A201" s="27"/>
      <c r="B201" s="27"/>
      <c r="C201" s="25" t="s">
        <v>196</v>
      </c>
      <c r="D201" s="16" t="s">
        <v>364</v>
      </c>
      <c r="E201" s="17" t="s">
        <v>197</v>
      </c>
      <c r="F201" s="18" t="s">
        <v>123</v>
      </c>
      <c r="G201" s="16">
        <v>500</v>
      </c>
      <c r="H201" s="16">
        <v>190</v>
      </c>
      <c r="I201" s="16">
        <v>21</v>
      </c>
      <c r="J201" s="16">
        <v>6.4</v>
      </c>
      <c r="K201" s="73">
        <v>1879.5</v>
      </c>
      <c r="L201" s="75">
        <f t="shared" si="65"/>
        <v>1566.25</v>
      </c>
      <c r="M201" s="77">
        <f>K201-(K201*O201)</f>
        <v>939.75</v>
      </c>
      <c r="N201" s="77">
        <f t="shared" si="66"/>
        <v>783.125</v>
      </c>
      <c r="O201" s="76">
        <v>0.5</v>
      </c>
    </row>
    <row r="202" spans="1:26" s="20" customFormat="1" ht="50.1" customHeight="1" x14ac:dyDescent="0.25">
      <c r="A202" s="27"/>
      <c r="B202" s="27"/>
      <c r="C202" s="25" t="s">
        <v>198</v>
      </c>
      <c r="D202" s="16" t="s">
        <v>361</v>
      </c>
      <c r="E202" s="17" t="s">
        <v>197</v>
      </c>
      <c r="F202" s="18" t="s">
        <v>123</v>
      </c>
      <c r="G202" s="16">
        <v>500</v>
      </c>
      <c r="H202" s="16">
        <v>190</v>
      </c>
      <c r="I202" s="16">
        <v>21</v>
      </c>
      <c r="J202" s="16">
        <v>7.2</v>
      </c>
      <c r="K202" s="73">
        <v>2055.9</v>
      </c>
      <c r="L202" s="75">
        <f t="shared" si="65"/>
        <v>1713.2500000000002</v>
      </c>
      <c r="M202" s="77">
        <f>K202-(K202*O202)</f>
        <v>1027.95</v>
      </c>
      <c r="N202" s="77">
        <f t="shared" si="66"/>
        <v>856.62500000000011</v>
      </c>
      <c r="O202" s="76">
        <v>0.5</v>
      </c>
    </row>
    <row r="203" spans="1:26" s="12" customFormat="1" ht="15.75" customHeight="1" x14ac:dyDescent="0.25">
      <c r="A203" s="88" t="s">
        <v>380</v>
      </c>
      <c r="B203" s="89"/>
      <c r="C203" s="90"/>
      <c r="D203" s="89"/>
      <c r="E203" s="91"/>
      <c r="F203" s="89"/>
      <c r="G203" s="89"/>
      <c r="H203" s="89"/>
      <c r="I203" s="89"/>
      <c r="J203" s="89"/>
      <c r="K203" s="150"/>
      <c r="L203" s="151"/>
      <c r="M203" s="147"/>
      <c r="N203" s="147"/>
      <c r="O203" s="146"/>
    </row>
    <row r="204" spans="1:26" s="12" customFormat="1" ht="50.1" customHeight="1" x14ac:dyDescent="0.25">
      <c r="A204" s="14"/>
      <c r="B204" s="14"/>
      <c r="C204" s="25">
        <v>106</v>
      </c>
      <c r="D204" s="16" t="s">
        <v>48</v>
      </c>
      <c r="E204" s="17" t="s">
        <v>359</v>
      </c>
      <c r="F204" s="18" t="s">
        <v>288</v>
      </c>
      <c r="G204" s="16"/>
      <c r="H204" s="16"/>
      <c r="I204" s="16"/>
      <c r="J204" s="16"/>
      <c r="K204" s="94">
        <v>43.89</v>
      </c>
      <c r="L204" s="75">
        <f>K204/1.2</f>
        <v>36.575000000000003</v>
      </c>
      <c r="M204" s="77">
        <f>K204-(K204*O204)</f>
        <v>26.334</v>
      </c>
      <c r="N204" s="77">
        <f>M204/1.2</f>
        <v>21.945</v>
      </c>
      <c r="O204" s="76">
        <v>0.4</v>
      </c>
    </row>
    <row r="205" spans="1:26" s="13" customFormat="1" ht="15.75" customHeight="1" x14ac:dyDescent="0.25">
      <c r="A205" s="80" t="s">
        <v>381</v>
      </c>
      <c r="B205" s="81"/>
      <c r="C205" s="148"/>
      <c r="D205" s="149"/>
      <c r="E205" s="83"/>
      <c r="F205" s="149"/>
      <c r="G205" s="149"/>
      <c r="H205" s="149"/>
      <c r="I205" s="149"/>
      <c r="J205" s="149"/>
      <c r="K205" s="84"/>
      <c r="L205" s="85"/>
      <c r="M205" s="138"/>
      <c r="N205" s="138"/>
      <c r="O205" s="137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s="12" customFormat="1" ht="15.75" customHeight="1" x14ac:dyDescent="0.25">
      <c r="A206" s="88" t="s">
        <v>382</v>
      </c>
      <c r="B206" s="88"/>
      <c r="C206" s="140"/>
      <c r="D206" s="88"/>
      <c r="E206" s="141"/>
      <c r="F206" s="88"/>
      <c r="G206" s="88"/>
      <c r="H206" s="88"/>
      <c r="I206" s="88"/>
      <c r="J206" s="88"/>
      <c r="K206" s="150"/>
      <c r="L206" s="150"/>
      <c r="M206" s="145"/>
      <c r="N206" s="145"/>
      <c r="O206" s="144"/>
    </row>
    <row r="207" spans="1:26" s="20" customFormat="1" ht="50.1" customHeight="1" x14ac:dyDescent="0.25">
      <c r="A207" s="27"/>
      <c r="B207" s="27"/>
      <c r="C207" s="25">
        <v>821</v>
      </c>
      <c r="D207" s="16" t="s">
        <v>290</v>
      </c>
      <c r="E207" s="17" t="s">
        <v>199</v>
      </c>
      <c r="F207" s="18" t="s">
        <v>200</v>
      </c>
      <c r="G207" s="19">
        <v>1000</v>
      </c>
      <c r="H207" s="16">
        <v>246</v>
      </c>
      <c r="I207" s="16">
        <v>100</v>
      </c>
      <c r="J207" s="16">
        <v>1.9</v>
      </c>
      <c r="K207" s="75">
        <v>972</v>
      </c>
      <c r="L207" s="75">
        <f t="shared" ref="L207:L209" si="67">K207/1.2</f>
        <v>810</v>
      </c>
      <c r="M207" s="77">
        <f>K207-(K207*O207)</f>
        <v>437.4</v>
      </c>
      <c r="N207" s="77">
        <f t="shared" ref="N207:N209" si="68">M207/1.2</f>
        <v>364.5</v>
      </c>
      <c r="O207" s="76">
        <v>0.55000000000000004</v>
      </c>
    </row>
    <row r="208" spans="1:26" s="20" customFormat="1" ht="50.1" customHeight="1" x14ac:dyDescent="0.25">
      <c r="A208" s="27"/>
      <c r="B208" s="27"/>
      <c r="C208" s="25">
        <v>820</v>
      </c>
      <c r="D208" s="16" t="s">
        <v>290</v>
      </c>
      <c r="E208" s="17" t="s">
        <v>201</v>
      </c>
      <c r="F208" s="18" t="s">
        <v>200</v>
      </c>
      <c r="G208" s="19">
        <v>1000</v>
      </c>
      <c r="H208" s="16">
        <v>246</v>
      </c>
      <c r="I208" s="16">
        <v>185</v>
      </c>
      <c r="J208" s="16">
        <v>2.65</v>
      </c>
      <c r="K208" s="73">
        <v>1090</v>
      </c>
      <c r="L208" s="75">
        <f t="shared" si="67"/>
        <v>908.33333333333337</v>
      </c>
      <c r="M208" s="77">
        <f>K208-(K208*O208)</f>
        <v>490.5</v>
      </c>
      <c r="N208" s="77">
        <f t="shared" si="68"/>
        <v>408.75</v>
      </c>
      <c r="O208" s="76">
        <v>0.55000000000000004</v>
      </c>
    </row>
    <row r="209" spans="1:26" s="20" customFormat="1" ht="50.1" customHeight="1" x14ac:dyDescent="0.25">
      <c r="A209" s="27"/>
      <c r="B209" s="27"/>
      <c r="C209" s="25">
        <v>822</v>
      </c>
      <c r="D209" s="16" t="s">
        <v>290</v>
      </c>
      <c r="E209" s="17" t="s">
        <v>202</v>
      </c>
      <c r="F209" s="18" t="s">
        <v>200</v>
      </c>
      <c r="G209" s="19">
        <v>1000</v>
      </c>
      <c r="H209" s="16">
        <v>246</v>
      </c>
      <c r="I209" s="16">
        <v>235</v>
      </c>
      <c r="J209" s="16">
        <v>3.05</v>
      </c>
      <c r="K209" s="95">
        <v>1175</v>
      </c>
      <c r="L209" s="75">
        <f t="shared" si="67"/>
        <v>979.16666666666674</v>
      </c>
      <c r="M209" s="77">
        <f>K209-(K209*O209)</f>
        <v>528.75</v>
      </c>
      <c r="N209" s="77">
        <f t="shared" si="68"/>
        <v>440.625</v>
      </c>
      <c r="O209" s="76">
        <v>0.55000000000000004</v>
      </c>
    </row>
    <row r="210" spans="1:26" s="12" customFormat="1" ht="15.75" customHeight="1" x14ac:dyDescent="0.25">
      <c r="A210" s="80" t="s">
        <v>383</v>
      </c>
      <c r="B210" s="81"/>
      <c r="C210" s="82"/>
      <c r="D210" s="81"/>
      <c r="E210" s="83"/>
      <c r="F210" s="81"/>
      <c r="G210" s="81"/>
      <c r="H210" s="81"/>
      <c r="I210" s="81"/>
      <c r="J210" s="81"/>
      <c r="K210" s="150"/>
      <c r="L210" s="151"/>
      <c r="M210" s="138"/>
      <c r="N210" s="138"/>
      <c r="O210" s="137"/>
    </row>
    <row r="211" spans="1:26" s="13" customFormat="1" ht="50.1" customHeight="1" x14ac:dyDescent="0.25">
      <c r="A211" s="74"/>
      <c r="B211" s="74"/>
      <c r="C211" s="25">
        <v>828</v>
      </c>
      <c r="D211" s="16" t="s">
        <v>290</v>
      </c>
      <c r="E211" s="17" t="s">
        <v>203</v>
      </c>
      <c r="F211" s="18" t="s">
        <v>384</v>
      </c>
      <c r="G211" s="19">
        <v>500</v>
      </c>
      <c r="H211" s="16">
        <v>260</v>
      </c>
      <c r="I211" s="16">
        <v>460</v>
      </c>
      <c r="J211" s="16">
        <v>2.58</v>
      </c>
      <c r="K211" s="106">
        <v>3717</v>
      </c>
      <c r="L211" s="75">
        <f>K211/1.2</f>
        <v>3097.5</v>
      </c>
      <c r="M211" s="77">
        <f>K211-(K211*O211)</f>
        <v>1672.6499999999999</v>
      </c>
      <c r="N211" s="77">
        <f>M211/1.2</f>
        <v>1393.875</v>
      </c>
      <c r="O211" s="76">
        <v>0.55000000000000004</v>
      </c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s="12" customFormat="1" ht="15.75" customHeight="1" x14ac:dyDescent="0.25">
      <c r="A212" s="88" t="s">
        <v>385</v>
      </c>
      <c r="B212" s="89"/>
      <c r="C212" s="90"/>
      <c r="D212" s="89"/>
      <c r="E212" s="91"/>
      <c r="F212" s="89"/>
      <c r="G212" s="89"/>
      <c r="H212" s="89"/>
      <c r="I212" s="89"/>
      <c r="J212" s="89"/>
      <c r="K212" s="150"/>
      <c r="L212" s="151"/>
      <c r="M212" s="138"/>
      <c r="N212" s="138"/>
      <c r="O212" s="137"/>
    </row>
    <row r="213" spans="1:26" s="20" customFormat="1" ht="50.1" customHeight="1" x14ac:dyDescent="0.25">
      <c r="A213" s="27"/>
      <c r="B213" s="27"/>
      <c r="C213" s="25">
        <v>8214</v>
      </c>
      <c r="D213" s="16" t="s">
        <v>290</v>
      </c>
      <c r="E213" s="17" t="s">
        <v>204</v>
      </c>
      <c r="F213" s="18" t="s">
        <v>200</v>
      </c>
      <c r="G213" s="19">
        <v>1000</v>
      </c>
      <c r="H213" s="16">
        <v>248</v>
      </c>
      <c r="I213" s="16">
        <v>102</v>
      </c>
      <c r="J213" s="16">
        <v>2.9</v>
      </c>
      <c r="K213" s="75">
        <v>1500.12</v>
      </c>
      <c r="L213" s="75">
        <f t="shared" ref="L213:L215" si="69">K213/1.2</f>
        <v>1250.0999999999999</v>
      </c>
      <c r="M213" s="77">
        <f>K213-(K213*O213)</f>
        <v>675.05399999999986</v>
      </c>
      <c r="N213" s="77">
        <f t="shared" ref="N213:N215" si="70">M213/1.2</f>
        <v>562.54499999999996</v>
      </c>
      <c r="O213" s="76">
        <v>0.55000000000000004</v>
      </c>
    </row>
    <row r="214" spans="1:26" s="20" customFormat="1" ht="50.1" customHeight="1" x14ac:dyDescent="0.25">
      <c r="A214" s="27"/>
      <c r="B214" s="27"/>
      <c r="C214" s="25">
        <v>8204</v>
      </c>
      <c r="D214" s="16" t="s">
        <v>290</v>
      </c>
      <c r="E214" s="17" t="s">
        <v>205</v>
      </c>
      <c r="F214" s="18" t="s">
        <v>200</v>
      </c>
      <c r="G214" s="19">
        <v>1000</v>
      </c>
      <c r="H214" s="16">
        <v>248</v>
      </c>
      <c r="I214" s="16">
        <v>188</v>
      </c>
      <c r="J214" s="16">
        <v>3.65</v>
      </c>
      <c r="K214" s="73">
        <v>1611.42</v>
      </c>
      <c r="L214" s="75">
        <f t="shared" si="69"/>
        <v>1342.8500000000001</v>
      </c>
      <c r="M214" s="77">
        <f>K214-(K214*O214)</f>
        <v>725.13900000000001</v>
      </c>
      <c r="N214" s="77">
        <f t="shared" si="70"/>
        <v>604.28250000000003</v>
      </c>
      <c r="O214" s="76">
        <v>0.55000000000000004</v>
      </c>
    </row>
    <row r="215" spans="1:26" s="20" customFormat="1" ht="50.1" customHeight="1" x14ac:dyDescent="0.25">
      <c r="A215" s="27"/>
      <c r="B215" s="27"/>
      <c r="C215" s="25">
        <v>8224</v>
      </c>
      <c r="D215" s="16" t="s">
        <v>290</v>
      </c>
      <c r="E215" s="17" t="s">
        <v>206</v>
      </c>
      <c r="F215" s="18" t="s">
        <v>200</v>
      </c>
      <c r="G215" s="19">
        <v>1000</v>
      </c>
      <c r="H215" s="16">
        <v>248</v>
      </c>
      <c r="I215" s="16">
        <v>238</v>
      </c>
      <c r="J215" s="16">
        <v>4.05</v>
      </c>
      <c r="K215" s="95">
        <v>1592</v>
      </c>
      <c r="L215" s="75">
        <f t="shared" si="69"/>
        <v>1326.6666666666667</v>
      </c>
      <c r="M215" s="77">
        <f>K215-(K215*O215)</f>
        <v>716.4</v>
      </c>
      <c r="N215" s="77">
        <f t="shared" si="70"/>
        <v>597</v>
      </c>
      <c r="O215" s="76">
        <v>0.55000000000000004</v>
      </c>
    </row>
    <row r="216" spans="1:26" s="13" customFormat="1" ht="15.75" customHeight="1" x14ac:dyDescent="0.25">
      <c r="A216" s="80" t="s">
        <v>386</v>
      </c>
      <c r="B216" s="81"/>
      <c r="C216" s="82"/>
      <c r="D216" s="81"/>
      <c r="E216" s="83"/>
      <c r="F216" s="81"/>
      <c r="G216" s="81"/>
      <c r="H216" s="81"/>
      <c r="I216" s="81"/>
      <c r="J216" s="81"/>
      <c r="K216" s="150"/>
      <c r="L216" s="151"/>
      <c r="M216" s="138"/>
      <c r="N216" s="138"/>
      <c r="O216" s="137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s="12" customFormat="1" ht="50.1" customHeight="1" x14ac:dyDescent="0.25">
      <c r="A217" s="74"/>
      <c r="B217" s="74"/>
      <c r="C217" s="25">
        <v>8284</v>
      </c>
      <c r="D217" s="16" t="s">
        <v>290</v>
      </c>
      <c r="E217" s="17" t="s">
        <v>207</v>
      </c>
      <c r="F217" s="18" t="s">
        <v>384</v>
      </c>
      <c r="G217" s="19">
        <v>500</v>
      </c>
      <c r="H217" s="16">
        <v>260</v>
      </c>
      <c r="I217" s="16">
        <v>463</v>
      </c>
      <c r="J217" s="16">
        <v>3.18</v>
      </c>
      <c r="K217" s="106">
        <v>3805.1439999999998</v>
      </c>
      <c r="L217" s="75">
        <f>K217/1.2</f>
        <v>3170.9533333333334</v>
      </c>
      <c r="M217" s="77">
        <f>K217-(K217*O217)</f>
        <v>1712.3147999999997</v>
      </c>
      <c r="N217" s="77">
        <f>M217/1.2</f>
        <v>1426.9289999999999</v>
      </c>
      <c r="O217" s="76">
        <v>0.55000000000000004</v>
      </c>
    </row>
    <row r="218" spans="1:26" s="12" customFormat="1" ht="15.75" customHeight="1" x14ac:dyDescent="0.25">
      <c r="A218" s="88" t="s">
        <v>387</v>
      </c>
      <c r="B218" s="89"/>
      <c r="C218" s="90"/>
      <c r="D218" s="89"/>
      <c r="E218" s="91"/>
      <c r="F218" s="89"/>
      <c r="G218" s="89"/>
      <c r="H218" s="89"/>
      <c r="I218" s="89"/>
      <c r="J218" s="89"/>
      <c r="K218" s="150"/>
      <c r="L218" s="151"/>
      <c r="M218" s="138"/>
      <c r="N218" s="138"/>
      <c r="O218" s="137"/>
    </row>
    <row r="219" spans="1:26" s="12" customFormat="1" ht="50.1" customHeight="1" x14ac:dyDescent="0.25">
      <c r="A219" s="14"/>
      <c r="B219" s="14"/>
      <c r="C219" s="25">
        <v>128</v>
      </c>
      <c r="D219" s="16" t="s">
        <v>48</v>
      </c>
      <c r="E219" s="17" t="s">
        <v>388</v>
      </c>
      <c r="F219" s="18" t="s">
        <v>200</v>
      </c>
      <c r="G219" s="16">
        <v>226</v>
      </c>
      <c r="H219" s="16">
        <v>40</v>
      </c>
      <c r="I219" s="16">
        <v>36</v>
      </c>
      <c r="J219" s="16">
        <v>0.25</v>
      </c>
      <c r="K219" s="75">
        <v>125</v>
      </c>
      <c r="L219" s="75">
        <f t="shared" ref="L219:L222" si="71">K219/1.2</f>
        <v>104.16666666666667</v>
      </c>
      <c r="M219" s="77">
        <f>K219-(K219*O219)</f>
        <v>56.25</v>
      </c>
      <c r="N219" s="77">
        <f t="shared" ref="N219:N222" si="72">M219/1.2</f>
        <v>46.875</v>
      </c>
      <c r="O219" s="76">
        <v>0.55000000000000004</v>
      </c>
    </row>
    <row r="220" spans="1:26" s="12" customFormat="1" ht="50.1" customHeight="1" x14ac:dyDescent="0.25">
      <c r="A220" s="74"/>
      <c r="B220" s="74"/>
      <c r="C220" s="25" t="s">
        <v>389</v>
      </c>
      <c r="D220" s="16" t="s">
        <v>48</v>
      </c>
      <c r="E220" s="17" t="s">
        <v>390</v>
      </c>
      <c r="F220" s="18" t="s">
        <v>200</v>
      </c>
      <c r="G220" s="16">
        <v>226</v>
      </c>
      <c r="H220" s="16">
        <v>40</v>
      </c>
      <c r="I220" s="16">
        <v>36</v>
      </c>
      <c r="J220" s="16">
        <v>0.25</v>
      </c>
      <c r="K220" s="73">
        <v>223.74</v>
      </c>
      <c r="L220" s="75">
        <f t="shared" si="71"/>
        <v>186.45000000000002</v>
      </c>
      <c r="M220" s="77">
        <f>K220-(K220*O220)</f>
        <v>100.68299999999999</v>
      </c>
      <c r="N220" s="77">
        <f t="shared" si="72"/>
        <v>83.902500000000003</v>
      </c>
      <c r="O220" s="76">
        <v>0.55000000000000004</v>
      </c>
    </row>
    <row r="221" spans="1:26" s="155" customFormat="1" ht="50.1" customHeight="1" x14ac:dyDescent="0.25">
      <c r="A221" s="14"/>
      <c r="B221" s="14"/>
      <c r="C221" s="25">
        <v>18201</v>
      </c>
      <c r="D221" s="16"/>
      <c r="E221" s="17" t="s">
        <v>391</v>
      </c>
      <c r="F221" s="18" t="s">
        <v>200</v>
      </c>
      <c r="G221" s="16">
        <v>252</v>
      </c>
      <c r="H221" s="16">
        <v>4</v>
      </c>
      <c r="I221" s="16">
        <v>235</v>
      </c>
      <c r="J221" s="16">
        <v>0.21</v>
      </c>
      <c r="K221" s="73">
        <v>235</v>
      </c>
      <c r="L221" s="75">
        <f t="shared" si="71"/>
        <v>195.83333333333334</v>
      </c>
      <c r="M221" s="77">
        <f>K221-(K221*O221)</f>
        <v>105.75</v>
      </c>
      <c r="N221" s="77">
        <f t="shared" si="72"/>
        <v>88.125</v>
      </c>
      <c r="O221" s="76">
        <v>0.55000000000000004</v>
      </c>
      <c r="P221" s="154"/>
      <c r="Q221" s="154"/>
      <c r="R221" s="154"/>
      <c r="S221" s="154"/>
      <c r="T221" s="154"/>
      <c r="U221" s="154"/>
      <c r="V221" s="154"/>
      <c r="W221" s="154"/>
      <c r="X221" s="154"/>
      <c r="Y221" s="154"/>
      <c r="Z221" s="154"/>
    </row>
    <row r="222" spans="1:26" s="155" customFormat="1" ht="50.1" customHeight="1" x14ac:dyDescent="0.25">
      <c r="A222" s="74"/>
      <c r="B222" s="156"/>
      <c r="C222" s="52">
        <v>1820</v>
      </c>
      <c r="D222" s="52" t="s">
        <v>48</v>
      </c>
      <c r="E222" s="53" t="s">
        <v>392</v>
      </c>
      <c r="F222" s="157" t="s">
        <v>48</v>
      </c>
      <c r="G222" s="52" t="s">
        <v>48</v>
      </c>
      <c r="H222" s="52" t="s">
        <v>48</v>
      </c>
      <c r="I222" s="52" t="s">
        <v>48</v>
      </c>
      <c r="J222" s="52" t="s">
        <v>48</v>
      </c>
      <c r="K222" s="79">
        <v>564.48</v>
      </c>
      <c r="L222" s="75">
        <f t="shared" si="71"/>
        <v>470.40000000000003</v>
      </c>
      <c r="M222" s="77">
        <f>K222-(K222*O222)</f>
        <v>310.464</v>
      </c>
      <c r="N222" s="77">
        <f t="shared" si="72"/>
        <v>258.72000000000003</v>
      </c>
      <c r="O222" s="76">
        <v>0.45</v>
      </c>
      <c r="P222" s="154"/>
      <c r="Q222" s="154"/>
      <c r="R222" s="154"/>
      <c r="S222" s="154"/>
      <c r="T222" s="154"/>
      <c r="U222" s="154"/>
      <c r="V222" s="154"/>
      <c r="W222" s="154"/>
      <c r="X222" s="154"/>
      <c r="Y222" s="154"/>
      <c r="Z222" s="154"/>
    </row>
    <row r="223" spans="1:26" s="12" customFormat="1" ht="15.75" customHeight="1" x14ac:dyDescent="0.25">
      <c r="A223" s="80" t="s">
        <v>393</v>
      </c>
      <c r="B223" s="81"/>
      <c r="C223" s="82"/>
      <c r="D223" s="81"/>
      <c r="E223" s="83"/>
      <c r="F223" s="81"/>
      <c r="G223" s="81"/>
      <c r="H223" s="81"/>
      <c r="I223" s="81"/>
      <c r="J223" s="81"/>
      <c r="K223" s="84"/>
      <c r="L223" s="85"/>
      <c r="M223" s="138"/>
      <c r="N223" s="138"/>
      <c r="O223" s="137"/>
    </row>
    <row r="224" spans="1:26" s="20" customFormat="1" ht="50.1" customHeight="1" x14ac:dyDescent="0.25">
      <c r="A224" s="74"/>
      <c r="B224" s="74"/>
      <c r="C224" s="25">
        <v>528</v>
      </c>
      <c r="D224" s="16" t="s">
        <v>271</v>
      </c>
      <c r="E224" s="17" t="s">
        <v>208</v>
      </c>
      <c r="F224" s="18" t="s">
        <v>200</v>
      </c>
      <c r="G224" s="16">
        <v>1000</v>
      </c>
      <c r="H224" s="16">
        <v>236</v>
      </c>
      <c r="I224" s="16">
        <v>20</v>
      </c>
      <c r="J224" s="16">
        <v>3.4</v>
      </c>
      <c r="K224" s="75">
        <v>2168.1239999999998</v>
      </c>
      <c r="L224" s="75">
        <f t="shared" ref="L224:L228" si="73">K224/1.2</f>
        <v>1806.77</v>
      </c>
      <c r="M224" s="77">
        <f>K224-(K224*O224)</f>
        <v>975.65579999999977</v>
      </c>
      <c r="N224" s="77">
        <f t="shared" ref="N224:N228" si="74">M224/1.2</f>
        <v>813.04649999999981</v>
      </c>
      <c r="O224" s="76">
        <v>0.55000000000000004</v>
      </c>
    </row>
    <row r="225" spans="1:26" s="20" customFormat="1" ht="50.1" customHeight="1" x14ac:dyDescent="0.25">
      <c r="A225" s="74"/>
      <c r="B225" s="74"/>
      <c r="C225" s="25">
        <v>522</v>
      </c>
      <c r="D225" s="16" t="s">
        <v>275</v>
      </c>
      <c r="E225" s="17" t="s">
        <v>209</v>
      </c>
      <c r="F225" s="18" t="s">
        <v>200</v>
      </c>
      <c r="G225" s="16">
        <v>1000</v>
      </c>
      <c r="H225" s="16">
        <v>237</v>
      </c>
      <c r="I225" s="16">
        <v>22</v>
      </c>
      <c r="J225" s="16">
        <v>5.7</v>
      </c>
      <c r="K225" s="73">
        <v>3475.3375999999998</v>
      </c>
      <c r="L225" s="75">
        <f t="shared" si="73"/>
        <v>2896.1146666666668</v>
      </c>
      <c r="M225" s="77">
        <f>K225-(K225*O225)</f>
        <v>1563.9019199999998</v>
      </c>
      <c r="N225" s="77">
        <f t="shared" si="74"/>
        <v>1303.2515999999998</v>
      </c>
      <c r="O225" s="76">
        <v>0.55000000000000004</v>
      </c>
    </row>
    <row r="226" spans="1:26" s="12" customFormat="1" ht="50.1" customHeight="1" x14ac:dyDescent="0.25">
      <c r="A226" s="74"/>
      <c r="B226" s="74"/>
      <c r="C226" s="25">
        <v>523</v>
      </c>
      <c r="D226" s="16" t="s">
        <v>271</v>
      </c>
      <c r="E226" s="17" t="s">
        <v>394</v>
      </c>
      <c r="F226" s="18" t="s">
        <v>200</v>
      </c>
      <c r="G226" s="16">
        <v>1000</v>
      </c>
      <c r="H226" s="16">
        <v>236</v>
      </c>
      <c r="I226" s="16">
        <v>15</v>
      </c>
      <c r="J226" s="16">
        <v>3.54</v>
      </c>
      <c r="K226" s="73">
        <v>3789.48</v>
      </c>
      <c r="L226" s="75">
        <f t="shared" si="73"/>
        <v>3157.9</v>
      </c>
      <c r="M226" s="77">
        <f>K226-(K226*O226)</f>
        <v>2273.6880000000001</v>
      </c>
      <c r="N226" s="77">
        <f t="shared" si="74"/>
        <v>1894.7400000000002</v>
      </c>
      <c r="O226" s="76">
        <v>0.4</v>
      </c>
    </row>
    <row r="227" spans="1:26" s="20" customFormat="1" ht="50.1" customHeight="1" collapsed="1" x14ac:dyDescent="0.25">
      <c r="A227" s="27"/>
      <c r="B227" s="27"/>
      <c r="C227" s="25">
        <v>524</v>
      </c>
      <c r="D227" s="16" t="s">
        <v>290</v>
      </c>
      <c r="E227" s="17" t="s">
        <v>210</v>
      </c>
      <c r="F227" s="18" t="s">
        <v>200</v>
      </c>
      <c r="G227" s="16">
        <v>500</v>
      </c>
      <c r="H227" s="16">
        <v>237</v>
      </c>
      <c r="I227" s="16">
        <v>24</v>
      </c>
      <c r="J227" s="16">
        <v>5</v>
      </c>
      <c r="K227" s="73">
        <v>1695</v>
      </c>
      <c r="L227" s="75">
        <f t="shared" si="73"/>
        <v>1412.5</v>
      </c>
      <c r="M227" s="77">
        <f>K227-(K227*O227)</f>
        <v>762.74999999999989</v>
      </c>
      <c r="N227" s="77">
        <f t="shared" si="74"/>
        <v>635.62499999999989</v>
      </c>
      <c r="O227" s="76">
        <v>0.55000000000000004</v>
      </c>
    </row>
    <row r="228" spans="1:26" s="20" customFormat="1" ht="50.1" customHeight="1" x14ac:dyDescent="0.25">
      <c r="A228" s="27"/>
      <c r="B228" s="27"/>
      <c r="C228" s="25">
        <v>527</v>
      </c>
      <c r="D228" s="16" t="s">
        <v>290</v>
      </c>
      <c r="E228" s="17" t="s">
        <v>211</v>
      </c>
      <c r="F228" s="18" t="s">
        <v>200</v>
      </c>
      <c r="G228" s="16">
        <v>500</v>
      </c>
      <c r="H228" s="16">
        <v>237</v>
      </c>
      <c r="I228" s="16">
        <v>24</v>
      </c>
      <c r="J228" s="16">
        <v>6.1</v>
      </c>
      <c r="K228" s="79">
        <v>1695</v>
      </c>
      <c r="L228" s="75">
        <f t="shared" si="73"/>
        <v>1412.5</v>
      </c>
      <c r="M228" s="77">
        <f>K228-(K228*O228)</f>
        <v>762.74999999999989</v>
      </c>
      <c r="N228" s="77">
        <f t="shared" si="74"/>
        <v>635.62499999999989</v>
      </c>
      <c r="O228" s="76">
        <v>0.55000000000000004</v>
      </c>
    </row>
    <row r="229" spans="1:26" s="12" customFormat="1" ht="15.75" customHeight="1" x14ac:dyDescent="0.25">
      <c r="A229" s="80" t="s">
        <v>395</v>
      </c>
      <c r="B229" s="81"/>
      <c r="C229" s="82"/>
      <c r="D229" s="81"/>
      <c r="E229" s="83"/>
      <c r="F229" s="81"/>
      <c r="G229" s="81"/>
      <c r="H229" s="81"/>
      <c r="I229" s="81"/>
      <c r="J229" s="81"/>
      <c r="K229" s="84"/>
      <c r="L229" s="85"/>
      <c r="M229" s="147"/>
      <c r="N229" s="147"/>
      <c r="O229" s="146"/>
    </row>
    <row r="230" spans="1:26" s="20" customFormat="1" ht="50.1" customHeight="1" x14ac:dyDescent="0.25">
      <c r="A230" s="107"/>
      <c r="B230" s="107"/>
      <c r="C230" s="15" t="s">
        <v>212</v>
      </c>
      <c r="D230" s="16" t="s">
        <v>361</v>
      </c>
      <c r="E230" s="17" t="s">
        <v>213</v>
      </c>
      <c r="F230" s="18" t="s">
        <v>200</v>
      </c>
      <c r="G230" s="16">
        <v>1000</v>
      </c>
      <c r="H230" s="16">
        <v>249</v>
      </c>
      <c r="I230" s="16">
        <v>118.5</v>
      </c>
      <c r="J230" s="16">
        <v>2.92</v>
      </c>
      <c r="K230" s="75">
        <v>3147.54</v>
      </c>
      <c r="L230" s="75">
        <f t="shared" ref="L230:L232" si="75">K230/1.2</f>
        <v>2622.9500000000003</v>
      </c>
      <c r="M230" s="77">
        <f>K230-(K230*O230)</f>
        <v>1416.3929999999998</v>
      </c>
      <c r="N230" s="77">
        <f t="shared" ref="N230:N232" si="76">M230/1.2</f>
        <v>1180.3274999999999</v>
      </c>
      <c r="O230" s="76">
        <v>0.55000000000000004</v>
      </c>
    </row>
    <row r="231" spans="1:26" s="20" customFormat="1" ht="50.1" customHeight="1" x14ac:dyDescent="0.25">
      <c r="A231" s="107"/>
      <c r="B231" s="107"/>
      <c r="C231" s="15" t="s">
        <v>214</v>
      </c>
      <c r="D231" s="16" t="s">
        <v>361</v>
      </c>
      <c r="E231" s="17" t="s">
        <v>215</v>
      </c>
      <c r="F231" s="18" t="s">
        <v>200</v>
      </c>
      <c r="G231" s="16">
        <v>1000</v>
      </c>
      <c r="H231" s="16">
        <v>249</v>
      </c>
      <c r="I231" s="16">
        <v>203.5</v>
      </c>
      <c r="J231" s="16">
        <v>4.74</v>
      </c>
      <c r="K231" s="73">
        <v>3295.08</v>
      </c>
      <c r="L231" s="75">
        <f t="shared" si="75"/>
        <v>2745.9</v>
      </c>
      <c r="M231" s="77">
        <f>K231-(K231*O231)</f>
        <v>1482.7859999999998</v>
      </c>
      <c r="N231" s="77">
        <f t="shared" si="76"/>
        <v>1235.655</v>
      </c>
      <c r="O231" s="76">
        <v>0.55000000000000004</v>
      </c>
    </row>
    <row r="232" spans="1:26" s="20" customFormat="1" ht="50.1" customHeight="1" x14ac:dyDescent="0.25">
      <c r="A232" s="107"/>
      <c r="B232" s="107"/>
      <c r="C232" s="15" t="s">
        <v>216</v>
      </c>
      <c r="D232" s="16" t="s">
        <v>361</v>
      </c>
      <c r="E232" s="17" t="s">
        <v>217</v>
      </c>
      <c r="F232" s="18" t="s">
        <v>200</v>
      </c>
      <c r="G232" s="16">
        <v>1000</v>
      </c>
      <c r="H232" s="16">
        <v>249</v>
      </c>
      <c r="I232" s="16">
        <v>253</v>
      </c>
      <c r="J232" s="16">
        <v>5.35</v>
      </c>
      <c r="K232" s="79">
        <v>3295.6</v>
      </c>
      <c r="L232" s="75">
        <f t="shared" si="75"/>
        <v>2746.3333333333335</v>
      </c>
      <c r="M232" s="77">
        <f>K232-(K232*O232)</f>
        <v>1483.0199999999998</v>
      </c>
      <c r="N232" s="77">
        <f t="shared" si="76"/>
        <v>1235.8499999999999</v>
      </c>
      <c r="O232" s="76">
        <v>0.55000000000000004</v>
      </c>
    </row>
    <row r="233" spans="1:26" s="13" customFormat="1" ht="15.75" customHeight="1" x14ac:dyDescent="0.25">
      <c r="A233" s="80" t="s">
        <v>396</v>
      </c>
      <c r="B233" s="81"/>
      <c r="C233" s="82"/>
      <c r="D233" s="81"/>
      <c r="E233" s="83"/>
      <c r="F233" s="81"/>
      <c r="G233" s="81"/>
      <c r="H233" s="81"/>
      <c r="I233" s="81"/>
      <c r="J233" s="81"/>
      <c r="K233" s="84"/>
      <c r="L233" s="85"/>
      <c r="M233" s="147"/>
      <c r="N233" s="147"/>
      <c r="O233" s="146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s="12" customFormat="1" ht="50.1" customHeight="1" x14ac:dyDescent="0.25">
      <c r="A234" s="107"/>
      <c r="B234" s="107"/>
      <c r="C234" s="15" t="s">
        <v>218</v>
      </c>
      <c r="D234" s="16" t="s">
        <v>361</v>
      </c>
      <c r="E234" s="17" t="s">
        <v>219</v>
      </c>
      <c r="F234" s="18" t="s">
        <v>397</v>
      </c>
      <c r="G234" s="16">
        <v>540</v>
      </c>
      <c r="H234" s="16">
        <v>260</v>
      </c>
      <c r="I234" s="16">
        <v>478</v>
      </c>
      <c r="J234" s="16">
        <v>3.86</v>
      </c>
      <c r="K234" s="94">
        <v>6893.67</v>
      </c>
      <c r="L234" s="75">
        <f>K234/1.2</f>
        <v>5744.7250000000004</v>
      </c>
      <c r="M234" s="77">
        <f>K234-(K234*O234)</f>
        <v>3102.1514999999999</v>
      </c>
      <c r="N234" s="77">
        <f>M234/1.2</f>
        <v>2585.1262500000003</v>
      </c>
      <c r="O234" s="76">
        <v>0.55000000000000004</v>
      </c>
    </row>
    <row r="235" spans="1:26" s="12" customFormat="1" ht="15.75" customHeight="1" x14ac:dyDescent="0.25">
      <c r="A235" s="80" t="s">
        <v>398</v>
      </c>
      <c r="B235" s="81"/>
      <c r="C235" s="82"/>
      <c r="D235" s="81"/>
      <c r="E235" s="83"/>
      <c r="F235" s="81"/>
      <c r="G235" s="81"/>
      <c r="H235" s="81"/>
      <c r="I235" s="81"/>
      <c r="J235" s="81"/>
      <c r="K235" s="84"/>
      <c r="L235" s="85"/>
      <c r="M235" s="147"/>
      <c r="N235" s="147"/>
      <c r="O235" s="146"/>
    </row>
    <row r="236" spans="1:26" s="20" customFormat="1" ht="50.1" customHeight="1" x14ac:dyDescent="0.25">
      <c r="A236" s="27"/>
      <c r="B236" s="27"/>
      <c r="C236" s="29">
        <v>525</v>
      </c>
      <c r="D236" s="16" t="s">
        <v>290</v>
      </c>
      <c r="E236" s="17" t="s">
        <v>220</v>
      </c>
      <c r="F236" s="18" t="s">
        <v>200</v>
      </c>
      <c r="G236" s="19">
        <v>500</v>
      </c>
      <c r="H236" s="16">
        <v>236</v>
      </c>
      <c r="I236" s="16">
        <v>42</v>
      </c>
      <c r="J236" s="31">
        <v>2.59</v>
      </c>
      <c r="K236" s="75">
        <v>1234</v>
      </c>
      <c r="L236" s="75">
        <f t="shared" ref="L236:L239" si="77">K236/1.2</f>
        <v>1028.3333333333335</v>
      </c>
      <c r="M236" s="77">
        <f>K236-(K236*O236)</f>
        <v>617</v>
      </c>
      <c r="N236" s="77">
        <f t="shared" ref="N236:N239" si="78">M236/1.2</f>
        <v>514.16666666666674</v>
      </c>
      <c r="O236" s="76">
        <v>0.5</v>
      </c>
    </row>
    <row r="237" spans="1:26" s="20" customFormat="1" ht="50.1" customHeight="1" x14ac:dyDescent="0.25">
      <c r="A237" s="27"/>
      <c r="B237" s="27"/>
      <c r="C237" s="29">
        <v>526</v>
      </c>
      <c r="D237" s="16" t="s">
        <v>290</v>
      </c>
      <c r="E237" s="17" t="s">
        <v>221</v>
      </c>
      <c r="F237" s="18" t="s">
        <v>200</v>
      </c>
      <c r="G237" s="19">
        <v>500</v>
      </c>
      <c r="H237" s="16">
        <v>238</v>
      </c>
      <c r="I237" s="16">
        <v>42</v>
      </c>
      <c r="J237" s="16">
        <v>2.64</v>
      </c>
      <c r="K237" s="73">
        <v>1234</v>
      </c>
      <c r="L237" s="75">
        <f t="shared" si="77"/>
        <v>1028.3333333333335</v>
      </c>
      <c r="M237" s="77">
        <f>K237-(K237*O237)</f>
        <v>617</v>
      </c>
      <c r="N237" s="77">
        <f t="shared" si="78"/>
        <v>514.16666666666674</v>
      </c>
      <c r="O237" s="76">
        <v>0.5</v>
      </c>
    </row>
    <row r="238" spans="1:26" s="20" customFormat="1" ht="50.1" customHeight="1" x14ac:dyDescent="0.25">
      <c r="A238" s="54"/>
      <c r="B238" s="54"/>
      <c r="C238" s="25" t="s">
        <v>222</v>
      </c>
      <c r="D238" s="16" t="s">
        <v>364</v>
      </c>
      <c r="E238" s="17" t="s">
        <v>223</v>
      </c>
      <c r="F238" s="18" t="s">
        <v>200</v>
      </c>
      <c r="G238" s="16">
        <v>500</v>
      </c>
      <c r="H238" s="16">
        <v>240</v>
      </c>
      <c r="I238" s="16">
        <v>21</v>
      </c>
      <c r="J238" s="16">
        <v>8.5</v>
      </c>
      <c r="K238" s="73">
        <v>2397.15</v>
      </c>
      <c r="L238" s="75">
        <f t="shared" si="77"/>
        <v>1997.6250000000002</v>
      </c>
      <c r="M238" s="77">
        <f>K238-(K238*O238)</f>
        <v>1198.575</v>
      </c>
      <c r="N238" s="77">
        <f t="shared" si="78"/>
        <v>998.81250000000011</v>
      </c>
      <c r="O238" s="76">
        <v>0.5</v>
      </c>
    </row>
    <row r="239" spans="1:26" s="20" customFormat="1" ht="50.1" customHeight="1" x14ac:dyDescent="0.25">
      <c r="A239" s="54"/>
      <c r="B239" s="54"/>
      <c r="C239" s="25" t="s">
        <v>224</v>
      </c>
      <c r="D239" s="16" t="s">
        <v>361</v>
      </c>
      <c r="E239" s="17" t="s">
        <v>225</v>
      </c>
      <c r="F239" s="18" t="s">
        <v>200</v>
      </c>
      <c r="G239" s="16">
        <v>500</v>
      </c>
      <c r="H239" s="16">
        <v>240</v>
      </c>
      <c r="I239" s="16">
        <v>21</v>
      </c>
      <c r="J239" s="16">
        <v>9.52</v>
      </c>
      <c r="K239" s="79">
        <v>2751.76</v>
      </c>
      <c r="L239" s="75">
        <f t="shared" si="77"/>
        <v>2293.1333333333337</v>
      </c>
      <c r="M239" s="77">
        <f>K239-(K239*O239)</f>
        <v>1375.88</v>
      </c>
      <c r="N239" s="77">
        <f t="shared" si="78"/>
        <v>1146.5666666666668</v>
      </c>
      <c r="O239" s="76">
        <v>0.5</v>
      </c>
    </row>
    <row r="240" spans="1:26" s="159" customFormat="1" ht="15.75" customHeight="1" x14ac:dyDescent="0.25">
      <c r="A240" s="88" t="s">
        <v>399</v>
      </c>
      <c r="B240" s="89"/>
      <c r="C240" s="90"/>
      <c r="D240" s="89"/>
      <c r="E240" s="91"/>
      <c r="F240" s="89"/>
      <c r="G240" s="89"/>
      <c r="H240" s="89"/>
      <c r="I240" s="89"/>
      <c r="J240" s="89"/>
      <c r="K240" s="84"/>
      <c r="L240" s="85"/>
      <c r="M240" s="87"/>
      <c r="N240" s="87"/>
      <c r="O240" s="86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</row>
    <row r="241" spans="1:26" s="13" customFormat="1" ht="50.1" customHeight="1" x14ac:dyDescent="0.25">
      <c r="A241" s="38"/>
      <c r="B241" s="38"/>
      <c r="C241" s="25">
        <v>106</v>
      </c>
      <c r="D241" s="16" t="s">
        <v>48</v>
      </c>
      <c r="E241" s="17" t="s">
        <v>359</v>
      </c>
      <c r="F241" s="18" t="s">
        <v>288</v>
      </c>
      <c r="G241" s="16"/>
      <c r="H241" s="16"/>
      <c r="I241" s="16"/>
      <c r="J241" s="16"/>
      <c r="K241" s="94">
        <v>43.89</v>
      </c>
      <c r="L241" s="75">
        <f>K241/1.2</f>
        <v>36.575000000000003</v>
      </c>
      <c r="M241" s="77">
        <f>K241-(K241*O241)</f>
        <v>26.334</v>
      </c>
      <c r="N241" s="77">
        <f>M241/1.2</f>
        <v>21.945</v>
      </c>
      <c r="O241" s="76">
        <v>0.4</v>
      </c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s="12" customFormat="1" ht="15.75" customHeight="1" x14ac:dyDescent="0.25">
      <c r="A242" s="80" t="s">
        <v>400</v>
      </c>
      <c r="B242" s="81"/>
      <c r="C242" s="148"/>
      <c r="D242" s="149"/>
      <c r="E242" s="83"/>
      <c r="F242" s="149"/>
      <c r="G242" s="149"/>
      <c r="H242" s="149"/>
      <c r="I242" s="149"/>
      <c r="J242" s="149"/>
      <c r="K242" s="150"/>
      <c r="L242" s="151"/>
      <c r="M242" s="93"/>
      <c r="N242" s="93"/>
      <c r="O242" s="92"/>
    </row>
    <row r="243" spans="1:26" s="13" customFormat="1" ht="15.75" customHeight="1" x14ac:dyDescent="0.25">
      <c r="A243" s="80" t="s">
        <v>401</v>
      </c>
      <c r="B243" s="80"/>
      <c r="C243" s="97"/>
      <c r="D243" s="80"/>
      <c r="E243" s="115"/>
      <c r="F243" s="80"/>
      <c r="G243" s="80"/>
      <c r="H243" s="80"/>
      <c r="I243" s="80"/>
      <c r="J243" s="80"/>
      <c r="K243" s="84"/>
      <c r="L243" s="84"/>
      <c r="M243" s="161"/>
      <c r="N243" s="161"/>
      <c r="O243" s="160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s="20" customFormat="1" ht="50.1" customHeight="1" x14ac:dyDescent="0.25">
      <c r="A244" s="27"/>
      <c r="B244" s="27"/>
      <c r="C244" s="25">
        <v>832</v>
      </c>
      <c r="D244" s="16" t="s">
        <v>290</v>
      </c>
      <c r="E244" s="17" t="s">
        <v>226</v>
      </c>
      <c r="F244" s="18" t="s">
        <v>34</v>
      </c>
      <c r="G244" s="19">
        <v>1000</v>
      </c>
      <c r="H244" s="16">
        <v>380</v>
      </c>
      <c r="I244" s="16">
        <v>280</v>
      </c>
      <c r="J244" s="16">
        <v>7.05</v>
      </c>
      <c r="K244" s="75">
        <v>4133</v>
      </c>
      <c r="L244" s="75">
        <f t="shared" ref="L244:L246" si="79">K244/1.2</f>
        <v>3444.166666666667</v>
      </c>
      <c r="M244" s="77">
        <f>K244-(K244*O244)</f>
        <v>1859.85</v>
      </c>
      <c r="N244" s="77">
        <f t="shared" ref="N244:N246" si="80">M244/1.2</f>
        <v>1549.875</v>
      </c>
      <c r="O244" s="76">
        <v>0.55000000000000004</v>
      </c>
    </row>
    <row r="245" spans="1:26" s="20" customFormat="1" ht="50.1" customHeight="1" x14ac:dyDescent="0.25">
      <c r="A245" s="27"/>
      <c r="B245" s="27"/>
      <c r="C245" s="25">
        <v>830</v>
      </c>
      <c r="D245" s="16" t="s">
        <v>290</v>
      </c>
      <c r="E245" s="17" t="s">
        <v>227</v>
      </c>
      <c r="F245" s="18" t="s">
        <v>34</v>
      </c>
      <c r="G245" s="19">
        <v>1000</v>
      </c>
      <c r="H245" s="16">
        <v>380</v>
      </c>
      <c r="I245" s="16">
        <v>380</v>
      </c>
      <c r="J245" s="16">
        <v>7.6</v>
      </c>
      <c r="K245" s="73">
        <v>4261</v>
      </c>
      <c r="L245" s="75">
        <f t="shared" si="79"/>
        <v>3550.8333333333335</v>
      </c>
      <c r="M245" s="77">
        <f>K245-(K245*O245)</f>
        <v>1917.4499999999998</v>
      </c>
      <c r="N245" s="77">
        <f t="shared" si="80"/>
        <v>1597.875</v>
      </c>
      <c r="O245" s="76">
        <v>0.55000000000000004</v>
      </c>
    </row>
    <row r="246" spans="1:26" s="20" customFormat="1" ht="50.1" customHeight="1" x14ac:dyDescent="0.25">
      <c r="A246" s="27"/>
      <c r="B246" s="27"/>
      <c r="C246" s="25">
        <v>834</v>
      </c>
      <c r="D246" s="16" t="s">
        <v>290</v>
      </c>
      <c r="E246" s="17" t="s">
        <v>228</v>
      </c>
      <c r="F246" s="18" t="s">
        <v>34</v>
      </c>
      <c r="G246" s="19">
        <v>1000</v>
      </c>
      <c r="H246" s="16">
        <v>380</v>
      </c>
      <c r="I246" s="16">
        <v>480</v>
      </c>
      <c r="J246" s="16">
        <v>9.6</v>
      </c>
      <c r="K246" s="79">
        <v>5040</v>
      </c>
      <c r="L246" s="75">
        <f t="shared" si="79"/>
        <v>4200</v>
      </c>
      <c r="M246" s="77">
        <f>K246-(K246*O246)</f>
        <v>2268</v>
      </c>
      <c r="N246" s="77">
        <f t="shared" si="80"/>
        <v>1890</v>
      </c>
      <c r="O246" s="76">
        <v>0.55000000000000004</v>
      </c>
    </row>
    <row r="247" spans="1:26" s="13" customFormat="1" ht="15.75" customHeight="1" x14ac:dyDescent="0.25">
      <c r="A247" s="88" t="s">
        <v>402</v>
      </c>
      <c r="B247" s="89"/>
      <c r="C247" s="90"/>
      <c r="D247" s="89"/>
      <c r="E247" s="91"/>
      <c r="F247" s="89"/>
      <c r="G247" s="89"/>
      <c r="H247" s="89"/>
      <c r="I247" s="89"/>
      <c r="J247" s="89"/>
      <c r="K247" s="84"/>
      <c r="L247" s="85"/>
      <c r="M247" s="93"/>
      <c r="N247" s="93"/>
      <c r="O247" s="9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s="12" customFormat="1" ht="50.1" customHeight="1" x14ac:dyDescent="0.25">
      <c r="A248" s="14"/>
      <c r="B248" s="14"/>
      <c r="C248" s="25" t="s">
        <v>403</v>
      </c>
      <c r="D248" s="16" t="s">
        <v>48</v>
      </c>
      <c r="E248" s="17" t="s">
        <v>404</v>
      </c>
      <c r="F248" s="18" t="s">
        <v>34</v>
      </c>
      <c r="G248" s="16">
        <v>52</v>
      </c>
      <c r="H248" s="16">
        <v>18</v>
      </c>
      <c r="I248" s="16">
        <v>12</v>
      </c>
      <c r="J248" s="16">
        <v>0.3</v>
      </c>
      <c r="K248" s="75">
        <v>259.56</v>
      </c>
      <c r="L248" s="75">
        <f t="shared" ref="L248:L249" si="81">K248/1.2</f>
        <v>216.3</v>
      </c>
      <c r="M248" s="77">
        <f>K248-(K248*O248)</f>
        <v>116.80199999999999</v>
      </c>
      <c r="N248" s="77">
        <f t="shared" ref="N248:N249" si="82">M248/1.2</f>
        <v>97.334999999999994</v>
      </c>
      <c r="O248" s="76">
        <v>0.55000000000000004</v>
      </c>
    </row>
    <row r="249" spans="1:26" s="12" customFormat="1" ht="50.1" customHeight="1" x14ac:dyDescent="0.25">
      <c r="A249" s="74"/>
      <c r="B249" s="156"/>
      <c r="C249" s="52">
        <v>1831</v>
      </c>
      <c r="D249" s="133" t="s">
        <v>48</v>
      </c>
      <c r="E249" s="135" t="s">
        <v>405</v>
      </c>
      <c r="F249" s="136" t="s">
        <v>48</v>
      </c>
      <c r="G249" s="133" t="s">
        <v>48</v>
      </c>
      <c r="H249" s="133" t="s">
        <v>48</v>
      </c>
      <c r="I249" s="133" t="s">
        <v>48</v>
      </c>
      <c r="J249" s="133" t="s">
        <v>48</v>
      </c>
      <c r="K249" s="79">
        <v>604.79999999999995</v>
      </c>
      <c r="L249" s="75">
        <f t="shared" si="81"/>
        <v>504</v>
      </c>
      <c r="M249" s="77">
        <f>K249-(K249*O249)</f>
        <v>272.15999999999997</v>
      </c>
      <c r="N249" s="77">
        <f t="shared" si="82"/>
        <v>226.79999999999998</v>
      </c>
      <c r="O249" s="76">
        <v>0.55000000000000004</v>
      </c>
    </row>
    <row r="250" spans="1:26" ht="15.75" customHeight="1" x14ac:dyDescent="0.25">
      <c r="A250" s="80" t="s">
        <v>406</v>
      </c>
      <c r="B250" s="81"/>
      <c r="C250" s="82"/>
      <c r="D250" s="81"/>
      <c r="E250" s="83"/>
      <c r="F250" s="81"/>
      <c r="G250" s="81"/>
      <c r="H250" s="81"/>
      <c r="I250" s="81"/>
      <c r="J250" s="81"/>
      <c r="K250" s="84"/>
      <c r="L250" s="85"/>
      <c r="M250" s="93"/>
      <c r="N250" s="93"/>
      <c r="O250" s="92"/>
    </row>
    <row r="251" spans="1:26" s="20" customFormat="1" ht="50.1" customHeight="1" collapsed="1" x14ac:dyDescent="0.25">
      <c r="A251" s="74"/>
      <c r="B251" s="74"/>
      <c r="C251" s="25">
        <v>531</v>
      </c>
      <c r="D251" s="16" t="s">
        <v>271</v>
      </c>
      <c r="E251" s="17" t="s">
        <v>229</v>
      </c>
      <c r="F251" s="18" t="s">
        <v>34</v>
      </c>
      <c r="G251" s="16">
        <v>1000</v>
      </c>
      <c r="H251" s="16">
        <v>375</v>
      </c>
      <c r="I251" s="16">
        <v>25</v>
      </c>
      <c r="J251" s="16">
        <v>7.9</v>
      </c>
      <c r="K251" s="75">
        <v>4473.924</v>
      </c>
      <c r="L251" s="75">
        <f t="shared" ref="L251:L252" si="83">K251/1.2</f>
        <v>3728.27</v>
      </c>
      <c r="M251" s="77">
        <f>K251-(K251*O251)</f>
        <v>2013.2657999999997</v>
      </c>
      <c r="N251" s="77">
        <f t="shared" ref="N251:N252" si="84">M251/1.2</f>
        <v>1677.7214999999999</v>
      </c>
      <c r="O251" s="76">
        <v>0.55000000000000004</v>
      </c>
    </row>
    <row r="252" spans="1:26" s="20" customFormat="1" ht="50.1" customHeight="1" x14ac:dyDescent="0.25">
      <c r="A252" s="54"/>
      <c r="B252" s="54"/>
      <c r="C252" s="25">
        <v>534</v>
      </c>
      <c r="D252" s="16" t="s">
        <v>290</v>
      </c>
      <c r="E252" s="17" t="s">
        <v>230</v>
      </c>
      <c r="F252" s="18" t="s">
        <v>34</v>
      </c>
      <c r="G252" s="16">
        <v>500</v>
      </c>
      <c r="H252" s="16">
        <v>358</v>
      </c>
      <c r="I252" s="16">
        <v>40</v>
      </c>
      <c r="J252" s="16">
        <v>11</v>
      </c>
      <c r="K252" s="79">
        <v>5674.2</v>
      </c>
      <c r="L252" s="75">
        <f t="shared" si="83"/>
        <v>4728.5</v>
      </c>
      <c r="M252" s="77">
        <f>K252-(K252*O252)</f>
        <v>2553.39</v>
      </c>
      <c r="N252" s="77">
        <f t="shared" si="84"/>
        <v>2127.8249999999998</v>
      </c>
      <c r="O252" s="76">
        <v>0.55000000000000004</v>
      </c>
    </row>
    <row r="253" spans="1:26" s="12" customFormat="1" ht="15.75" customHeight="1" x14ac:dyDescent="0.25">
      <c r="A253" s="80" t="s">
        <v>407</v>
      </c>
      <c r="B253" s="81"/>
      <c r="C253" s="82"/>
      <c r="D253" s="81"/>
      <c r="E253" s="83"/>
      <c r="F253" s="81"/>
      <c r="G253" s="81"/>
      <c r="H253" s="81"/>
      <c r="I253" s="81"/>
      <c r="J253" s="81"/>
      <c r="K253" s="84"/>
      <c r="L253" s="85"/>
      <c r="M253" s="93"/>
      <c r="N253" s="93"/>
      <c r="O253" s="92"/>
    </row>
    <row r="254" spans="1:26" s="20" customFormat="1" ht="50.1" customHeight="1" collapsed="1" x14ac:dyDescent="0.25">
      <c r="A254" s="27"/>
      <c r="B254" s="27"/>
      <c r="C254" s="25" t="s">
        <v>231</v>
      </c>
      <c r="D254" s="16" t="s">
        <v>290</v>
      </c>
      <c r="E254" s="17" t="s">
        <v>232</v>
      </c>
      <c r="F254" s="18" t="s">
        <v>34</v>
      </c>
      <c r="G254" s="19">
        <v>1000</v>
      </c>
      <c r="H254" s="16">
        <v>380</v>
      </c>
      <c r="I254" s="16">
        <v>294</v>
      </c>
      <c r="J254" s="16">
        <v>7.35</v>
      </c>
      <c r="K254" s="75">
        <v>4443</v>
      </c>
      <c r="L254" s="75">
        <f t="shared" ref="L254:L255" si="85">K254/1.2</f>
        <v>3702.5</v>
      </c>
      <c r="M254" s="77">
        <f>K254-(K254*O254)</f>
        <v>1999.35</v>
      </c>
      <c r="N254" s="77">
        <f t="shared" ref="N254:N255" si="86">M254/1.2</f>
        <v>1666.125</v>
      </c>
      <c r="O254" s="76">
        <v>0.55000000000000004</v>
      </c>
    </row>
    <row r="255" spans="1:26" s="20" customFormat="1" ht="50.1" customHeight="1" x14ac:dyDescent="0.25">
      <c r="A255" s="27"/>
      <c r="B255" s="27"/>
      <c r="C255" s="25" t="s">
        <v>233</v>
      </c>
      <c r="D255" s="16" t="s">
        <v>290</v>
      </c>
      <c r="E255" s="17" t="s">
        <v>234</v>
      </c>
      <c r="F255" s="18" t="s">
        <v>34</v>
      </c>
      <c r="G255" s="19">
        <v>1000</v>
      </c>
      <c r="H255" s="16">
        <v>380</v>
      </c>
      <c r="I255" s="16">
        <v>494</v>
      </c>
      <c r="J255" s="16">
        <v>10.32</v>
      </c>
      <c r="K255" s="79">
        <v>5307</v>
      </c>
      <c r="L255" s="75">
        <f t="shared" si="85"/>
        <v>4422.5</v>
      </c>
      <c r="M255" s="77">
        <f>K255-(K255*O255)</f>
        <v>2388.1499999999996</v>
      </c>
      <c r="N255" s="77">
        <f t="shared" si="86"/>
        <v>1990.1249999999998</v>
      </c>
      <c r="O255" s="76">
        <v>0.55000000000000004</v>
      </c>
    </row>
    <row r="256" spans="1:26" s="12" customFormat="1" ht="15.75" customHeight="1" x14ac:dyDescent="0.25">
      <c r="A256" s="80" t="s">
        <v>408</v>
      </c>
      <c r="B256" s="81"/>
      <c r="C256" s="82"/>
      <c r="D256" s="81"/>
      <c r="E256" s="83"/>
      <c r="F256" s="81"/>
      <c r="G256" s="81"/>
      <c r="H256" s="81"/>
      <c r="I256" s="81"/>
      <c r="J256" s="81"/>
      <c r="K256" s="84"/>
      <c r="L256" s="85"/>
      <c r="M256" s="93"/>
      <c r="N256" s="93"/>
      <c r="O256" s="92"/>
    </row>
    <row r="257" spans="1:26" s="20" customFormat="1" ht="50.1" customHeight="1" x14ac:dyDescent="0.25">
      <c r="A257" s="27"/>
      <c r="B257" s="27"/>
      <c r="C257" s="29">
        <v>535</v>
      </c>
      <c r="D257" s="16" t="s">
        <v>290</v>
      </c>
      <c r="E257" s="17" t="s">
        <v>235</v>
      </c>
      <c r="F257" s="18" t="s">
        <v>34</v>
      </c>
      <c r="G257" s="19">
        <v>500</v>
      </c>
      <c r="H257" s="16">
        <v>358</v>
      </c>
      <c r="I257" s="16">
        <v>42</v>
      </c>
      <c r="J257" s="31">
        <v>3.52</v>
      </c>
      <c r="K257" s="75">
        <v>2650</v>
      </c>
      <c r="L257" s="75">
        <f t="shared" ref="L257:L258" si="87">K257/1.2</f>
        <v>2208.3333333333335</v>
      </c>
      <c r="M257" s="77">
        <f>K257-(K257*O257)</f>
        <v>1192.4999999999998</v>
      </c>
      <c r="N257" s="77">
        <f t="shared" ref="N257:N258" si="88">M257/1.2</f>
        <v>993.74999999999989</v>
      </c>
      <c r="O257" s="76">
        <v>0.55000000000000004</v>
      </c>
    </row>
    <row r="258" spans="1:26" s="20" customFormat="1" ht="50.1" customHeight="1" x14ac:dyDescent="0.25">
      <c r="A258" s="27"/>
      <c r="B258" s="27"/>
      <c r="C258" s="29">
        <v>536</v>
      </c>
      <c r="D258" s="16" t="s">
        <v>290</v>
      </c>
      <c r="E258" s="17" t="s">
        <v>236</v>
      </c>
      <c r="F258" s="18" t="s">
        <v>34</v>
      </c>
      <c r="G258" s="19">
        <v>500</v>
      </c>
      <c r="H258" s="16">
        <v>358</v>
      </c>
      <c r="I258" s="16">
        <v>42</v>
      </c>
      <c r="J258" s="16">
        <v>3.98</v>
      </c>
      <c r="K258" s="79">
        <v>2650</v>
      </c>
      <c r="L258" s="75">
        <f t="shared" si="87"/>
        <v>2208.3333333333335</v>
      </c>
      <c r="M258" s="77">
        <f>K258-(K258*O258)</f>
        <v>1192.4999999999998</v>
      </c>
      <c r="N258" s="77">
        <f t="shared" si="88"/>
        <v>993.74999999999989</v>
      </c>
      <c r="O258" s="76">
        <v>0.55000000000000004</v>
      </c>
    </row>
    <row r="259" spans="1:26" s="13" customFormat="1" ht="15.75" customHeight="1" x14ac:dyDescent="0.25">
      <c r="A259" s="88" t="s">
        <v>377</v>
      </c>
      <c r="B259" s="89"/>
      <c r="C259" s="90"/>
      <c r="D259" s="89"/>
      <c r="E259" s="91"/>
      <c r="F259" s="89"/>
      <c r="G259" s="89"/>
      <c r="H259" s="89"/>
      <c r="I259" s="89"/>
      <c r="J259" s="89"/>
      <c r="K259" s="84"/>
      <c r="L259" s="85"/>
      <c r="M259" s="93"/>
      <c r="N259" s="93"/>
      <c r="O259" s="9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s="12" customFormat="1" ht="50.1" customHeight="1" x14ac:dyDescent="0.25">
      <c r="A260" s="14"/>
      <c r="B260" s="14"/>
      <c r="C260" s="25">
        <v>106</v>
      </c>
      <c r="D260" s="16" t="s">
        <v>48</v>
      </c>
      <c r="E260" s="17" t="s">
        <v>359</v>
      </c>
      <c r="F260" s="18" t="s">
        <v>288</v>
      </c>
      <c r="G260" s="16"/>
      <c r="H260" s="16"/>
      <c r="I260" s="16"/>
      <c r="J260" s="16"/>
      <c r="K260" s="94">
        <v>43.89</v>
      </c>
      <c r="L260" s="75">
        <f>K260/1.2</f>
        <v>36.575000000000003</v>
      </c>
      <c r="M260" s="77">
        <f>K260-(K260*O260)</f>
        <v>26.334</v>
      </c>
      <c r="N260" s="77">
        <f>M260/1.2</f>
        <v>21.945</v>
      </c>
      <c r="O260" s="76">
        <v>0.4</v>
      </c>
    </row>
    <row r="261" spans="1:26" s="13" customFormat="1" ht="15.75" customHeight="1" x14ac:dyDescent="0.25">
      <c r="A261" s="80" t="s">
        <v>409</v>
      </c>
      <c r="B261" s="81"/>
      <c r="C261" s="82"/>
      <c r="D261" s="81"/>
      <c r="E261" s="83"/>
      <c r="F261" s="81"/>
      <c r="G261" s="81"/>
      <c r="H261" s="81"/>
      <c r="I261" s="81"/>
      <c r="J261" s="81"/>
      <c r="K261" s="84"/>
      <c r="L261" s="85"/>
      <c r="M261" s="87"/>
      <c r="N261" s="87"/>
      <c r="O261" s="86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s="20" customFormat="1" ht="50.1" customHeight="1" x14ac:dyDescent="0.25">
      <c r="A262" s="74"/>
      <c r="B262" s="74"/>
      <c r="C262" s="15" t="s">
        <v>237</v>
      </c>
      <c r="D262" s="16" t="s">
        <v>361</v>
      </c>
      <c r="E262" s="17" t="s">
        <v>238</v>
      </c>
      <c r="F262" s="18" t="s">
        <v>34</v>
      </c>
      <c r="G262" s="19">
        <v>1000</v>
      </c>
      <c r="H262" s="16">
        <v>383</v>
      </c>
      <c r="I262" s="16">
        <v>295.5</v>
      </c>
      <c r="J262" s="16">
        <v>9.0500000000000007</v>
      </c>
      <c r="K262" s="75">
        <v>6516.71</v>
      </c>
      <c r="L262" s="75">
        <f t="shared" ref="L262:L264" si="89">K262/1.2</f>
        <v>5430.5916666666672</v>
      </c>
      <c r="M262" s="77">
        <f>K262-(K262*O262)</f>
        <v>2932.5194999999999</v>
      </c>
      <c r="N262" s="77">
        <f t="shared" ref="N262:N264" si="90">M262/1.2</f>
        <v>2443.7662500000001</v>
      </c>
      <c r="O262" s="76">
        <v>0.55000000000000004</v>
      </c>
    </row>
    <row r="263" spans="1:26" s="20" customFormat="1" ht="50.1" customHeight="1" x14ac:dyDescent="0.25">
      <c r="A263" s="107"/>
      <c r="B263" s="107"/>
      <c r="C263" s="15" t="s">
        <v>239</v>
      </c>
      <c r="D263" s="16" t="s">
        <v>361</v>
      </c>
      <c r="E263" s="17" t="s">
        <v>240</v>
      </c>
      <c r="F263" s="18" t="s">
        <v>34</v>
      </c>
      <c r="G263" s="16">
        <v>1000</v>
      </c>
      <c r="H263" s="16">
        <v>383</v>
      </c>
      <c r="I263" s="16">
        <v>395.5</v>
      </c>
      <c r="J263" s="16">
        <v>9.6</v>
      </c>
      <c r="K263" s="73">
        <v>6968.9</v>
      </c>
      <c r="L263" s="75">
        <f t="shared" si="89"/>
        <v>5807.416666666667</v>
      </c>
      <c r="M263" s="77">
        <f>K263-(K263*O263)</f>
        <v>3136.0049999999997</v>
      </c>
      <c r="N263" s="77">
        <f t="shared" si="90"/>
        <v>2613.3374999999996</v>
      </c>
      <c r="O263" s="76">
        <v>0.55000000000000004</v>
      </c>
    </row>
    <row r="264" spans="1:26" s="20" customFormat="1" ht="50.1" customHeight="1" x14ac:dyDescent="0.25">
      <c r="A264" s="74"/>
      <c r="B264" s="74"/>
      <c r="C264" s="15" t="s">
        <v>241</v>
      </c>
      <c r="D264" s="16" t="s">
        <v>361</v>
      </c>
      <c r="E264" s="17" t="s">
        <v>242</v>
      </c>
      <c r="F264" s="18" t="s">
        <v>34</v>
      </c>
      <c r="G264" s="19">
        <v>1000</v>
      </c>
      <c r="H264" s="16">
        <v>383</v>
      </c>
      <c r="I264" s="16">
        <v>495.5</v>
      </c>
      <c r="J264" s="16">
        <v>11.6</v>
      </c>
      <c r="K264" s="79">
        <v>7192.91</v>
      </c>
      <c r="L264" s="75">
        <f t="shared" si="89"/>
        <v>5994.0916666666672</v>
      </c>
      <c r="M264" s="77">
        <f>K264-(K264*O264)</f>
        <v>3236.8094999999994</v>
      </c>
      <c r="N264" s="77">
        <f t="shared" si="90"/>
        <v>2697.3412499999995</v>
      </c>
      <c r="O264" s="76">
        <v>0.55000000000000004</v>
      </c>
    </row>
    <row r="265" spans="1:26" s="13" customFormat="1" ht="15.75" customHeight="1" x14ac:dyDescent="0.25">
      <c r="A265" s="80" t="s">
        <v>410</v>
      </c>
      <c r="B265" s="81"/>
      <c r="C265" s="82"/>
      <c r="D265" s="81"/>
      <c r="E265" s="83"/>
      <c r="F265" s="81"/>
      <c r="G265" s="81"/>
      <c r="H265" s="81"/>
      <c r="I265" s="81"/>
      <c r="J265" s="81"/>
      <c r="K265" s="84"/>
      <c r="L265" s="85"/>
      <c r="M265" s="87"/>
      <c r="N265" s="87"/>
      <c r="O265" s="86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s="20" customFormat="1" ht="50.1" customHeight="1" x14ac:dyDescent="0.25">
      <c r="A266" s="54"/>
      <c r="B266" s="54"/>
      <c r="C266" s="25" t="s">
        <v>243</v>
      </c>
      <c r="D266" s="16" t="s">
        <v>361</v>
      </c>
      <c r="E266" s="17" t="s">
        <v>244</v>
      </c>
      <c r="F266" s="18" t="s">
        <v>34</v>
      </c>
      <c r="G266" s="16">
        <v>500</v>
      </c>
      <c r="H266" s="16">
        <v>375</v>
      </c>
      <c r="I266" s="16">
        <v>21</v>
      </c>
      <c r="J266" s="16">
        <v>19.100000000000001</v>
      </c>
      <c r="K266" s="94">
        <v>6018.1</v>
      </c>
      <c r="L266" s="75">
        <f>K266/1.2</f>
        <v>5015.0833333333339</v>
      </c>
      <c r="M266" s="77">
        <f>K266-(K266*O266)</f>
        <v>3009.05</v>
      </c>
      <c r="N266" s="77">
        <f>M266/1.2</f>
        <v>2507.541666666667</v>
      </c>
      <c r="O266" s="76">
        <v>0.5</v>
      </c>
    </row>
    <row r="267" spans="1:26" s="162" customFormat="1" ht="15.75" customHeight="1" x14ac:dyDescent="0.25">
      <c r="A267" s="88" t="s">
        <v>411</v>
      </c>
      <c r="B267" s="89"/>
      <c r="C267" s="90"/>
      <c r="D267" s="89"/>
      <c r="E267" s="91"/>
      <c r="F267" s="89"/>
      <c r="G267" s="89"/>
      <c r="H267" s="89"/>
      <c r="I267" s="89"/>
      <c r="J267" s="89"/>
      <c r="K267" s="84"/>
      <c r="L267" s="85"/>
      <c r="M267" s="87"/>
      <c r="N267" s="87"/>
      <c r="O267" s="86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s="13" customFormat="1" ht="50.1" customHeight="1" x14ac:dyDescent="0.25">
      <c r="A268" s="38"/>
      <c r="B268" s="38"/>
      <c r="C268" s="25">
        <v>106</v>
      </c>
      <c r="D268" s="16" t="s">
        <v>48</v>
      </c>
      <c r="E268" s="17" t="s">
        <v>359</v>
      </c>
      <c r="F268" s="18" t="s">
        <v>288</v>
      </c>
      <c r="G268" s="16"/>
      <c r="H268" s="16"/>
      <c r="I268" s="16"/>
      <c r="J268" s="16"/>
      <c r="K268" s="94">
        <v>43.89</v>
      </c>
      <c r="L268" s="75">
        <f>K268/1.2</f>
        <v>36.575000000000003</v>
      </c>
      <c r="M268" s="77">
        <f>K268-(K268*O268)</f>
        <v>26.334</v>
      </c>
      <c r="N268" s="77">
        <f>M268/1.2</f>
        <v>21.945</v>
      </c>
      <c r="O268" s="76">
        <v>0.4</v>
      </c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s="12" customFormat="1" ht="15.75" customHeight="1" x14ac:dyDescent="0.25">
      <c r="A269" s="80" t="s">
        <v>412</v>
      </c>
      <c r="B269" s="81"/>
      <c r="C269" s="82"/>
      <c r="D269" s="81"/>
      <c r="E269" s="83"/>
      <c r="F269" s="81"/>
      <c r="G269" s="81"/>
      <c r="H269" s="81"/>
      <c r="I269" s="81"/>
      <c r="J269" s="81"/>
      <c r="K269" s="84"/>
      <c r="L269" s="85"/>
      <c r="M269" s="93"/>
      <c r="N269" s="93"/>
      <c r="O269" s="92"/>
    </row>
    <row r="270" spans="1:26" s="12" customFormat="1" ht="15.75" customHeight="1" x14ac:dyDescent="0.25">
      <c r="A270" s="88" t="s">
        <v>413</v>
      </c>
      <c r="B270" s="88"/>
      <c r="C270" s="140"/>
      <c r="D270" s="88"/>
      <c r="E270" s="141"/>
      <c r="F270" s="88"/>
      <c r="G270" s="88"/>
      <c r="H270" s="88"/>
      <c r="I270" s="88"/>
      <c r="J270" s="88"/>
      <c r="K270" s="84"/>
      <c r="L270" s="84"/>
      <c r="M270" s="118"/>
      <c r="N270" s="118"/>
      <c r="O270" s="117"/>
    </row>
    <row r="271" spans="1:26" s="20" customFormat="1" ht="50.1" customHeight="1" x14ac:dyDescent="0.25">
      <c r="A271" s="163"/>
      <c r="B271" s="163"/>
      <c r="C271" s="164">
        <v>249</v>
      </c>
      <c r="D271" s="165" t="s">
        <v>290</v>
      </c>
      <c r="E271" s="166" t="s">
        <v>414</v>
      </c>
      <c r="F271" s="167" t="s">
        <v>288</v>
      </c>
      <c r="G271" s="165">
        <v>200</v>
      </c>
      <c r="H271" s="165">
        <v>200</v>
      </c>
      <c r="I271" s="165">
        <v>200</v>
      </c>
      <c r="J271" s="165">
        <v>2.1</v>
      </c>
      <c r="K271" s="75">
        <v>339.04</v>
      </c>
      <c r="L271" s="75">
        <f t="shared" ref="L271:L273" si="91">K271/1.2</f>
        <v>282.53333333333336</v>
      </c>
      <c r="M271" s="77">
        <f>K271-(K271*O271)</f>
        <v>169.52</v>
      </c>
      <c r="N271" s="77">
        <f t="shared" ref="N271:N273" si="92">M271/1.2</f>
        <v>141.26666666666668</v>
      </c>
      <c r="O271" s="76">
        <v>0.5</v>
      </c>
    </row>
    <row r="272" spans="1:26" s="20" customFormat="1" ht="50.1" customHeight="1" x14ac:dyDescent="0.25">
      <c r="A272" s="163"/>
      <c r="B272" s="163"/>
      <c r="C272" s="164">
        <v>212</v>
      </c>
      <c r="D272" s="165" t="s">
        <v>48</v>
      </c>
      <c r="E272" s="166" t="s">
        <v>415</v>
      </c>
      <c r="F272" s="167" t="s">
        <v>288</v>
      </c>
      <c r="G272" s="165">
        <v>158.80000000000001</v>
      </c>
      <c r="H272" s="165">
        <v>2.5</v>
      </c>
      <c r="I272" s="165">
        <v>130</v>
      </c>
      <c r="J272" s="165">
        <v>0.06</v>
      </c>
      <c r="K272" s="73">
        <v>49.05</v>
      </c>
      <c r="L272" s="75">
        <f t="shared" si="91"/>
        <v>40.875</v>
      </c>
      <c r="M272" s="77">
        <f>K272-(K272*O272)</f>
        <v>24.524999999999999</v>
      </c>
      <c r="N272" s="77">
        <f t="shared" si="92"/>
        <v>20.4375</v>
      </c>
      <c r="O272" s="76">
        <v>0.5</v>
      </c>
    </row>
    <row r="273" spans="1:15" s="20" customFormat="1" ht="50.1" customHeight="1" x14ac:dyDescent="0.25">
      <c r="A273" s="163"/>
      <c r="B273" s="163"/>
      <c r="C273" s="164">
        <v>213</v>
      </c>
      <c r="D273" s="165" t="s">
        <v>48</v>
      </c>
      <c r="E273" s="166" t="s">
        <v>416</v>
      </c>
      <c r="F273" s="167" t="s">
        <v>288</v>
      </c>
      <c r="G273" s="165">
        <v>156</v>
      </c>
      <c r="H273" s="165">
        <v>115</v>
      </c>
      <c r="I273" s="165">
        <v>99.5</v>
      </c>
      <c r="J273" s="165">
        <v>0.106</v>
      </c>
      <c r="K273" s="79">
        <v>85</v>
      </c>
      <c r="L273" s="75">
        <f t="shared" si="91"/>
        <v>70.833333333333343</v>
      </c>
      <c r="M273" s="77">
        <f>K273-(K273*O273)</f>
        <v>42.5</v>
      </c>
      <c r="N273" s="77">
        <f t="shared" si="92"/>
        <v>35.416666666666671</v>
      </c>
      <c r="O273" s="76">
        <v>0.5</v>
      </c>
    </row>
    <row r="274" spans="1:15" s="12" customFormat="1" ht="15.75" customHeight="1" x14ac:dyDescent="0.25">
      <c r="A274" s="88" t="s">
        <v>417</v>
      </c>
      <c r="B274" s="89"/>
      <c r="C274" s="90"/>
      <c r="D274" s="114"/>
      <c r="E274" s="91"/>
      <c r="F274" s="89"/>
      <c r="G274" s="89"/>
      <c r="H274" s="89"/>
      <c r="I274" s="89"/>
      <c r="J274" s="89"/>
      <c r="K274" s="84"/>
      <c r="L274" s="85"/>
      <c r="M274" s="93"/>
      <c r="N274" s="93"/>
      <c r="O274" s="92"/>
    </row>
    <row r="275" spans="1:15" s="20" customFormat="1" ht="50.1" customHeight="1" x14ac:dyDescent="0.25">
      <c r="A275" s="163"/>
      <c r="B275" s="163"/>
      <c r="C275" s="164">
        <v>203</v>
      </c>
      <c r="D275" s="165" t="s">
        <v>271</v>
      </c>
      <c r="E275" s="166" t="s">
        <v>418</v>
      </c>
      <c r="F275" s="167" t="s">
        <v>288</v>
      </c>
      <c r="G275" s="165">
        <v>188</v>
      </c>
      <c r="H275" s="165">
        <v>188</v>
      </c>
      <c r="I275" s="165">
        <v>20</v>
      </c>
      <c r="J275" s="165">
        <v>0.19</v>
      </c>
      <c r="K275" s="94">
        <v>124.44</v>
      </c>
      <c r="L275" s="75">
        <f>K275/1.2</f>
        <v>103.7</v>
      </c>
      <c r="M275" s="77">
        <f>K275-(K275*O275)</f>
        <v>62.22</v>
      </c>
      <c r="N275" s="77">
        <f>M275/1.2</f>
        <v>51.85</v>
      </c>
      <c r="O275" s="76">
        <v>0.5</v>
      </c>
    </row>
    <row r="276" spans="1:15" s="12" customFormat="1" ht="15.75" customHeight="1" x14ac:dyDescent="0.25">
      <c r="A276" s="88" t="s">
        <v>419</v>
      </c>
      <c r="B276" s="89"/>
      <c r="C276" s="90"/>
      <c r="D276" s="114"/>
      <c r="E276" s="91"/>
      <c r="F276" s="89"/>
      <c r="G276" s="89"/>
      <c r="H276" s="89"/>
      <c r="I276" s="89"/>
      <c r="J276" s="89"/>
      <c r="K276" s="84"/>
      <c r="L276" s="85"/>
      <c r="M276" s="93"/>
      <c r="N276" s="93"/>
      <c r="O276" s="92"/>
    </row>
    <row r="277" spans="1:15" s="20" customFormat="1" ht="50.1" customHeight="1" x14ac:dyDescent="0.25">
      <c r="A277" s="168"/>
      <c r="B277" s="168"/>
      <c r="C277" s="164" t="s">
        <v>420</v>
      </c>
      <c r="D277" s="165" t="s">
        <v>290</v>
      </c>
      <c r="E277" s="166" t="s">
        <v>421</v>
      </c>
      <c r="F277" s="167" t="s">
        <v>288</v>
      </c>
      <c r="G277" s="165">
        <v>300</v>
      </c>
      <c r="H277" s="165">
        <v>300</v>
      </c>
      <c r="I277" s="165">
        <v>300</v>
      </c>
      <c r="J277" s="165">
        <v>1.5</v>
      </c>
      <c r="K277" s="75">
        <v>662</v>
      </c>
      <c r="L277" s="75">
        <f t="shared" ref="L277:L279" si="93">K277/1.2</f>
        <v>551.66666666666674</v>
      </c>
      <c r="M277" s="77">
        <f>K277-(K277*O277)</f>
        <v>331</v>
      </c>
      <c r="N277" s="77">
        <f t="shared" ref="N277:N279" si="94">M277/1.2</f>
        <v>275.83333333333337</v>
      </c>
      <c r="O277" s="76">
        <v>0.5</v>
      </c>
    </row>
    <row r="278" spans="1:15" s="20" customFormat="1" ht="50.1" customHeight="1" x14ac:dyDescent="0.25">
      <c r="A278" s="163"/>
      <c r="B278" s="163"/>
      <c r="C278" s="164">
        <v>210</v>
      </c>
      <c r="D278" s="165" t="s">
        <v>48</v>
      </c>
      <c r="E278" s="166" t="s">
        <v>422</v>
      </c>
      <c r="F278" s="167" t="s">
        <v>288</v>
      </c>
      <c r="G278" s="165">
        <v>250</v>
      </c>
      <c r="H278" s="165">
        <v>2.5</v>
      </c>
      <c r="I278" s="165">
        <v>242</v>
      </c>
      <c r="J278" s="165">
        <v>0.16</v>
      </c>
      <c r="K278" s="73">
        <v>89.44</v>
      </c>
      <c r="L278" s="75">
        <f t="shared" si="93"/>
        <v>74.533333333333331</v>
      </c>
      <c r="M278" s="77">
        <f>K278-(K278*O278)</f>
        <v>44.72</v>
      </c>
      <c r="N278" s="77">
        <f t="shared" si="94"/>
        <v>37.266666666666666</v>
      </c>
      <c r="O278" s="76">
        <v>0.5</v>
      </c>
    </row>
    <row r="279" spans="1:15" s="20" customFormat="1" ht="50.1" customHeight="1" x14ac:dyDescent="0.25">
      <c r="A279" s="163"/>
      <c r="B279" s="163"/>
      <c r="C279" s="164">
        <v>215</v>
      </c>
      <c r="D279" s="165" t="s">
        <v>48</v>
      </c>
      <c r="E279" s="166" t="s">
        <v>423</v>
      </c>
      <c r="F279" s="167" t="s">
        <v>288</v>
      </c>
      <c r="G279" s="165">
        <v>245</v>
      </c>
      <c r="H279" s="165">
        <v>158</v>
      </c>
      <c r="I279" s="165">
        <v>157</v>
      </c>
      <c r="J279" s="165">
        <v>0.26</v>
      </c>
      <c r="K279" s="79">
        <v>134</v>
      </c>
      <c r="L279" s="75">
        <f t="shared" si="93"/>
        <v>111.66666666666667</v>
      </c>
      <c r="M279" s="77">
        <f>K279-(K279*O279)</f>
        <v>67</v>
      </c>
      <c r="N279" s="77">
        <f t="shared" si="94"/>
        <v>55.833333333333336</v>
      </c>
      <c r="O279" s="76">
        <v>0.5</v>
      </c>
    </row>
    <row r="280" spans="1:15" s="12" customFormat="1" ht="15.75" customHeight="1" x14ac:dyDescent="0.25">
      <c r="A280" s="88" t="s">
        <v>424</v>
      </c>
      <c r="B280" s="89"/>
      <c r="C280" s="90"/>
      <c r="D280" s="114"/>
      <c r="E280" s="91"/>
      <c r="F280" s="89"/>
      <c r="G280" s="89"/>
      <c r="H280" s="89"/>
      <c r="I280" s="89"/>
      <c r="J280" s="89"/>
      <c r="K280" s="84"/>
      <c r="L280" s="85"/>
      <c r="M280" s="93"/>
      <c r="N280" s="93"/>
      <c r="O280" s="92"/>
    </row>
    <row r="281" spans="1:15" s="20" customFormat="1" ht="50.1" customHeight="1" x14ac:dyDescent="0.25">
      <c r="A281" s="168"/>
      <c r="B281" s="168"/>
      <c r="C281" s="164">
        <v>200</v>
      </c>
      <c r="D281" s="165" t="s">
        <v>271</v>
      </c>
      <c r="E281" s="166" t="s">
        <v>425</v>
      </c>
      <c r="F281" s="167" t="s">
        <v>288</v>
      </c>
      <c r="G281" s="165">
        <v>285</v>
      </c>
      <c r="H281" s="165">
        <v>285</v>
      </c>
      <c r="I281" s="165">
        <v>21</v>
      </c>
      <c r="J281" s="165">
        <v>0.75</v>
      </c>
      <c r="K281" s="75">
        <v>597.08000000000004</v>
      </c>
      <c r="L281" s="75">
        <f t="shared" ref="L281:L285" si="95">K281/1.2</f>
        <v>497.56666666666672</v>
      </c>
      <c r="M281" s="77">
        <f>K281-(K281*O281)</f>
        <v>268.68599999999998</v>
      </c>
      <c r="N281" s="77">
        <f t="shared" ref="N281:N285" si="96">M281/1.2</f>
        <v>223.905</v>
      </c>
      <c r="O281" s="76">
        <v>0.55000000000000004</v>
      </c>
    </row>
    <row r="282" spans="1:15" s="20" customFormat="1" ht="50.1" customHeight="1" x14ac:dyDescent="0.25">
      <c r="A282" s="163"/>
      <c r="B282" s="163"/>
      <c r="C282" s="164">
        <v>205</v>
      </c>
      <c r="D282" s="165" t="s">
        <v>290</v>
      </c>
      <c r="E282" s="166" t="s">
        <v>426</v>
      </c>
      <c r="F282" s="167" t="s">
        <v>288</v>
      </c>
      <c r="G282" s="165">
        <v>285</v>
      </c>
      <c r="H282" s="165">
        <v>285</v>
      </c>
      <c r="I282" s="165">
        <v>21</v>
      </c>
      <c r="J282" s="165">
        <v>3.2</v>
      </c>
      <c r="K282" s="73">
        <v>963</v>
      </c>
      <c r="L282" s="75">
        <f t="shared" si="95"/>
        <v>802.5</v>
      </c>
      <c r="M282" s="77">
        <f>K282-(K282*O282)</f>
        <v>481.5</v>
      </c>
      <c r="N282" s="77">
        <f t="shared" si="96"/>
        <v>401.25</v>
      </c>
      <c r="O282" s="76">
        <v>0.5</v>
      </c>
    </row>
    <row r="283" spans="1:15" s="20" customFormat="1" ht="50.1" customHeight="1" x14ac:dyDescent="0.25">
      <c r="A283" s="169"/>
      <c r="B283" s="170"/>
      <c r="C283" s="171" t="s">
        <v>427</v>
      </c>
      <c r="D283" s="165" t="s">
        <v>428</v>
      </c>
      <c r="E283" s="172" t="s">
        <v>426</v>
      </c>
      <c r="F283" s="167" t="s">
        <v>288</v>
      </c>
      <c r="G283" s="173">
        <v>285</v>
      </c>
      <c r="H283" s="173">
        <v>285</v>
      </c>
      <c r="I283" s="173">
        <v>21</v>
      </c>
      <c r="J283" s="173">
        <v>3.2</v>
      </c>
      <c r="K283" s="73">
        <v>923</v>
      </c>
      <c r="L283" s="75">
        <f t="shared" si="95"/>
        <v>769.16666666666674</v>
      </c>
      <c r="M283" s="77">
        <f>K283-(K283*O283)</f>
        <v>461.5</v>
      </c>
      <c r="N283" s="77">
        <f t="shared" si="96"/>
        <v>384.58333333333337</v>
      </c>
      <c r="O283" s="76">
        <v>0.5</v>
      </c>
    </row>
    <row r="284" spans="1:15" s="20" customFormat="1" ht="50.1" customHeight="1" x14ac:dyDescent="0.25">
      <c r="A284" s="168"/>
      <c r="B284" s="168"/>
      <c r="C284" s="164">
        <v>206</v>
      </c>
      <c r="D284" s="165" t="s">
        <v>275</v>
      </c>
      <c r="E284" s="166" t="s">
        <v>429</v>
      </c>
      <c r="F284" s="167" t="s">
        <v>288</v>
      </c>
      <c r="G284" s="165">
        <v>285</v>
      </c>
      <c r="H284" s="165">
        <v>285</v>
      </c>
      <c r="I284" s="165">
        <v>21</v>
      </c>
      <c r="J284" s="165">
        <v>1.7</v>
      </c>
      <c r="K284" s="73">
        <v>1073.3699999999999</v>
      </c>
      <c r="L284" s="75">
        <f t="shared" si="95"/>
        <v>894.47499999999991</v>
      </c>
      <c r="M284" s="77">
        <f>K284-(K284*O284)</f>
        <v>536.68499999999995</v>
      </c>
      <c r="N284" s="77">
        <f t="shared" si="96"/>
        <v>447.23749999999995</v>
      </c>
      <c r="O284" s="76">
        <v>0.5</v>
      </c>
    </row>
    <row r="285" spans="1:15" s="20" customFormat="1" ht="50.1" customHeight="1" x14ac:dyDescent="0.25">
      <c r="A285" s="163"/>
      <c r="B285" s="163"/>
      <c r="C285" s="174">
        <v>208</v>
      </c>
      <c r="D285" s="165" t="s">
        <v>271</v>
      </c>
      <c r="E285" s="166" t="s">
        <v>430</v>
      </c>
      <c r="F285" s="167" t="s">
        <v>288</v>
      </c>
      <c r="G285" s="175">
        <v>285</v>
      </c>
      <c r="H285" s="165">
        <v>285</v>
      </c>
      <c r="I285" s="165">
        <v>21</v>
      </c>
      <c r="J285" s="165">
        <v>0.5</v>
      </c>
      <c r="K285" s="79">
        <v>273</v>
      </c>
      <c r="L285" s="75">
        <f t="shared" si="95"/>
        <v>227.5</v>
      </c>
      <c r="M285" s="77">
        <f>K285-(K285*O285)</f>
        <v>122.85</v>
      </c>
      <c r="N285" s="77">
        <f t="shared" si="96"/>
        <v>102.375</v>
      </c>
      <c r="O285" s="76">
        <v>0.55000000000000004</v>
      </c>
    </row>
    <row r="286" spans="1:15" s="12" customFormat="1" ht="15.75" customHeight="1" x14ac:dyDescent="0.25">
      <c r="A286" s="88" t="s">
        <v>431</v>
      </c>
      <c r="B286" s="89"/>
      <c r="C286" s="90"/>
      <c r="D286" s="114"/>
      <c r="E286" s="91"/>
      <c r="F286" s="89"/>
      <c r="G286" s="89"/>
      <c r="H286" s="89"/>
      <c r="I286" s="89"/>
      <c r="J286" s="89"/>
      <c r="K286" s="84"/>
      <c r="L286" s="85"/>
      <c r="M286" s="87"/>
      <c r="N286" s="87"/>
      <c r="O286" s="86"/>
    </row>
    <row r="287" spans="1:15" s="20" customFormat="1" ht="50.1" customHeight="1" x14ac:dyDescent="0.25">
      <c r="A287" s="176"/>
      <c r="B287" s="176"/>
      <c r="C287" s="164">
        <v>239</v>
      </c>
      <c r="D287" s="165" t="s">
        <v>290</v>
      </c>
      <c r="E287" s="166" t="s">
        <v>432</v>
      </c>
      <c r="F287" s="167" t="s">
        <v>288</v>
      </c>
      <c r="G287" s="165">
        <v>400</v>
      </c>
      <c r="H287" s="165">
        <v>400</v>
      </c>
      <c r="I287" s="165">
        <v>400</v>
      </c>
      <c r="J287" s="165">
        <v>4.21</v>
      </c>
      <c r="K287" s="75">
        <v>1634</v>
      </c>
      <c r="L287" s="75">
        <f t="shared" ref="L287:L289" si="97">K287/1.2</f>
        <v>1361.6666666666667</v>
      </c>
      <c r="M287" s="77">
        <f>K287-(K287*O287)</f>
        <v>735.3</v>
      </c>
      <c r="N287" s="77">
        <f t="shared" ref="N287:N289" si="98">M287/1.2</f>
        <v>612.75</v>
      </c>
      <c r="O287" s="76">
        <v>0.55000000000000004</v>
      </c>
    </row>
    <row r="288" spans="1:15" s="20" customFormat="1" ht="50.1" customHeight="1" x14ac:dyDescent="0.25">
      <c r="A288" s="176"/>
      <c r="B288" s="176"/>
      <c r="C288" s="164">
        <v>211</v>
      </c>
      <c r="D288" s="165" t="s">
        <v>48</v>
      </c>
      <c r="E288" s="166" t="s">
        <v>433</v>
      </c>
      <c r="F288" s="167" t="s">
        <v>288</v>
      </c>
      <c r="G288" s="165">
        <v>353.5</v>
      </c>
      <c r="H288" s="165">
        <v>2.5</v>
      </c>
      <c r="I288" s="165">
        <v>289.5</v>
      </c>
      <c r="J288" s="165">
        <v>0.28999999999999998</v>
      </c>
      <c r="K288" s="73">
        <v>187</v>
      </c>
      <c r="L288" s="75">
        <f t="shared" si="97"/>
        <v>155.83333333333334</v>
      </c>
      <c r="M288" s="77">
        <f>K288-(K288*O288)</f>
        <v>84.149999999999991</v>
      </c>
      <c r="N288" s="77">
        <f t="shared" si="98"/>
        <v>70.125</v>
      </c>
      <c r="O288" s="76">
        <v>0.55000000000000004</v>
      </c>
    </row>
    <row r="289" spans="1:26" s="20" customFormat="1" ht="50.1" customHeight="1" x14ac:dyDescent="0.25">
      <c r="A289" s="176"/>
      <c r="B289" s="176"/>
      <c r="C289" s="164">
        <v>214</v>
      </c>
      <c r="D289" s="165" t="s">
        <v>48</v>
      </c>
      <c r="E289" s="166" t="s">
        <v>434</v>
      </c>
      <c r="F289" s="167" t="s">
        <v>288</v>
      </c>
      <c r="G289" s="165">
        <v>350</v>
      </c>
      <c r="H289" s="165">
        <v>262</v>
      </c>
      <c r="I289" s="165">
        <v>150</v>
      </c>
      <c r="J289" s="165">
        <v>0.48</v>
      </c>
      <c r="K289" s="79">
        <v>385</v>
      </c>
      <c r="L289" s="75">
        <f t="shared" si="97"/>
        <v>320.83333333333337</v>
      </c>
      <c r="M289" s="77">
        <f>K289-(K289*O289)</f>
        <v>173.24999999999997</v>
      </c>
      <c r="N289" s="77">
        <f t="shared" si="98"/>
        <v>144.37499999999997</v>
      </c>
      <c r="O289" s="76">
        <v>0.55000000000000004</v>
      </c>
    </row>
    <row r="290" spans="1:26" s="12" customFormat="1" ht="15.75" customHeight="1" x14ac:dyDescent="0.25">
      <c r="A290" s="88" t="s">
        <v>435</v>
      </c>
      <c r="B290" s="89"/>
      <c r="C290" s="90"/>
      <c r="D290" s="114"/>
      <c r="E290" s="91"/>
      <c r="F290" s="89"/>
      <c r="G290" s="89"/>
      <c r="H290" s="89"/>
      <c r="I290" s="89"/>
      <c r="J290" s="89"/>
      <c r="K290" s="84"/>
      <c r="L290" s="85"/>
      <c r="M290" s="87"/>
      <c r="N290" s="87"/>
      <c r="O290" s="86"/>
    </row>
    <row r="291" spans="1:26" s="20" customFormat="1" ht="50.1" customHeight="1" collapsed="1" x14ac:dyDescent="0.25">
      <c r="A291" s="176"/>
      <c r="B291" s="176"/>
      <c r="C291" s="164">
        <v>207</v>
      </c>
      <c r="D291" s="165" t="s">
        <v>271</v>
      </c>
      <c r="E291" s="166" t="s">
        <v>436</v>
      </c>
      <c r="F291" s="167" t="s">
        <v>288</v>
      </c>
      <c r="G291" s="165">
        <v>390</v>
      </c>
      <c r="H291" s="165">
        <v>390</v>
      </c>
      <c r="I291" s="165">
        <v>35</v>
      </c>
      <c r="J291" s="165">
        <v>1.41</v>
      </c>
      <c r="K291" s="75">
        <v>1122</v>
      </c>
      <c r="L291" s="75">
        <f t="shared" ref="L291:L292" si="99">K291/1.2</f>
        <v>935</v>
      </c>
      <c r="M291" s="77">
        <f>K291-(K291*O291)</f>
        <v>504.9</v>
      </c>
      <c r="N291" s="77">
        <f t="shared" ref="N291:N292" si="100">M291/1.2</f>
        <v>420.75</v>
      </c>
      <c r="O291" s="76">
        <v>0.55000000000000004</v>
      </c>
    </row>
    <row r="292" spans="1:26" s="20" customFormat="1" ht="50.1" customHeight="1" x14ac:dyDescent="0.25">
      <c r="A292" s="176"/>
      <c r="B292" s="176"/>
      <c r="C292" s="177">
        <v>209</v>
      </c>
      <c r="D292" s="165"/>
      <c r="E292" s="166" t="s">
        <v>437</v>
      </c>
      <c r="F292" s="178" t="s">
        <v>288</v>
      </c>
      <c r="G292" s="179">
        <v>390</v>
      </c>
      <c r="H292" s="179">
        <v>390</v>
      </c>
      <c r="I292" s="179">
        <v>35</v>
      </c>
      <c r="J292" s="179">
        <v>1.48</v>
      </c>
      <c r="K292" s="79">
        <v>1485</v>
      </c>
      <c r="L292" s="75">
        <f t="shared" si="99"/>
        <v>1237.5</v>
      </c>
      <c r="M292" s="77">
        <f>K292-(K292*O292)</f>
        <v>668.24999999999989</v>
      </c>
      <c r="N292" s="77">
        <f t="shared" si="100"/>
        <v>556.87499999999989</v>
      </c>
      <c r="O292" s="76">
        <v>0.55000000000000004</v>
      </c>
    </row>
    <row r="293" spans="1:26" s="162" customFormat="1" ht="15.75" customHeight="1" x14ac:dyDescent="0.25">
      <c r="A293" s="88" t="s">
        <v>438</v>
      </c>
      <c r="B293" s="89"/>
      <c r="C293" s="90"/>
      <c r="D293" s="114"/>
      <c r="E293" s="91"/>
      <c r="F293" s="89"/>
      <c r="G293" s="89"/>
      <c r="H293" s="89"/>
      <c r="I293" s="89"/>
      <c r="J293" s="89"/>
      <c r="K293" s="84"/>
      <c r="L293" s="85"/>
      <c r="M293" s="87"/>
      <c r="N293" s="87"/>
      <c r="O293" s="86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s="13" customFormat="1" ht="50.1" customHeight="1" x14ac:dyDescent="0.25">
      <c r="A294" s="180"/>
      <c r="B294" s="180"/>
      <c r="C294" s="164">
        <v>28135</v>
      </c>
      <c r="D294" s="165"/>
      <c r="E294" s="166" t="s">
        <v>439</v>
      </c>
      <c r="F294" s="167" t="s">
        <v>288</v>
      </c>
      <c r="G294" s="165">
        <v>300</v>
      </c>
      <c r="H294" s="165">
        <v>166</v>
      </c>
      <c r="I294" s="165">
        <v>200</v>
      </c>
      <c r="J294" s="165">
        <v>0.9</v>
      </c>
      <c r="K294" s="94">
        <v>500.24</v>
      </c>
      <c r="L294" s="75">
        <f>K294/1.2</f>
        <v>416.86666666666667</v>
      </c>
      <c r="M294" s="77">
        <f>K294-(K294*O294)</f>
        <v>225.108</v>
      </c>
      <c r="N294" s="77">
        <f>M294/1.2</f>
        <v>187.59</v>
      </c>
      <c r="O294" s="76">
        <v>0.55000000000000004</v>
      </c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s="12" customFormat="1" ht="15.75" customHeight="1" x14ac:dyDescent="0.25">
      <c r="A295" s="80" t="s">
        <v>440</v>
      </c>
      <c r="B295" s="81"/>
      <c r="C295" s="82"/>
      <c r="D295" s="114"/>
      <c r="E295" s="83"/>
      <c r="F295" s="81"/>
      <c r="G295" s="81"/>
      <c r="H295" s="81"/>
      <c r="I295" s="81"/>
      <c r="J295" s="81"/>
      <c r="K295" s="84"/>
      <c r="L295" s="85"/>
      <c r="M295" s="93"/>
      <c r="N295" s="93"/>
      <c r="O295" s="92"/>
    </row>
    <row r="296" spans="1:26" s="12" customFormat="1" ht="15.75" customHeight="1" x14ac:dyDescent="0.25">
      <c r="A296" s="80" t="s">
        <v>441</v>
      </c>
      <c r="B296" s="80"/>
      <c r="C296" s="97"/>
      <c r="D296" s="114"/>
      <c r="E296" s="115"/>
      <c r="F296" s="80"/>
      <c r="G296" s="80"/>
      <c r="H296" s="80"/>
      <c r="I296" s="80"/>
      <c r="J296" s="80"/>
      <c r="K296" s="84"/>
      <c r="L296" s="84"/>
      <c r="M296" s="118"/>
      <c r="N296" s="118"/>
      <c r="O296" s="117"/>
    </row>
    <row r="297" spans="1:26" s="13" customFormat="1" ht="50.1" customHeight="1" x14ac:dyDescent="0.25">
      <c r="A297" s="181"/>
      <c r="B297" s="181"/>
      <c r="C297" s="164" t="s">
        <v>442</v>
      </c>
      <c r="D297" s="165" t="s">
        <v>271</v>
      </c>
      <c r="E297" s="166" t="s">
        <v>443</v>
      </c>
      <c r="F297" s="167" t="s">
        <v>288</v>
      </c>
      <c r="G297" s="165">
        <v>750</v>
      </c>
      <c r="H297" s="165">
        <v>750</v>
      </c>
      <c r="I297" s="165">
        <v>80</v>
      </c>
      <c r="J297" s="165">
        <v>9.1999999999999993</v>
      </c>
      <c r="K297" s="75">
        <v>2777</v>
      </c>
      <c r="L297" s="75">
        <f t="shared" ref="L297:L298" si="101">K297/1.2</f>
        <v>2314.166666666667</v>
      </c>
      <c r="M297" s="77">
        <f>K297-(K297*O297)</f>
        <v>1527.35</v>
      </c>
      <c r="N297" s="77">
        <f t="shared" ref="N297:N298" si="102">M297/1.2</f>
        <v>1272.7916666666667</v>
      </c>
      <c r="O297" s="76">
        <v>0.45</v>
      </c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s="12" customFormat="1" ht="50.1" customHeight="1" x14ac:dyDescent="0.25">
      <c r="A298" s="168"/>
      <c r="B298" s="168"/>
      <c r="C298" s="164" t="s">
        <v>444</v>
      </c>
      <c r="D298" s="165" t="s">
        <v>271</v>
      </c>
      <c r="E298" s="166" t="s">
        <v>445</v>
      </c>
      <c r="F298" s="167" t="s">
        <v>288</v>
      </c>
      <c r="G298" s="165">
        <v>750</v>
      </c>
      <c r="H298" s="165">
        <v>750</v>
      </c>
      <c r="I298" s="165">
        <v>80</v>
      </c>
      <c r="J298" s="165">
        <v>9.1999999999999993</v>
      </c>
      <c r="K298" s="79">
        <v>3471.25</v>
      </c>
      <c r="L298" s="75">
        <f t="shared" si="101"/>
        <v>2892.7083333333335</v>
      </c>
      <c r="M298" s="77">
        <f>K298-(K298*O298)</f>
        <v>1909.1875</v>
      </c>
      <c r="N298" s="77">
        <f t="shared" si="102"/>
        <v>1590.9895833333335</v>
      </c>
      <c r="O298" s="76">
        <v>0.45</v>
      </c>
    </row>
    <row r="299" spans="1:26" s="12" customFormat="1" ht="15.75" customHeight="1" x14ac:dyDescent="0.25">
      <c r="A299" s="80" t="s">
        <v>446</v>
      </c>
      <c r="B299" s="81"/>
      <c r="C299" s="82"/>
      <c r="D299" s="114"/>
      <c r="E299" s="83"/>
      <c r="F299" s="81"/>
      <c r="G299" s="81"/>
      <c r="H299" s="81"/>
      <c r="I299" s="81"/>
      <c r="J299" s="81"/>
      <c r="K299" s="84"/>
      <c r="L299" s="85"/>
      <c r="M299" s="93"/>
      <c r="N299" s="93"/>
      <c r="O299" s="92"/>
    </row>
    <row r="300" spans="1:26" s="13" customFormat="1" ht="50.1" customHeight="1" x14ac:dyDescent="0.25">
      <c r="A300" s="108"/>
      <c r="B300" s="108"/>
      <c r="C300" s="164">
        <v>217</v>
      </c>
      <c r="D300" s="165" t="s">
        <v>290</v>
      </c>
      <c r="E300" s="166" t="s">
        <v>447</v>
      </c>
      <c r="F300" s="167" t="s">
        <v>288</v>
      </c>
      <c r="G300" s="165">
        <v>840</v>
      </c>
      <c r="H300" s="165">
        <v>840</v>
      </c>
      <c r="I300" s="165">
        <v>110</v>
      </c>
      <c r="J300" s="165">
        <v>113</v>
      </c>
      <c r="K300" s="75">
        <v>9621</v>
      </c>
      <c r="L300" s="75">
        <f t="shared" ref="L300:L301" si="103">K300/1.2</f>
        <v>8017.5</v>
      </c>
      <c r="M300" s="77">
        <f>K300-(K300*O300)</f>
        <v>9621</v>
      </c>
      <c r="N300" s="77">
        <f t="shared" ref="N300:N301" si="104">M300/1.2</f>
        <v>8017.5</v>
      </c>
      <c r="O300" s="76">
        <v>0</v>
      </c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s="12" customFormat="1" ht="50.1" customHeight="1" x14ac:dyDescent="0.25">
      <c r="A301" s="108"/>
      <c r="B301" s="108"/>
      <c r="C301" s="164">
        <v>218</v>
      </c>
      <c r="D301" s="165" t="s">
        <v>271</v>
      </c>
      <c r="E301" s="166" t="s">
        <v>448</v>
      </c>
      <c r="F301" s="167" t="s">
        <v>288</v>
      </c>
      <c r="G301" s="165">
        <v>745</v>
      </c>
      <c r="H301" s="165">
        <v>745</v>
      </c>
      <c r="I301" s="165">
        <v>65</v>
      </c>
      <c r="J301" s="165">
        <v>55</v>
      </c>
      <c r="K301" s="79">
        <v>6377</v>
      </c>
      <c r="L301" s="75">
        <f t="shared" si="103"/>
        <v>5314.166666666667</v>
      </c>
      <c r="M301" s="77">
        <f>K301-(K301*O301)</f>
        <v>6377</v>
      </c>
      <c r="N301" s="77">
        <f t="shared" si="104"/>
        <v>5314.166666666667</v>
      </c>
      <c r="O301" s="76">
        <v>0</v>
      </c>
    </row>
    <row r="302" spans="1:26" s="12" customFormat="1" ht="15.75" customHeight="1" x14ac:dyDescent="0.25">
      <c r="A302" s="80" t="s">
        <v>449</v>
      </c>
      <c r="B302" s="81"/>
      <c r="C302" s="82"/>
      <c r="D302" s="114"/>
      <c r="E302" s="83"/>
      <c r="F302" s="81"/>
      <c r="G302" s="81"/>
      <c r="H302" s="81"/>
      <c r="I302" s="81"/>
      <c r="J302" s="81"/>
      <c r="K302" s="84"/>
      <c r="L302" s="85"/>
      <c r="M302" s="93"/>
      <c r="N302" s="93"/>
      <c r="O302" s="92"/>
    </row>
    <row r="303" spans="1:26" s="13" customFormat="1" ht="50.1" customHeight="1" x14ac:dyDescent="0.25">
      <c r="A303" s="108"/>
      <c r="B303" s="108"/>
      <c r="C303" s="164">
        <v>219</v>
      </c>
      <c r="D303" s="165" t="s">
        <v>290</v>
      </c>
      <c r="E303" s="166" t="s">
        <v>450</v>
      </c>
      <c r="F303" s="167" t="s">
        <v>288</v>
      </c>
      <c r="G303" s="165">
        <v>990</v>
      </c>
      <c r="H303" s="165">
        <v>500</v>
      </c>
      <c r="I303" s="165">
        <v>90</v>
      </c>
      <c r="J303" s="165">
        <v>105</v>
      </c>
      <c r="K303" s="75">
        <v>13648</v>
      </c>
      <c r="L303" s="75">
        <f t="shared" ref="L303:L304" si="105">K303/1.2</f>
        <v>11373.333333333334</v>
      </c>
      <c r="M303" s="77">
        <f>K303-(K303*O303)</f>
        <v>12283.2</v>
      </c>
      <c r="N303" s="77">
        <f t="shared" ref="N303:N304" si="106">M303/1.2</f>
        <v>10236.000000000002</v>
      </c>
      <c r="O303" s="76">
        <v>0.1</v>
      </c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s="12" customFormat="1" ht="50.1" customHeight="1" x14ac:dyDescent="0.25">
      <c r="A304" s="108"/>
      <c r="B304" s="108"/>
      <c r="C304" s="164">
        <v>220</v>
      </c>
      <c r="D304" s="165" t="s">
        <v>290</v>
      </c>
      <c r="E304" s="166" t="s">
        <v>451</v>
      </c>
      <c r="F304" s="167" t="s">
        <v>288</v>
      </c>
      <c r="G304" s="165">
        <v>840</v>
      </c>
      <c r="H304" s="165">
        <v>840</v>
      </c>
      <c r="I304" s="165">
        <v>100</v>
      </c>
      <c r="J304" s="165">
        <v>109</v>
      </c>
      <c r="K304" s="79">
        <v>10830</v>
      </c>
      <c r="L304" s="75">
        <f t="shared" si="105"/>
        <v>9025</v>
      </c>
      <c r="M304" s="77">
        <f>K304-(K304*O304)</f>
        <v>10830</v>
      </c>
      <c r="N304" s="77">
        <f t="shared" si="106"/>
        <v>9025</v>
      </c>
      <c r="O304" s="76">
        <v>0</v>
      </c>
    </row>
    <row r="305" spans="1:26" s="12" customFormat="1" ht="15.75" customHeight="1" x14ac:dyDescent="0.25">
      <c r="A305" s="80" t="s">
        <v>452</v>
      </c>
      <c r="B305" s="81"/>
      <c r="C305" s="82"/>
      <c r="D305" s="81"/>
      <c r="E305" s="83"/>
      <c r="F305" s="81"/>
      <c r="G305" s="81"/>
      <c r="H305" s="81"/>
      <c r="I305" s="81"/>
      <c r="J305" s="81"/>
      <c r="K305" s="84"/>
      <c r="L305" s="85"/>
      <c r="M305" s="93"/>
      <c r="N305" s="93"/>
      <c r="O305" s="92"/>
    </row>
    <row r="306" spans="1:26" s="20" customFormat="1" ht="50.1" customHeight="1" x14ac:dyDescent="0.25">
      <c r="A306" s="54"/>
      <c r="B306" s="54"/>
      <c r="C306" s="164" t="s">
        <v>453</v>
      </c>
      <c r="D306" s="165" t="s">
        <v>364</v>
      </c>
      <c r="E306" s="166" t="s">
        <v>454</v>
      </c>
      <c r="F306" s="167" t="s">
        <v>288</v>
      </c>
      <c r="G306" s="165">
        <v>750</v>
      </c>
      <c r="H306" s="165">
        <v>200</v>
      </c>
      <c r="I306" s="165">
        <v>27</v>
      </c>
      <c r="J306" s="165">
        <v>13.7</v>
      </c>
      <c r="K306" s="75">
        <v>3748</v>
      </c>
      <c r="L306" s="75">
        <f t="shared" ref="L306:L311" si="107">K306/1.2</f>
        <v>3123.3333333333335</v>
      </c>
      <c r="M306" s="77">
        <f t="shared" ref="M306:M311" si="108">K306-(K306*O306)</f>
        <v>2061.3999999999996</v>
      </c>
      <c r="N306" s="77">
        <f t="shared" ref="N306:N311" si="109">M306/1.2</f>
        <v>1717.833333333333</v>
      </c>
      <c r="O306" s="76">
        <v>0.45</v>
      </c>
    </row>
    <row r="307" spans="1:26" s="20" customFormat="1" ht="50.1" customHeight="1" x14ac:dyDescent="0.25">
      <c r="A307" s="54"/>
      <c r="B307" s="54"/>
      <c r="C307" s="164" t="s">
        <v>455</v>
      </c>
      <c r="D307" s="165" t="s">
        <v>364</v>
      </c>
      <c r="E307" s="166" t="s">
        <v>456</v>
      </c>
      <c r="F307" s="167" t="s">
        <v>288</v>
      </c>
      <c r="G307" s="165">
        <v>750</v>
      </c>
      <c r="H307" s="165">
        <v>250</v>
      </c>
      <c r="I307" s="165">
        <v>27</v>
      </c>
      <c r="J307" s="165">
        <v>19.5</v>
      </c>
      <c r="K307" s="73">
        <v>5325</v>
      </c>
      <c r="L307" s="75">
        <f t="shared" si="107"/>
        <v>4437.5</v>
      </c>
      <c r="M307" s="77">
        <f t="shared" si="108"/>
        <v>2928.75</v>
      </c>
      <c r="N307" s="77">
        <f t="shared" si="109"/>
        <v>2440.625</v>
      </c>
      <c r="O307" s="76">
        <v>0.45</v>
      </c>
    </row>
    <row r="308" spans="1:26" s="20" customFormat="1" ht="50.1" customHeight="1" x14ac:dyDescent="0.25">
      <c r="A308" s="54"/>
      <c r="B308" s="54"/>
      <c r="C308" s="164" t="s">
        <v>457</v>
      </c>
      <c r="D308" s="165" t="s">
        <v>364</v>
      </c>
      <c r="E308" s="166" t="s">
        <v>458</v>
      </c>
      <c r="F308" s="167" t="s">
        <v>288</v>
      </c>
      <c r="G308" s="165">
        <v>750</v>
      </c>
      <c r="H308" s="165">
        <v>300</v>
      </c>
      <c r="I308" s="165">
        <v>27</v>
      </c>
      <c r="J308" s="165">
        <v>24.7</v>
      </c>
      <c r="K308" s="73">
        <v>6768</v>
      </c>
      <c r="L308" s="75">
        <f t="shared" si="107"/>
        <v>5640</v>
      </c>
      <c r="M308" s="77">
        <f t="shared" si="108"/>
        <v>3722.4</v>
      </c>
      <c r="N308" s="77">
        <f t="shared" si="109"/>
        <v>3102</v>
      </c>
      <c r="O308" s="76">
        <v>0.45</v>
      </c>
    </row>
    <row r="309" spans="1:26" s="20" customFormat="1" ht="50.1" customHeight="1" x14ac:dyDescent="0.25">
      <c r="A309" s="54"/>
      <c r="B309" s="54"/>
      <c r="C309" s="164" t="s">
        <v>459</v>
      </c>
      <c r="D309" s="165" t="s">
        <v>364</v>
      </c>
      <c r="E309" s="166" t="s">
        <v>460</v>
      </c>
      <c r="F309" s="167" t="s">
        <v>288</v>
      </c>
      <c r="G309" s="165">
        <v>750</v>
      </c>
      <c r="H309" s="165">
        <v>350</v>
      </c>
      <c r="I309" s="165">
        <v>27</v>
      </c>
      <c r="J309" s="165">
        <v>27.3</v>
      </c>
      <c r="K309" s="73">
        <v>7501</v>
      </c>
      <c r="L309" s="75">
        <f t="shared" si="107"/>
        <v>6250.8333333333339</v>
      </c>
      <c r="M309" s="77">
        <f t="shared" si="108"/>
        <v>4125.5499999999993</v>
      </c>
      <c r="N309" s="77">
        <f t="shared" si="109"/>
        <v>3437.958333333333</v>
      </c>
      <c r="O309" s="76">
        <v>0.45</v>
      </c>
    </row>
    <row r="310" spans="1:26" s="20" customFormat="1" ht="50.1" customHeight="1" x14ac:dyDescent="0.25">
      <c r="A310" s="54"/>
      <c r="B310" s="54"/>
      <c r="C310" s="164" t="s">
        <v>461</v>
      </c>
      <c r="D310" s="165" t="s">
        <v>364</v>
      </c>
      <c r="E310" s="166" t="s">
        <v>462</v>
      </c>
      <c r="F310" s="167" t="s">
        <v>288</v>
      </c>
      <c r="G310" s="165">
        <v>750</v>
      </c>
      <c r="H310" s="165">
        <v>400</v>
      </c>
      <c r="I310" s="165">
        <v>27</v>
      </c>
      <c r="J310" s="165">
        <v>35</v>
      </c>
      <c r="K310" s="73">
        <v>9475</v>
      </c>
      <c r="L310" s="75">
        <f t="shared" si="107"/>
        <v>7895.8333333333339</v>
      </c>
      <c r="M310" s="77">
        <f t="shared" si="108"/>
        <v>5211.25</v>
      </c>
      <c r="N310" s="77">
        <f t="shared" si="109"/>
        <v>4342.7083333333339</v>
      </c>
      <c r="O310" s="76">
        <v>0.45</v>
      </c>
    </row>
    <row r="311" spans="1:26" s="20" customFormat="1" ht="50.1" customHeight="1" x14ac:dyDescent="0.25">
      <c r="A311" s="54"/>
      <c r="B311" s="54"/>
      <c r="C311" s="164" t="s">
        <v>463</v>
      </c>
      <c r="D311" s="165" t="s">
        <v>364</v>
      </c>
      <c r="E311" s="166" t="s">
        <v>464</v>
      </c>
      <c r="F311" s="167" t="s">
        <v>288</v>
      </c>
      <c r="G311" s="165">
        <v>750</v>
      </c>
      <c r="H311" s="165">
        <v>500</v>
      </c>
      <c r="I311" s="165">
        <v>27</v>
      </c>
      <c r="J311" s="165">
        <v>44</v>
      </c>
      <c r="K311" s="79">
        <v>12026</v>
      </c>
      <c r="L311" s="75">
        <f t="shared" si="107"/>
        <v>10021.666666666668</v>
      </c>
      <c r="M311" s="77">
        <f t="shared" si="108"/>
        <v>6614.3</v>
      </c>
      <c r="N311" s="77">
        <f t="shared" si="109"/>
        <v>5511.916666666667</v>
      </c>
      <c r="O311" s="76">
        <v>0.45</v>
      </c>
    </row>
    <row r="312" spans="1:26" s="13" customFormat="1" ht="15.75" customHeight="1" x14ac:dyDescent="0.25">
      <c r="A312" s="80" t="s">
        <v>465</v>
      </c>
      <c r="B312" s="81"/>
      <c r="C312" s="82"/>
      <c r="D312" s="81"/>
      <c r="E312" s="83"/>
      <c r="F312" s="81"/>
      <c r="G312" s="81"/>
      <c r="H312" s="81"/>
      <c r="I312" s="81"/>
      <c r="J312" s="81"/>
      <c r="K312" s="84"/>
      <c r="L312" s="85"/>
      <c r="M312" s="87"/>
      <c r="N312" s="87"/>
      <c r="O312" s="86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s="12" customFormat="1" ht="15.75" customHeight="1" x14ac:dyDescent="0.25">
      <c r="A313" s="80" t="s">
        <v>466</v>
      </c>
      <c r="B313" s="80"/>
      <c r="C313" s="97"/>
      <c r="D313" s="80"/>
      <c r="E313" s="115"/>
      <c r="F313" s="80"/>
      <c r="G313" s="80"/>
      <c r="H313" s="80"/>
      <c r="I313" s="80"/>
      <c r="J313" s="80"/>
      <c r="K313" s="84"/>
      <c r="L313" s="84"/>
      <c r="M313" s="127"/>
      <c r="N313" s="127"/>
      <c r="O313" s="126"/>
    </row>
    <row r="314" spans="1:26" s="12" customFormat="1" ht="50.1" customHeight="1" x14ac:dyDescent="0.25">
      <c r="A314" s="74"/>
      <c r="B314" s="74"/>
      <c r="C314" s="182">
        <v>609</v>
      </c>
      <c r="D314" s="183" t="s">
        <v>290</v>
      </c>
      <c r="E314" s="184" t="s">
        <v>467</v>
      </c>
      <c r="F314" s="185" t="s">
        <v>288</v>
      </c>
      <c r="G314" s="183">
        <v>530</v>
      </c>
      <c r="H314" s="186">
        <v>430</v>
      </c>
      <c r="I314" s="186">
        <v>33</v>
      </c>
      <c r="J314" s="186">
        <v>0.8</v>
      </c>
      <c r="K314" s="75">
        <v>216.315</v>
      </c>
      <c r="L314" s="75">
        <f t="shared" ref="L314:L315" si="110">K314/1.2</f>
        <v>180.26250000000002</v>
      </c>
      <c r="M314" s="77">
        <f>K314-(K314*O314)</f>
        <v>151.4205</v>
      </c>
      <c r="N314" s="77">
        <f t="shared" ref="N314:N315" si="111">M314/1.2</f>
        <v>126.18375</v>
      </c>
      <c r="O314" s="76">
        <v>0.3</v>
      </c>
    </row>
    <row r="315" spans="1:26" s="12" customFormat="1" ht="50.1" customHeight="1" x14ac:dyDescent="0.25">
      <c r="A315" s="14"/>
      <c r="B315" s="14"/>
      <c r="C315" s="182">
        <v>610</v>
      </c>
      <c r="D315" s="183" t="s">
        <v>290</v>
      </c>
      <c r="E315" s="184" t="s">
        <v>468</v>
      </c>
      <c r="F315" s="185" t="s">
        <v>288</v>
      </c>
      <c r="G315" s="183">
        <v>530</v>
      </c>
      <c r="H315" s="186">
        <v>430</v>
      </c>
      <c r="I315" s="186">
        <v>33</v>
      </c>
      <c r="J315" s="186">
        <v>0.8</v>
      </c>
      <c r="K315" s="79">
        <v>179.55</v>
      </c>
      <c r="L315" s="75">
        <f t="shared" si="110"/>
        <v>149.62500000000003</v>
      </c>
      <c r="M315" s="77">
        <f>K315-(K315*O315)</f>
        <v>125.685</v>
      </c>
      <c r="N315" s="77">
        <f t="shared" si="111"/>
        <v>104.73750000000001</v>
      </c>
      <c r="O315" s="76">
        <v>0.3</v>
      </c>
    </row>
    <row r="316" spans="1:26" s="12" customFormat="1" ht="15.75" customHeight="1" x14ac:dyDescent="0.25">
      <c r="A316" s="80" t="s">
        <v>469</v>
      </c>
      <c r="B316" s="81"/>
      <c r="C316" s="82"/>
      <c r="D316" s="187"/>
      <c r="E316" s="83"/>
      <c r="F316" s="81"/>
      <c r="G316" s="81"/>
      <c r="H316" s="81"/>
      <c r="I316" s="81"/>
      <c r="J316" s="81"/>
      <c r="K316" s="84"/>
      <c r="L316" s="85"/>
      <c r="M316" s="87"/>
      <c r="N316" s="87"/>
      <c r="O316" s="86"/>
    </row>
    <row r="317" spans="1:26" s="12" customFormat="1" ht="50.1" customHeight="1" x14ac:dyDescent="0.25">
      <c r="A317" s="74"/>
      <c r="B317" s="74"/>
      <c r="C317" s="182">
        <v>607</v>
      </c>
      <c r="D317" s="183" t="s">
        <v>290</v>
      </c>
      <c r="E317" s="184" t="s">
        <v>470</v>
      </c>
      <c r="F317" s="185" t="s">
        <v>288</v>
      </c>
      <c r="G317" s="183">
        <v>700</v>
      </c>
      <c r="H317" s="186">
        <v>400</v>
      </c>
      <c r="I317" s="186">
        <v>32.799999999999997</v>
      </c>
      <c r="J317" s="186">
        <v>1.1000000000000001</v>
      </c>
      <c r="K317" s="75">
        <v>270.71000000000004</v>
      </c>
      <c r="L317" s="75">
        <f t="shared" ref="L317:L320" si="112">K317/1.2</f>
        <v>225.5916666666667</v>
      </c>
      <c r="M317" s="77">
        <f>K317-(K317*O317)</f>
        <v>189.49700000000001</v>
      </c>
      <c r="N317" s="77">
        <f t="shared" ref="N317:N320" si="113">M317/1.2</f>
        <v>157.91416666666669</v>
      </c>
      <c r="O317" s="76">
        <v>0.3</v>
      </c>
    </row>
    <row r="318" spans="1:26" s="12" customFormat="1" ht="50.1" customHeight="1" x14ac:dyDescent="0.25">
      <c r="A318" s="14"/>
      <c r="B318" s="14"/>
      <c r="C318" s="182">
        <v>608</v>
      </c>
      <c r="D318" s="183" t="s">
        <v>290</v>
      </c>
      <c r="E318" s="184" t="s">
        <v>471</v>
      </c>
      <c r="F318" s="185" t="s">
        <v>288</v>
      </c>
      <c r="G318" s="183">
        <v>700</v>
      </c>
      <c r="H318" s="186">
        <v>400</v>
      </c>
      <c r="I318" s="186">
        <v>32.799999999999997</v>
      </c>
      <c r="J318" s="186">
        <v>1.1000000000000001</v>
      </c>
      <c r="K318" s="73">
        <v>231.12</v>
      </c>
      <c r="L318" s="75">
        <f t="shared" si="112"/>
        <v>192.60000000000002</v>
      </c>
      <c r="M318" s="77">
        <f>K318-(K318*O318)</f>
        <v>161.78399999999999</v>
      </c>
      <c r="N318" s="77">
        <f t="shared" si="113"/>
        <v>134.82</v>
      </c>
      <c r="O318" s="76">
        <v>0.3</v>
      </c>
    </row>
    <row r="319" spans="1:26" s="12" customFormat="1" ht="50.1" customHeight="1" x14ac:dyDescent="0.25">
      <c r="A319" s="74"/>
      <c r="B319" s="74"/>
      <c r="C319" s="182">
        <v>605</v>
      </c>
      <c r="D319" s="183" t="s">
        <v>290</v>
      </c>
      <c r="E319" s="184" t="s">
        <v>472</v>
      </c>
      <c r="F319" s="185" t="s">
        <v>288</v>
      </c>
      <c r="G319" s="183">
        <v>600</v>
      </c>
      <c r="H319" s="186">
        <v>600</v>
      </c>
      <c r="I319" s="186">
        <v>40</v>
      </c>
      <c r="J319" s="186">
        <v>1.6</v>
      </c>
      <c r="K319" s="73">
        <v>395.01</v>
      </c>
      <c r="L319" s="75">
        <f t="shared" si="112"/>
        <v>329.17500000000001</v>
      </c>
      <c r="M319" s="77">
        <f>K319-(K319*O319)</f>
        <v>276.50700000000001</v>
      </c>
      <c r="N319" s="77">
        <f t="shared" si="113"/>
        <v>230.42250000000001</v>
      </c>
      <c r="O319" s="76">
        <v>0.3</v>
      </c>
    </row>
    <row r="320" spans="1:26" s="13" customFormat="1" ht="50.1" customHeight="1" x14ac:dyDescent="0.25">
      <c r="A320" s="14"/>
      <c r="B320" s="14"/>
      <c r="C320" s="182">
        <v>606</v>
      </c>
      <c r="D320" s="183" t="s">
        <v>290</v>
      </c>
      <c r="E320" s="184" t="s">
        <v>473</v>
      </c>
      <c r="F320" s="185" t="s">
        <v>288</v>
      </c>
      <c r="G320" s="183">
        <v>600</v>
      </c>
      <c r="H320" s="186">
        <v>600</v>
      </c>
      <c r="I320" s="186">
        <v>40</v>
      </c>
      <c r="J320" s="186">
        <v>1.6</v>
      </c>
      <c r="K320" s="79">
        <v>340.2</v>
      </c>
      <c r="L320" s="75">
        <f t="shared" si="112"/>
        <v>283.5</v>
      </c>
      <c r="M320" s="77">
        <f>K320-(K320*O320)</f>
        <v>238.14</v>
      </c>
      <c r="N320" s="77">
        <f t="shared" si="113"/>
        <v>198.45</v>
      </c>
      <c r="O320" s="76">
        <v>0.3</v>
      </c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s="12" customFormat="1" ht="15.75" customHeight="1" x14ac:dyDescent="0.25">
      <c r="A321" s="80" t="s">
        <v>474</v>
      </c>
      <c r="B321" s="81"/>
      <c r="C321" s="82"/>
      <c r="D321" s="81"/>
      <c r="E321" s="83"/>
      <c r="F321" s="81"/>
      <c r="G321" s="81"/>
      <c r="H321" s="81"/>
      <c r="I321" s="81"/>
      <c r="J321" s="81"/>
      <c r="K321" s="84"/>
      <c r="L321" s="85"/>
      <c r="M321" s="87"/>
      <c r="N321" s="87"/>
      <c r="O321" s="86"/>
    </row>
    <row r="322" spans="1:26" s="12" customFormat="1" ht="50.1" customHeight="1" x14ac:dyDescent="0.25">
      <c r="A322" s="74"/>
      <c r="B322" s="74"/>
      <c r="C322" s="182">
        <v>601</v>
      </c>
      <c r="D322" s="186" t="s">
        <v>364</v>
      </c>
      <c r="E322" s="184" t="s">
        <v>475</v>
      </c>
      <c r="F322" s="185" t="s">
        <v>288</v>
      </c>
      <c r="G322" s="183">
        <v>600</v>
      </c>
      <c r="H322" s="186">
        <v>400</v>
      </c>
      <c r="I322" s="186">
        <v>64</v>
      </c>
      <c r="J322" s="186">
        <v>2.02</v>
      </c>
      <c r="K322" s="75">
        <v>507.26500000000004</v>
      </c>
      <c r="L322" s="75">
        <f t="shared" ref="L322:L323" si="114">K322/1.2</f>
        <v>422.72083333333336</v>
      </c>
      <c r="M322" s="77">
        <f>K322-(K322*O322)</f>
        <v>355.08550000000002</v>
      </c>
      <c r="N322" s="77">
        <f t="shared" ref="N322:N323" si="115">M322/1.2</f>
        <v>295.90458333333339</v>
      </c>
      <c r="O322" s="76">
        <v>0.3</v>
      </c>
    </row>
    <row r="323" spans="1:26" s="12" customFormat="1" ht="50.1" customHeight="1" x14ac:dyDescent="0.25">
      <c r="A323" s="14"/>
      <c r="B323" s="14"/>
      <c r="C323" s="182">
        <v>602</v>
      </c>
      <c r="D323" s="186" t="s">
        <v>364</v>
      </c>
      <c r="E323" s="184" t="s">
        <v>476</v>
      </c>
      <c r="F323" s="185" t="s">
        <v>288</v>
      </c>
      <c r="G323" s="183">
        <v>600</v>
      </c>
      <c r="H323" s="186">
        <v>400</v>
      </c>
      <c r="I323" s="186">
        <v>64</v>
      </c>
      <c r="J323" s="186">
        <v>2.02</v>
      </c>
      <c r="K323" s="79">
        <v>421.05</v>
      </c>
      <c r="L323" s="75">
        <f t="shared" si="114"/>
        <v>350.875</v>
      </c>
      <c r="M323" s="77">
        <f>K323-(K323*O323)</f>
        <v>294.73500000000001</v>
      </c>
      <c r="N323" s="77">
        <f t="shared" si="115"/>
        <v>245.61250000000001</v>
      </c>
      <c r="O323" s="76">
        <v>0.3</v>
      </c>
    </row>
    <row r="324" spans="1:26" s="12" customFormat="1" ht="15.75" customHeight="1" x14ac:dyDescent="0.25">
      <c r="A324" s="80" t="s">
        <v>477</v>
      </c>
      <c r="B324" s="81"/>
      <c r="C324" s="82"/>
      <c r="D324" s="81"/>
      <c r="E324" s="83"/>
      <c r="F324" s="81"/>
      <c r="G324" s="81"/>
      <c r="H324" s="81"/>
      <c r="I324" s="81"/>
      <c r="J324" s="81"/>
      <c r="K324" s="84"/>
      <c r="L324" s="85"/>
      <c r="M324" s="87"/>
      <c r="N324" s="87"/>
      <c r="O324" s="86"/>
    </row>
    <row r="325" spans="1:26" s="12" customFormat="1" ht="50.1" customHeight="1" x14ac:dyDescent="0.25">
      <c r="A325" s="108"/>
      <c r="B325" s="108"/>
      <c r="C325" s="182">
        <v>7310</v>
      </c>
      <c r="D325" s="186" t="s">
        <v>48</v>
      </c>
      <c r="E325" s="188" t="s">
        <v>478</v>
      </c>
      <c r="F325" s="185" t="s">
        <v>288</v>
      </c>
      <c r="G325" s="183">
        <v>1000</v>
      </c>
      <c r="H325" s="186">
        <v>80</v>
      </c>
      <c r="I325" s="186">
        <v>45</v>
      </c>
      <c r="J325" s="186">
        <v>0.54</v>
      </c>
      <c r="K325" s="75">
        <v>246</v>
      </c>
      <c r="L325" s="75">
        <f t="shared" ref="L325:L327" si="116">K325/1.2</f>
        <v>205</v>
      </c>
      <c r="M325" s="77">
        <f>K325-(K325*O325)</f>
        <v>123</v>
      </c>
      <c r="N325" s="77">
        <f t="shared" ref="N325:N327" si="117">M325/1.2</f>
        <v>102.5</v>
      </c>
      <c r="O325" s="76">
        <v>0.5</v>
      </c>
    </row>
    <row r="326" spans="1:26" s="12" customFormat="1" ht="50.1" customHeight="1" x14ac:dyDescent="0.25">
      <c r="A326" s="108"/>
      <c r="B326" s="108"/>
      <c r="C326" s="182">
        <v>7312</v>
      </c>
      <c r="D326" s="186" t="s">
        <v>48</v>
      </c>
      <c r="E326" s="188" t="s">
        <v>479</v>
      </c>
      <c r="F326" s="185" t="s">
        <v>288</v>
      </c>
      <c r="G326" s="183">
        <v>3000</v>
      </c>
      <c r="H326" s="186">
        <v>85</v>
      </c>
      <c r="I326" s="186">
        <v>45</v>
      </c>
      <c r="J326" s="183">
        <v>1.32</v>
      </c>
      <c r="K326" s="73">
        <v>1047</v>
      </c>
      <c r="L326" s="75">
        <f t="shared" si="116"/>
        <v>872.5</v>
      </c>
      <c r="M326" s="77">
        <f>K326-(K326*O326)</f>
        <v>575.84999999999991</v>
      </c>
      <c r="N326" s="77">
        <f t="shared" si="117"/>
        <v>479.87499999999994</v>
      </c>
      <c r="O326" s="76">
        <v>0.45</v>
      </c>
    </row>
    <row r="327" spans="1:26" s="12" customFormat="1" ht="50.1" customHeight="1" x14ac:dyDescent="0.25">
      <c r="A327" s="14"/>
      <c r="B327" s="14"/>
      <c r="C327" s="182">
        <v>7315</v>
      </c>
      <c r="D327" s="186" t="s">
        <v>48</v>
      </c>
      <c r="E327" s="184" t="s">
        <v>480</v>
      </c>
      <c r="F327" s="185" t="s">
        <v>288</v>
      </c>
      <c r="G327" s="183">
        <v>24</v>
      </c>
      <c r="H327" s="186">
        <v>24</v>
      </c>
      <c r="I327" s="186">
        <v>252</v>
      </c>
      <c r="J327" s="186">
        <v>0.03</v>
      </c>
      <c r="K327" s="79">
        <v>40.32</v>
      </c>
      <c r="L327" s="75">
        <f t="shared" si="116"/>
        <v>33.6</v>
      </c>
      <c r="M327" s="77">
        <f>K327-(K327*O327)</f>
        <v>22.175999999999998</v>
      </c>
      <c r="N327" s="77">
        <f t="shared" si="117"/>
        <v>18.48</v>
      </c>
      <c r="O327" s="76">
        <v>0.45</v>
      </c>
    </row>
    <row r="328" spans="1:26" s="12" customFormat="1" ht="15.75" customHeight="1" x14ac:dyDescent="0.25">
      <c r="A328" s="80" t="s">
        <v>481</v>
      </c>
      <c r="B328" s="81"/>
      <c r="C328" s="82"/>
      <c r="D328" s="81"/>
      <c r="E328" s="83"/>
      <c r="F328" s="81"/>
      <c r="G328" s="81"/>
      <c r="H328" s="81"/>
      <c r="I328" s="81"/>
      <c r="J328" s="81"/>
      <c r="K328" s="84"/>
      <c r="L328" s="85"/>
      <c r="M328" s="87"/>
      <c r="N328" s="87"/>
      <c r="O328" s="86"/>
    </row>
    <row r="329" spans="1:26" s="12" customFormat="1" ht="50.1" customHeight="1" x14ac:dyDescent="0.25">
      <c r="A329" s="108"/>
      <c r="B329" s="108"/>
      <c r="C329" s="182">
        <v>7305</v>
      </c>
      <c r="D329" s="186" t="s">
        <v>48</v>
      </c>
      <c r="E329" s="188" t="s">
        <v>482</v>
      </c>
      <c r="F329" s="185" t="s">
        <v>288</v>
      </c>
      <c r="G329" s="183">
        <v>10000</v>
      </c>
      <c r="H329" s="186">
        <v>20</v>
      </c>
      <c r="I329" s="186">
        <v>110</v>
      </c>
      <c r="J329" s="186">
        <v>2</v>
      </c>
      <c r="K329" s="94">
        <v>1600</v>
      </c>
      <c r="L329" s="75">
        <f>K329/1.2</f>
        <v>1333.3333333333335</v>
      </c>
      <c r="M329" s="77">
        <f>K329-(K329*O329)</f>
        <v>880</v>
      </c>
      <c r="N329" s="77">
        <f>M329/1.2</f>
        <v>733.33333333333337</v>
      </c>
      <c r="O329" s="76">
        <v>0.45</v>
      </c>
    </row>
    <row r="330" spans="1:26" s="162" customFormat="1" ht="15.75" customHeight="1" x14ac:dyDescent="0.25">
      <c r="A330" s="80" t="s">
        <v>483</v>
      </c>
      <c r="B330" s="81"/>
      <c r="C330" s="82"/>
      <c r="D330" s="81"/>
      <c r="E330" s="83"/>
      <c r="F330" s="81"/>
      <c r="G330" s="81"/>
      <c r="H330" s="81"/>
      <c r="I330" s="81"/>
      <c r="J330" s="81"/>
      <c r="K330" s="84"/>
      <c r="L330" s="85"/>
      <c r="M330" s="93"/>
      <c r="N330" s="93"/>
      <c r="O330" s="9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s="13" customFormat="1" ht="15.75" customHeight="1" x14ac:dyDescent="0.25">
      <c r="A331" s="80" t="s">
        <v>484</v>
      </c>
      <c r="B331" s="80"/>
      <c r="C331" s="97"/>
      <c r="D331" s="80"/>
      <c r="E331" s="115"/>
      <c r="F331" s="80"/>
      <c r="G331" s="80"/>
      <c r="H331" s="80"/>
      <c r="I331" s="80"/>
      <c r="J331" s="80"/>
      <c r="K331" s="84"/>
      <c r="L331" s="84"/>
      <c r="M331" s="118"/>
      <c r="N331" s="118"/>
      <c r="O331" s="117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s="20" customFormat="1" ht="50.1" customHeight="1" x14ac:dyDescent="0.25">
      <c r="A332" s="27"/>
      <c r="B332" s="27"/>
      <c r="C332" s="189">
        <v>315</v>
      </c>
      <c r="D332" s="190" t="s">
        <v>271</v>
      </c>
      <c r="E332" s="191" t="s">
        <v>485</v>
      </c>
      <c r="F332" s="192" t="s">
        <v>288</v>
      </c>
      <c r="G332" s="190">
        <v>600</v>
      </c>
      <c r="H332" s="190">
        <v>400</v>
      </c>
      <c r="I332" s="190">
        <v>64</v>
      </c>
      <c r="J332" s="190">
        <v>1.2</v>
      </c>
      <c r="K332" s="94">
        <v>1233.75</v>
      </c>
      <c r="L332" s="75">
        <f>K332/1.2</f>
        <v>1028.125</v>
      </c>
      <c r="M332" s="77">
        <f>K332-(K332*O332)</f>
        <v>555.1875</v>
      </c>
      <c r="N332" s="77">
        <f>M332/1.2</f>
        <v>462.65625</v>
      </c>
      <c r="O332" s="76">
        <v>0.55000000000000004</v>
      </c>
    </row>
    <row r="333" spans="1:26" s="13" customFormat="1" ht="15.75" customHeight="1" x14ac:dyDescent="0.25">
      <c r="A333" s="80" t="s">
        <v>486</v>
      </c>
      <c r="B333" s="81"/>
      <c r="C333" s="82"/>
      <c r="D333" s="114"/>
      <c r="E333" s="83"/>
      <c r="F333" s="81"/>
      <c r="G333" s="81"/>
      <c r="H333" s="81"/>
      <c r="I333" s="81"/>
      <c r="J333" s="81"/>
      <c r="K333" s="84"/>
      <c r="L333" s="85"/>
      <c r="M333" s="93"/>
      <c r="N333" s="93"/>
      <c r="O333" s="9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s="12" customFormat="1" ht="50.1" customHeight="1" x14ac:dyDescent="0.25">
      <c r="A334" s="74"/>
      <c r="B334" s="74"/>
      <c r="C334" s="189">
        <v>301</v>
      </c>
      <c r="D334" s="190" t="s">
        <v>271</v>
      </c>
      <c r="E334" s="191" t="s">
        <v>487</v>
      </c>
      <c r="F334" s="192" t="s">
        <v>288</v>
      </c>
      <c r="G334" s="190">
        <v>590</v>
      </c>
      <c r="H334" s="190">
        <v>390</v>
      </c>
      <c r="I334" s="190">
        <v>20</v>
      </c>
      <c r="J334" s="190">
        <v>5</v>
      </c>
      <c r="K334" s="75">
        <v>3611</v>
      </c>
      <c r="L334" s="75">
        <f t="shared" ref="L334:L335" si="118">K334/1.2</f>
        <v>3009.166666666667</v>
      </c>
      <c r="M334" s="77">
        <f>K334-(K334*O334)</f>
        <v>1805.5</v>
      </c>
      <c r="N334" s="77">
        <f t="shared" ref="N334:N335" si="119">M334/1.2</f>
        <v>1504.5833333333335</v>
      </c>
      <c r="O334" s="76">
        <v>0.5</v>
      </c>
    </row>
    <row r="335" spans="1:26" s="12" customFormat="1" ht="50.1" customHeight="1" x14ac:dyDescent="0.25">
      <c r="A335" s="74"/>
      <c r="B335" s="74"/>
      <c r="C335" s="189">
        <v>302</v>
      </c>
      <c r="D335" s="190" t="s">
        <v>271</v>
      </c>
      <c r="E335" s="191" t="s">
        <v>488</v>
      </c>
      <c r="F335" s="192" t="s">
        <v>288</v>
      </c>
      <c r="G335" s="190">
        <v>990</v>
      </c>
      <c r="H335" s="190">
        <v>490</v>
      </c>
      <c r="I335" s="190">
        <v>20</v>
      </c>
      <c r="J335" s="190">
        <v>15</v>
      </c>
      <c r="K335" s="79">
        <v>4507.5600000000004</v>
      </c>
      <c r="L335" s="75">
        <f t="shared" si="118"/>
        <v>3756.3000000000006</v>
      </c>
      <c r="M335" s="77">
        <f>K335-(K335*O335)</f>
        <v>2929.9140000000007</v>
      </c>
      <c r="N335" s="77">
        <f t="shared" si="119"/>
        <v>2441.5950000000007</v>
      </c>
      <c r="O335" s="76">
        <v>0.35</v>
      </c>
    </row>
    <row r="336" spans="1:26" s="201" customFormat="1" ht="15.75" customHeight="1" x14ac:dyDescent="0.25">
      <c r="A336" s="193" t="s">
        <v>489</v>
      </c>
      <c r="B336" s="194"/>
      <c r="C336" s="195"/>
      <c r="D336" s="114"/>
      <c r="E336" s="196"/>
      <c r="F336" s="194"/>
      <c r="G336" s="194"/>
      <c r="H336" s="194"/>
      <c r="I336" s="194"/>
      <c r="J336" s="194"/>
      <c r="K336" s="197"/>
      <c r="L336" s="198"/>
      <c r="M336" s="87"/>
      <c r="N336" s="87"/>
      <c r="O336" s="86"/>
      <c r="P336" s="199"/>
      <c r="Q336" s="199"/>
      <c r="R336" s="199"/>
      <c r="S336" s="200"/>
    </row>
    <row r="337" spans="1:26" s="201" customFormat="1" ht="50.1" customHeight="1" x14ac:dyDescent="0.25">
      <c r="A337" s="202"/>
      <c r="B337" s="202"/>
      <c r="C337" s="203">
        <v>3000</v>
      </c>
      <c r="D337" s="190" t="s">
        <v>271</v>
      </c>
      <c r="E337" s="191" t="s">
        <v>490</v>
      </c>
      <c r="F337" s="204" t="s">
        <v>288</v>
      </c>
      <c r="G337" s="205">
        <v>368.5</v>
      </c>
      <c r="H337" s="205">
        <v>46</v>
      </c>
      <c r="I337" s="205">
        <v>14</v>
      </c>
      <c r="J337" s="205">
        <v>0.1</v>
      </c>
      <c r="K337" s="94">
        <v>74</v>
      </c>
      <c r="L337" s="75">
        <f>K337/1.2</f>
        <v>61.666666666666671</v>
      </c>
      <c r="M337" s="77">
        <f>K337-(K337*O337)</f>
        <v>74</v>
      </c>
      <c r="N337" s="77">
        <f>M337/1.2</f>
        <v>61.666666666666671</v>
      </c>
      <c r="O337" s="76">
        <v>0</v>
      </c>
      <c r="P337" s="199"/>
      <c r="Q337" s="199"/>
      <c r="R337" s="199"/>
      <c r="S337" s="200"/>
    </row>
    <row r="338" spans="1:26" s="13" customFormat="1" ht="15.75" customHeight="1" x14ac:dyDescent="0.25">
      <c r="A338" s="80" t="s">
        <v>491</v>
      </c>
      <c r="B338" s="81"/>
      <c r="C338" s="82"/>
      <c r="D338" s="114"/>
      <c r="E338" s="83"/>
      <c r="F338" s="81"/>
      <c r="G338" s="81"/>
      <c r="H338" s="81"/>
      <c r="I338" s="81"/>
      <c r="J338" s="81"/>
      <c r="K338" s="84"/>
      <c r="L338" s="85"/>
      <c r="M338" s="87"/>
      <c r="N338" s="87"/>
      <c r="O338" s="86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s="12" customFormat="1" ht="50.1" customHeight="1" x14ac:dyDescent="0.25">
      <c r="A339" s="14"/>
      <c r="B339" s="14"/>
      <c r="C339" s="189">
        <v>30001</v>
      </c>
      <c r="D339" s="190" t="s">
        <v>271</v>
      </c>
      <c r="E339" s="191" t="s">
        <v>492</v>
      </c>
      <c r="F339" s="192" t="s">
        <v>288</v>
      </c>
      <c r="G339" s="190">
        <v>390</v>
      </c>
      <c r="H339" s="190">
        <v>590</v>
      </c>
      <c r="I339" s="190">
        <v>20</v>
      </c>
      <c r="J339" s="190">
        <v>3.5</v>
      </c>
      <c r="K339" s="75">
        <v>3520</v>
      </c>
      <c r="L339" s="75">
        <f t="shared" ref="L339:L352" si="120">K339/1.2</f>
        <v>2933.3333333333335</v>
      </c>
      <c r="M339" s="77">
        <f t="shared" ref="M339:M352" si="121">K339-(K339*O339)</f>
        <v>2112</v>
      </c>
      <c r="N339" s="77">
        <f t="shared" ref="N339:N352" si="122">M339/1.2</f>
        <v>1760</v>
      </c>
      <c r="O339" s="76">
        <v>0.4</v>
      </c>
    </row>
    <row r="340" spans="1:26" s="12" customFormat="1" ht="50.1" customHeight="1" x14ac:dyDescent="0.25">
      <c r="A340" s="14"/>
      <c r="B340" s="14"/>
      <c r="C340" s="189">
        <v>30002</v>
      </c>
      <c r="D340" s="190" t="s">
        <v>271</v>
      </c>
      <c r="E340" s="191" t="s">
        <v>493</v>
      </c>
      <c r="F340" s="192" t="s">
        <v>288</v>
      </c>
      <c r="G340" s="190">
        <v>390</v>
      </c>
      <c r="H340" s="190">
        <v>590</v>
      </c>
      <c r="I340" s="190">
        <v>20</v>
      </c>
      <c r="J340" s="190">
        <v>2.2999999999999998</v>
      </c>
      <c r="K340" s="73">
        <v>3520</v>
      </c>
      <c r="L340" s="75">
        <f t="shared" si="120"/>
        <v>2933.3333333333335</v>
      </c>
      <c r="M340" s="77">
        <f t="shared" si="121"/>
        <v>2112</v>
      </c>
      <c r="N340" s="77">
        <f t="shared" si="122"/>
        <v>1760</v>
      </c>
      <c r="O340" s="76">
        <v>0.4</v>
      </c>
    </row>
    <row r="341" spans="1:26" s="12" customFormat="1" ht="50.1" customHeight="1" x14ac:dyDescent="0.25">
      <c r="A341" s="14"/>
      <c r="B341" s="14"/>
      <c r="C341" s="189">
        <v>30003</v>
      </c>
      <c r="D341" s="190" t="s">
        <v>271</v>
      </c>
      <c r="E341" s="191" t="s">
        <v>494</v>
      </c>
      <c r="F341" s="192" t="s">
        <v>288</v>
      </c>
      <c r="G341" s="190">
        <v>390</v>
      </c>
      <c r="H341" s="190">
        <v>590</v>
      </c>
      <c r="I341" s="190">
        <v>23</v>
      </c>
      <c r="J341" s="190">
        <v>3.2</v>
      </c>
      <c r="K341" s="73">
        <v>6350</v>
      </c>
      <c r="L341" s="75">
        <f t="shared" si="120"/>
        <v>5291.666666666667</v>
      </c>
      <c r="M341" s="77">
        <f t="shared" si="121"/>
        <v>4127.5</v>
      </c>
      <c r="N341" s="77">
        <f t="shared" si="122"/>
        <v>3439.5833333333335</v>
      </c>
      <c r="O341" s="76">
        <v>0.35</v>
      </c>
    </row>
    <row r="342" spans="1:26" s="12" customFormat="1" ht="50.1" customHeight="1" x14ac:dyDescent="0.25">
      <c r="A342" s="14"/>
      <c r="B342" s="14"/>
      <c r="C342" s="189">
        <v>30012</v>
      </c>
      <c r="D342" s="190" t="s">
        <v>271</v>
      </c>
      <c r="E342" s="191" t="s">
        <v>495</v>
      </c>
      <c r="F342" s="192" t="s">
        <v>288</v>
      </c>
      <c r="G342" s="190">
        <v>390</v>
      </c>
      <c r="H342" s="190">
        <v>590</v>
      </c>
      <c r="I342" s="190">
        <v>20</v>
      </c>
      <c r="J342" s="190">
        <v>2.85</v>
      </c>
      <c r="K342" s="73">
        <v>3520</v>
      </c>
      <c r="L342" s="75">
        <f t="shared" si="120"/>
        <v>2933.3333333333335</v>
      </c>
      <c r="M342" s="77">
        <f t="shared" si="121"/>
        <v>2112</v>
      </c>
      <c r="N342" s="77">
        <f t="shared" si="122"/>
        <v>1760</v>
      </c>
      <c r="O342" s="76">
        <v>0.4</v>
      </c>
    </row>
    <row r="343" spans="1:26" s="12" customFormat="1" ht="50.1" customHeight="1" x14ac:dyDescent="0.25">
      <c r="A343" s="14"/>
      <c r="B343" s="14"/>
      <c r="C343" s="189">
        <v>30013</v>
      </c>
      <c r="D343" s="190" t="s">
        <v>271</v>
      </c>
      <c r="E343" s="191" t="s">
        <v>496</v>
      </c>
      <c r="F343" s="192" t="s">
        <v>288</v>
      </c>
      <c r="G343" s="190">
        <v>390</v>
      </c>
      <c r="H343" s="190">
        <v>590</v>
      </c>
      <c r="I343" s="190">
        <v>23</v>
      </c>
      <c r="J343" s="190">
        <v>3.39</v>
      </c>
      <c r="K343" s="73">
        <v>5365</v>
      </c>
      <c r="L343" s="75">
        <f t="shared" si="120"/>
        <v>4470.8333333333339</v>
      </c>
      <c r="M343" s="77">
        <f t="shared" si="121"/>
        <v>3219</v>
      </c>
      <c r="N343" s="77">
        <f t="shared" si="122"/>
        <v>2682.5</v>
      </c>
      <c r="O343" s="76">
        <v>0.4</v>
      </c>
    </row>
    <row r="344" spans="1:26" s="12" customFormat="1" ht="50.1" customHeight="1" x14ac:dyDescent="0.25">
      <c r="A344" s="14"/>
      <c r="B344" s="14"/>
      <c r="C344" s="189">
        <v>30023</v>
      </c>
      <c r="D344" s="190" t="s">
        <v>271</v>
      </c>
      <c r="E344" s="191" t="s">
        <v>497</v>
      </c>
      <c r="F344" s="192" t="s">
        <v>288</v>
      </c>
      <c r="G344" s="190">
        <v>390</v>
      </c>
      <c r="H344" s="190">
        <v>590</v>
      </c>
      <c r="I344" s="190">
        <v>23</v>
      </c>
      <c r="J344" s="190">
        <v>2.89</v>
      </c>
      <c r="K344" s="73">
        <v>5300</v>
      </c>
      <c r="L344" s="75">
        <f t="shared" si="120"/>
        <v>4416.666666666667</v>
      </c>
      <c r="M344" s="77">
        <f t="shared" si="121"/>
        <v>3180</v>
      </c>
      <c r="N344" s="77">
        <f t="shared" si="122"/>
        <v>2650</v>
      </c>
      <c r="O344" s="76">
        <v>0.4</v>
      </c>
    </row>
    <row r="345" spans="1:26" s="12" customFormat="1" ht="50.1" customHeight="1" x14ac:dyDescent="0.25">
      <c r="A345" s="14"/>
      <c r="B345" s="14"/>
      <c r="C345" s="189">
        <v>30123</v>
      </c>
      <c r="D345" s="190" t="s">
        <v>271</v>
      </c>
      <c r="E345" s="191" t="s">
        <v>498</v>
      </c>
      <c r="F345" s="192" t="s">
        <v>288</v>
      </c>
      <c r="G345" s="190">
        <v>390</v>
      </c>
      <c r="H345" s="190">
        <v>590</v>
      </c>
      <c r="I345" s="190">
        <v>23</v>
      </c>
      <c r="J345" s="190">
        <v>3.12</v>
      </c>
      <c r="K345" s="73">
        <v>4550</v>
      </c>
      <c r="L345" s="75">
        <f t="shared" si="120"/>
        <v>3791.666666666667</v>
      </c>
      <c r="M345" s="77">
        <f t="shared" si="121"/>
        <v>2730</v>
      </c>
      <c r="N345" s="77">
        <f t="shared" si="122"/>
        <v>2275</v>
      </c>
      <c r="O345" s="76">
        <v>0.4</v>
      </c>
    </row>
    <row r="346" spans="1:26" s="12" customFormat="1" ht="50.1" customHeight="1" x14ac:dyDescent="0.25">
      <c r="A346" s="14"/>
      <c r="B346" s="14"/>
      <c r="C346" s="189">
        <v>30014</v>
      </c>
      <c r="D346" s="190" t="s">
        <v>271</v>
      </c>
      <c r="E346" s="191" t="s">
        <v>499</v>
      </c>
      <c r="F346" s="192" t="s">
        <v>288</v>
      </c>
      <c r="G346" s="190">
        <v>390</v>
      </c>
      <c r="H346" s="190">
        <v>590</v>
      </c>
      <c r="I346" s="190">
        <v>22</v>
      </c>
      <c r="J346" s="190">
        <v>4.24</v>
      </c>
      <c r="K346" s="73">
        <v>3660.8</v>
      </c>
      <c r="L346" s="75">
        <f t="shared" si="120"/>
        <v>3050.666666666667</v>
      </c>
      <c r="M346" s="77">
        <f t="shared" si="121"/>
        <v>2379.5200000000004</v>
      </c>
      <c r="N346" s="77">
        <f t="shared" si="122"/>
        <v>1982.9333333333338</v>
      </c>
      <c r="O346" s="76">
        <v>0.35</v>
      </c>
    </row>
    <row r="347" spans="1:26" s="12" customFormat="1" ht="50.1" customHeight="1" x14ac:dyDescent="0.25">
      <c r="A347" s="14"/>
      <c r="B347" s="14"/>
      <c r="C347" s="189">
        <v>30024</v>
      </c>
      <c r="D347" s="190" t="s">
        <v>271</v>
      </c>
      <c r="E347" s="191" t="s">
        <v>500</v>
      </c>
      <c r="F347" s="192" t="s">
        <v>288</v>
      </c>
      <c r="G347" s="190">
        <v>390</v>
      </c>
      <c r="H347" s="190">
        <v>590</v>
      </c>
      <c r="I347" s="190">
        <v>22</v>
      </c>
      <c r="J347" s="190">
        <v>3.47</v>
      </c>
      <c r="K347" s="73">
        <v>3660.8</v>
      </c>
      <c r="L347" s="75">
        <f t="shared" si="120"/>
        <v>3050.666666666667</v>
      </c>
      <c r="M347" s="77">
        <f t="shared" si="121"/>
        <v>2379.5200000000004</v>
      </c>
      <c r="N347" s="77">
        <f t="shared" si="122"/>
        <v>1982.9333333333338</v>
      </c>
      <c r="O347" s="76">
        <v>0.35</v>
      </c>
    </row>
    <row r="348" spans="1:26" s="12" customFormat="1" ht="50.1" customHeight="1" x14ac:dyDescent="0.25">
      <c r="A348" s="14"/>
      <c r="B348" s="14"/>
      <c r="C348" s="189">
        <v>30034</v>
      </c>
      <c r="D348" s="190" t="s">
        <v>271</v>
      </c>
      <c r="E348" s="191" t="s">
        <v>501</v>
      </c>
      <c r="F348" s="192" t="s">
        <v>288</v>
      </c>
      <c r="G348" s="190">
        <v>390</v>
      </c>
      <c r="H348" s="190">
        <v>590</v>
      </c>
      <c r="I348" s="190">
        <v>23</v>
      </c>
      <c r="J348" s="190">
        <v>3.94</v>
      </c>
      <c r="K348" s="73">
        <v>6995</v>
      </c>
      <c r="L348" s="75">
        <f t="shared" si="120"/>
        <v>5829.166666666667</v>
      </c>
      <c r="M348" s="77">
        <f t="shared" si="121"/>
        <v>3847.25</v>
      </c>
      <c r="N348" s="77">
        <f t="shared" si="122"/>
        <v>3206.041666666667</v>
      </c>
      <c r="O348" s="76">
        <v>0.45</v>
      </c>
    </row>
    <row r="349" spans="1:26" s="12" customFormat="1" ht="50.1" customHeight="1" x14ac:dyDescent="0.25">
      <c r="A349" s="14"/>
      <c r="B349" s="14"/>
      <c r="C349" s="189">
        <v>30124</v>
      </c>
      <c r="D349" s="190" t="s">
        <v>271</v>
      </c>
      <c r="E349" s="191" t="s">
        <v>502</v>
      </c>
      <c r="F349" s="192" t="s">
        <v>288</v>
      </c>
      <c r="G349" s="190">
        <v>390</v>
      </c>
      <c r="H349" s="190">
        <v>590</v>
      </c>
      <c r="I349" s="190">
        <v>22</v>
      </c>
      <c r="J349" s="190">
        <v>3.85</v>
      </c>
      <c r="K349" s="73">
        <v>3660.8</v>
      </c>
      <c r="L349" s="75">
        <f t="shared" si="120"/>
        <v>3050.666666666667</v>
      </c>
      <c r="M349" s="77">
        <f t="shared" si="121"/>
        <v>2379.5200000000004</v>
      </c>
      <c r="N349" s="77">
        <f t="shared" si="122"/>
        <v>1982.9333333333338</v>
      </c>
      <c r="O349" s="76">
        <v>0.35</v>
      </c>
    </row>
    <row r="350" spans="1:26" s="12" customFormat="1" ht="50.1" customHeight="1" x14ac:dyDescent="0.25">
      <c r="A350" s="14"/>
      <c r="B350" s="14"/>
      <c r="C350" s="189">
        <v>30134</v>
      </c>
      <c r="D350" s="190" t="s">
        <v>271</v>
      </c>
      <c r="E350" s="191" t="s">
        <v>503</v>
      </c>
      <c r="F350" s="192" t="s">
        <v>288</v>
      </c>
      <c r="G350" s="190">
        <v>390</v>
      </c>
      <c r="H350" s="190">
        <v>590</v>
      </c>
      <c r="I350" s="190">
        <v>23</v>
      </c>
      <c r="J350" s="190">
        <v>4.09</v>
      </c>
      <c r="K350" s="73">
        <v>5252</v>
      </c>
      <c r="L350" s="75">
        <f t="shared" si="120"/>
        <v>4376.666666666667</v>
      </c>
      <c r="M350" s="77">
        <f t="shared" si="121"/>
        <v>3151.2</v>
      </c>
      <c r="N350" s="77">
        <f t="shared" si="122"/>
        <v>2626</v>
      </c>
      <c r="O350" s="76">
        <v>0.4</v>
      </c>
    </row>
    <row r="351" spans="1:26" s="12" customFormat="1" ht="50.1" customHeight="1" x14ac:dyDescent="0.25">
      <c r="A351" s="14"/>
      <c r="B351" s="14"/>
      <c r="C351" s="189">
        <v>30234</v>
      </c>
      <c r="D351" s="190" t="s">
        <v>271</v>
      </c>
      <c r="E351" s="191" t="s">
        <v>504</v>
      </c>
      <c r="F351" s="192" t="s">
        <v>288</v>
      </c>
      <c r="G351" s="190">
        <v>390</v>
      </c>
      <c r="H351" s="190">
        <v>590</v>
      </c>
      <c r="I351" s="190">
        <v>23</v>
      </c>
      <c r="J351" s="190">
        <v>3.7</v>
      </c>
      <c r="K351" s="73">
        <v>5163.6000000000004</v>
      </c>
      <c r="L351" s="75">
        <f t="shared" si="120"/>
        <v>4303.0000000000009</v>
      </c>
      <c r="M351" s="77">
        <f t="shared" si="121"/>
        <v>3356.34</v>
      </c>
      <c r="N351" s="77">
        <f t="shared" si="122"/>
        <v>2796.9500000000003</v>
      </c>
      <c r="O351" s="76">
        <v>0.35</v>
      </c>
    </row>
    <row r="352" spans="1:26" s="12" customFormat="1" ht="50.1" customHeight="1" x14ac:dyDescent="0.25">
      <c r="A352" s="14"/>
      <c r="B352" s="14"/>
      <c r="C352" s="189">
        <v>301234</v>
      </c>
      <c r="D352" s="190" t="s">
        <v>271</v>
      </c>
      <c r="E352" s="191" t="s">
        <v>505</v>
      </c>
      <c r="F352" s="192" t="s">
        <v>288</v>
      </c>
      <c r="G352" s="190">
        <v>390</v>
      </c>
      <c r="H352" s="190">
        <v>590</v>
      </c>
      <c r="I352" s="190">
        <v>23</v>
      </c>
      <c r="J352" s="190">
        <v>3.88</v>
      </c>
      <c r="K352" s="79">
        <v>4945</v>
      </c>
      <c r="L352" s="75">
        <f t="shared" si="120"/>
        <v>4120.8333333333339</v>
      </c>
      <c r="M352" s="77">
        <f t="shared" si="121"/>
        <v>2719.75</v>
      </c>
      <c r="N352" s="77">
        <f t="shared" si="122"/>
        <v>2266.4583333333335</v>
      </c>
      <c r="O352" s="76">
        <v>0.45</v>
      </c>
    </row>
    <row r="353" spans="1:15" ht="15.75" customHeight="1" x14ac:dyDescent="0.25">
      <c r="A353" s="80" t="s">
        <v>506</v>
      </c>
      <c r="B353" s="81"/>
      <c r="C353" s="206"/>
      <c r="D353" s="114"/>
      <c r="E353" s="83"/>
      <c r="F353" s="207"/>
      <c r="G353" s="207"/>
      <c r="H353" s="207"/>
      <c r="I353" s="207"/>
      <c r="J353" s="207"/>
      <c r="K353" s="84"/>
      <c r="L353" s="85"/>
      <c r="M353" s="87"/>
      <c r="N353" s="87"/>
      <c r="O353" s="86"/>
    </row>
    <row r="354" spans="1:15" ht="50.1" customHeight="1" x14ac:dyDescent="0.25">
      <c r="A354" s="38"/>
      <c r="B354" s="38"/>
      <c r="C354" s="203" t="s">
        <v>507</v>
      </c>
      <c r="D354" s="190" t="s">
        <v>271</v>
      </c>
      <c r="E354" s="191" t="s">
        <v>508</v>
      </c>
      <c r="F354" s="204" t="s">
        <v>509</v>
      </c>
      <c r="G354" s="205" t="s">
        <v>341</v>
      </c>
      <c r="H354" s="205" t="s">
        <v>341</v>
      </c>
      <c r="I354" s="190">
        <v>20</v>
      </c>
      <c r="J354" s="205">
        <v>15.55</v>
      </c>
      <c r="K354" s="75">
        <v>14680</v>
      </c>
      <c r="L354" s="75">
        <f t="shared" ref="L354:L367" si="123">K354/1.2</f>
        <v>12233.333333333334</v>
      </c>
      <c r="M354" s="77">
        <f t="shared" ref="M354:M367" si="124">K354-(K354*O354)</f>
        <v>8808</v>
      </c>
      <c r="N354" s="77">
        <f t="shared" ref="N354:N367" si="125">M354/1.2</f>
        <v>7340</v>
      </c>
      <c r="O354" s="76">
        <v>0.4</v>
      </c>
    </row>
    <row r="355" spans="1:15" ht="50.1" customHeight="1" x14ac:dyDescent="0.25">
      <c r="A355" s="38"/>
      <c r="B355" s="38"/>
      <c r="C355" s="203" t="s">
        <v>510</v>
      </c>
      <c r="D355" s="190" t="s">
        <v>271</v>
      </c>
      <c r="E355" s="191" t="s">
        <v>511</v>
      </c>
      <c r="F355" s="204" t="s">
        <v>509</v>
      </c>
      <c r="G355" s="205" t="s">
        <v>341</v>
      </c>
      <c r="H355" s="205" t="s">
        <v>341</v>
      </c>
      <c r="I355" s="190">
        <v>20</v>
      </c>
      <c r="J355" s="205">
        <v>11.26</v>
      </c>
      <c r="K355" s="73">
        <v>15267.2</v>
      </c>
      <c r="L355" s="75">
        <f t="shared" si="123"/>
        <v>12722.666666666668</v>
      </c>
      <c r="M355" s="77">
        <f t="shared" si="124"/>
        <v>9160.32</v>
      </c>
      <c r="N355" s="77">
        <f t="shared" si="125"/>
        <v>7633.6</v>
      </c>
      <c r="O355" s="76">
        <v>0.4</v>
      </c>
    </row>
    <row r="356" spans="1:15" s="12" customFormat="1" ht="50.1" customHeight="1" x14ac:dyDescent="0.25">
      <c r="A356" s="38"/>
      <c r="B356" s="38"/>
      <c r="C356" s="203" t="s">
        <v>512</v>
      </c>
      <c r="D356" s="190" t="s">
        <v>271</v>
      </c>
      <c r="E356" s="191" t="s">
        <v>513</v>
      </c>
      <c r="F356" s="204" t="s">
        <v>509</v>
      </c>
      <c r="G356" s="205" t="s">
        <v>341</v>
      </c>
      <c r="H356" s="205" t="s">
        <v>341</v>
      </c>
      <c r="I356" s="190">
        <v>23</v>
      </c>
      <c r="J356" s="205">
        <v>13.91</v>
      </c>
      <c r="K356" s="73">
        <v>28360</v>
      </c>
      <c r="L356" s="75">
        <f t="shared" si="123"/>
        <v>23633.333333333336</v>
      </c>
      <c r="M356" s="77">
        <f t="shared" si="124"/>
        <v>17016</v>
      </c>
      <c r="N356" s="77">
        <f t="shared" si="125"/>
        <v>14180</v>
      </c>
      <c r="O356" s="76">
        <v>0.4</v>
      </c>
    </row>
    <row r="357" spans="1:15" s="12" customFormat="1" ht="50.1" customHeight="1" x14ac:dyDescent="0.25">
      <c r="A357" s="38"/>
      <c r="B357" s="38"/>
      <c r="C357" s="203" t="s">
        <v>514</v>
      </c>
      <c r="D357" s="190" t="s">
        <v>271</v>
      </c>
      <c r="E357" s="191" t="s">
        <v>515</v>
      </c>
      <c r="F357" s="204" t="s">
        <v>509</v>
      </c>
      <c r="G357" s="205" t="s">
        <v>341</v>
      </c>
      <c r="H357" s="205" t="s">
        <v>341</v>
      </c>
      <c r="I357" s="190">
        <v>20</v>
      </c>
      <c r="J357" s="205">
        <v>12.39</v>
      </c>
      <c r="K357" s="73">
        <v>14680</v>
      </c>
      <c r="L357" s="75">
        <f t="shared" si="123"/>
        <v>12233.333333333334</v>
      </c>
      <c r="M357" s="77">
        <f t="shared" si="124"/>
        <v>8808</v>
      </c>
      <c r="N357" s="77">
        <f t="shared" si="125"/>
        <v>7340</v>
      </c>
      <c r="O357" s="76">
        <v>0.4</v>
      </c>
    </row>
    <row r="358" spans="1:15" s="12" customFormat="1" ht="50.1" customHeight="1" x14ac:dyDescent="0.25">
      <c r="A358" s="38"/>
      <c r="B358" s="38"/>
      <c r="C358" s="203" t="s">
        <v>516</v>
      </c>
      <c r="D358" s="190" t="s">
        <v>271</v>
      </c>
      <c r="E358" s="191" t="s">
        <v>517</v>
      </c>
      <c r="F358" s="204" t="s">
        <v>509</v>
      </c>
      <c r="G358" s="205" t="s">
        <v>341</v>
      </c>
      <c r="H358" s="205" t="s">
        <v>341</v>
      </c>
      <c r="I358" s="190">
        <v>23</v>
      </c>
      <c r="J358" s="205">
        <v>14.75</v>
      </c>
      <c r="K358" s="73">
        <v>22350</v>
      </c>
      <c r="L358" s="75">
        <f t="shared" si="123"/>
        <v>18625</v>
      </c>
      <c r="M358" s="77">
        <f t="shared" si="124"/>
        <v>13410</v>
      </c>
      <c r="N358" s="77">
        <f t="shared" si="125"/>
        <v>11175</v>
      </c>
      <c r="O358" s="76">
        <v>0.4</v>
      </c>
    </row>
    <row r="359" spans="1:15" s="12" customFormat="1" ht="50.1" customHeight="1" x14ac:dyDescent="0.25">
      <c r="A359" s="38"/>
      <c r="B359" s="38"/>
      <c r="C359" s="203" t="s">
        <v>518</v>
      </c>
      <c r="D359" s="190" t="s">
        <v>271</v>
      </c>
      <c r="E359" s="191" t="s">
        <v>519</v>
      </c>
      <c r="F359" s="204" t="s">
        <v>509</v>
      </c>
      <c r="G359" s="205" t="s">
        <v>341</v>
      </c>
      <c r="H359" s="205" t="s">
        <v>341</v>
      </c>
      <c r="I359" s="190">
        <v>23</v>
      </c>
      <c r="J359" s="205">
        <v>12.54</v>
      </c>
      <c r="K359" s="73">
        <v>22080</v>
      </c>
      <c r="L359" s="75">
        <f t="shared" si="123"/>
        <v>18400</v>
      </c>
      <c r="M359" s="77">
        <f t="shared" si="124"/>
        <v>13248</v>
      </c>
      <c r="N359" s="77">
        <f t="shared" si="125"/>
        <v>11040</v>
      </c>
      <c r="O359" s="76">
        <v>0.4</v>
      </c>
    </row>
    <row r="360" spans="1:15" s="12" customFormat="1" ht="50.1" customHeight="1" x14ac:dyDescent="0.25">
      <c r="A360" s="38"/>
      <c r="B360" s="38"/>
      <c r="C360" s="203" t="s">
        <v>520</v>
      </c>
      <c r="D360" s="190" t="s">
        <v>271</v>
      </c>
      <c r="E360" s="191" t="s">
        <v>521</v>
      </c>
      <c r="F360" s="204" t="s">
        <v>509</v>
      </c>
      <c r="G360" s="205" t="s">
        <v>341</v>
      </c>
      <c r="H360" s="205" t="s">
        <v>341</v>
      </c>
      <c r="I360" s="190">
        <v>23</v>
      </c>
      <c r="J360" s="205">
        <v>13.57</v>
      </c>
      <c r="K360" s="73">
        <v>18970</v>
      </c>
      <c r="L360" s="75">
        <f t="shared" si="123"/>
        <v>15808.333333333334</v>
      </c>
      <c r="M360" s="77">
        <f t="shared" si="124"/>
        <v>11382</v>
      </c>
      <c r="N360" s="77">
        <f t="shared" si="125"/>
        <v>9485</v>
      </c>
      <c r="O360" s="76">
        <v>0.4</v>
      </c>
    </row>
    <row r="361" spans="1:15" s="12" customFormat="1" ht="50.1" customHeight="1" x14ac:dyDescent="0.25">
      <c r="A361" s="38"/>
      <c r="B361" s="38"/>
      <c r="C361" s="203" t="s">
        <v>522</v>
      </c>
      <c r="D361" s="190" t="s">
        <v>271</v>
      </c>
      <c r="E361" s="191" t="s">
        <v>523</v>
      </c>
      <c r="F361" s="204" t="s">
        <v>509</v>
      </c>
      <c r="G361" s="205" t="s">
        <v>341</v>
      </c>
      <c r="H361" s="205" t="s">
        <v>341</v>
      </c>
      <c r="I361" s="190">
        <v>22</v>
      </c>
      <c r="J361" s="205">
        <v>18.45</v>
      </c>
      <c r="K361" s="73">
        <v>15860</v>
      </c>
      <c r="L361" s="75">
        <f t="shared" si="123"/>
        <v>13216.666666666668</v>
      </c>
      <c r="M361" s="77">
        <f t="shared" si="124"/>
        <v>9516</v>
      </c>
      <c r="N361" s="77">
        <f t="shared" si="125"/>
        <v>7930</v>
      </c>
      <c r="O361" s="76">
        <v>0.4</v>
      </c>
    </row>
    <row r="362" spans="1:15" s="12" customFormat="1" ht="50.1" customHeight="1" x14ac:dyDescent="0.25">
      <c r="A362" s="38"/>
      <c r="B362" s="38"/>
      <c r="C362" s="203" t="s">
        <v>524</v>
      </c>
      <c r="D362" s="190" t="s">
        <v>271</v>
      </c>
      <c r="E362" s="191" t="s">
        <v>525</v>
      </c>
      <c r="F362" s="204" t="s">
        <v>509</v>
      </c>
      <c r="G362" s="205" t="s">
        <v>341</v>
      </c>
      <c r="H362" s="205" t="s">
        <v>341</v>
      </c>
      <c r="I362" s="190">
        <v>22</v>
      </c>
      <c r="J362" s="205">
        <v>15.07</v>
      </c>
      <c r="K362" s="73">
        <v>15267.2</v>
      </c>
      <c r="L362" s="75">
        <f t="shared" si="123"/>
        <v>12722.666666666668</v>
      </c>
      <c r="M362" s="77">
        <f t="shared" si="124"/>
        <v>9160.32</v>
      </c>
      <c r="N362" s="77">
        <f t="shared" si="125"/>
        <v>7633.6</v>
      </c>
      <c r="O362" s="76">
        <v>0.4</v>
      </c>
    </row>
    <row r="363" spans="1:15" s="12" customFormat="1" ht="50.1" customHeight="1" x14ac:dyDescent="0.25">
      <c r="A363" s="38"/>
      <c r="B363" s="38"/>
      <c r="C363" s="203" t="s">
        <v>526</v>
      </c>
      <c r="D363" s="190" t="s">
        <v>271</v>
      </c>
      <c r="E363" s="191" t="s">
        <v>527</v>
      </c>
      <c r="F363" s="204" t="s">
        <v>509</v>
      </c>
      <c r="G363" s="205" t="s">
        <v>341</v>
      </c>
      <c r="H363" s="205" t="s">
        <v>341</v>
      </c>
      <c r="I363" s="190">
        <v>23</v>
      </c>
      <c r="J363" s="205">
        <v>17.149999999999999</v>
      </c>
      <c r="K363" s="73">
        <v>29130</v>
      </c>
      <c r="L363" s="75">
        <f t="shared" si="123"/>
        <v>24275</v>
      </c>
      <c r="M363" s="77">
        <f t="shared" si="124"/>
        <v>16021.5</v>
      </c>
      <c r="N363" s="77">
        <f t="shared" si="125"/>
        <v>13351.25</v>
      </c>
      <c r="O363" s="76">
        <v>0.45</v>
      </c>
    </row>
    <row r="364" spans="1:15" s="12" customFormat="1" ht="50.1" customHeight="1" x14ac:dyDescent="0.25">
      <c r="A364" s="38"/>
      <c r="B364" s="38"/>
      <c r="C364" s="203" t="s">
        <v>528</v>
      </c>
      <c r="D364" s="190" t="s">
        <v>271</v>
      </c>
      <c r="E364" s="191" t="s">
        <v>529</v>
      </c>
      <c r="F364" s="204" t="s">
        <v>509</v>
      </c>
      <c r="G364" s="205" t="s">
        <v>341</v>
      </c>
      <c r="H364" s="205" t="s">
        <v>341</v>
      </c>
      <c r="I364" s="190">
        <v>22</v>
      </c>
      <c r="J364" s="205">
        <v>16.760000000000002</v>
      </c>
      <c r="K364" s="73">
        <v>16494.400000000001</v>
      </c>
      <c r="L364" s="75">
        <f t="shared" si="123"/>
        <v>13745.333333333336</v>
      </c>
      <c r="M364" s="77">
        <f t="shared" si="124"/>
        <v>9896.64</v>
      </c>
      <c r="N364" s="77">
        <f t="shared" si="125"/>
        <v>8247.2000000000007</v>
      </c>
      <c r="O364" s="76">
        <v>0.4</v>
      </c>
    </row>
    <row r="365" spans="1:15" s="12" customFormat="1" ht="50.1" customHeight="1" x14ac:dyDescent="0.25">
      <c r="A365" s="38"/>
      <c r="B365" s="38"/>
      <c r="C365" s="203" t="s">
        <v>530</v>
      </c>
      <c r="D365" s="190" t="s">
        <v>271</v>
      </c>
      <c r="E365" s="191" t="s">
        <v>531</v>
      </c>
      <c r="F365" s="204" t="s">
        <v>509</v>
      </c>
      <c r="G365" s="205" t="s">
        <v>341</v>
      </c>
      <c r="H365" s="205" t="s">
        <v>341</v>
      </c>
      <c r="I365" s="190">
        <v>23</v>
      </c>
      <c r="J365" s="205">
        <v>17.8</v>
      </c>
      <c r="K365" s="73">
        <v>21050</v>
      </c>
      <c r="L365" s="75">
        <f t="shared" si="123"/>
        <v>17541.666666666668</v>
      </c>
      <c r="M365" s="77">
        <f t="shared" si="124"/>
        <v>12630</v>
      </c>
      <c r="N365" s="77">
        <f t="shared" si="125"/>
        <v>10525</v>
      </c>
      <c r="O365" s="76">
        <v>0.4</v>
      </c>
    </row>
    <row r="366" spans="1:15" s="12" customFormat="1" ht="50.1" customHeight="1" x14ac:dyDescent="0.25">
      <c r="A366" s="38"/>
      <c r="B366" s="38"/>
      <c r="C366" s="203" t="s">
        <v>532</v>
      </c>
      <c r="D366" s="190" t="s">
        <v>271</v>
      </c>
      <c r="E366" s="191" t="s">
        <v>533</v>
      </c>
      <c r="F366" s="204" t="s">
        <v>509</v>
      </c>
      <c r="G366" s="205" t="s">
        <v>341</v>
      </c>
      <c r="H366" s="205" t="s">
        <v>341</v>
      </c>
      <c r="I366" s="190">
        <v>23</v>
      </c>
      <c r="J366" s="205">
        <v>16.11</v>
      </c>
      <c r="K366" s="73">
        <v>20670</v>
      </c>
      <c r="L366" s="75">
        <f t="shared" si="123"/>
        <v>17225</v>
      </c>
      <c r="M366" s="77">
        <f t="shared" si="124"/>
        <v>12402</v>
      </c>
      <c r="N366" s="77">
        <f t="shared" si="125"/>
        <v>10335</v>
      </c>
      <c r="O366" s="76">
        <v>0.4</v>
      </c>
    </row>
    <row r="367" spans="1:15" s="12" customFormat="1" ht="50.1" customHeight="1" x14ac:dyDescent="0.25">
      <c r="A367" s="38"/>
      <c r="B367" s="38"/>
      <c r="C367" s="203" t="s">
        <v>534</v>
      </c>
      <c r="D367" s="190" t="s">
        <v>271</v>
      </c>
      <c r="E367" s="191" t="s">
        <v>535</v>
      </c>
      <c r="F367" s="204" t="s">
        <v>509</v>
      </c>
      <c r="G367" s="205" t="s">
        <v>341</v>
      </c>
      <c r="H367" s="205" t="s">
        <v>341</v>
      </c>
      <c r="I367" s="190">
        <v>23</v>
      </c>
      <c r="J367" s="205">
        <v>16.88</v>
      </c>
      <c r="K367" s="79">
        <v>21439.599999999999</v>
      </c>
      <c r="L367" s="75">
        <f t="shared" si="123"/>
        <v>17866.333333333332</v>
      </c>
      <c r="M367" s="77">
        <f t="shared" si="124"/>
        <v>11791.779999999999</v>
      </c>
      <c r="N367" s="77">
        <f t="shared" si="125"/>
        <v>9826.4833333333336</v>
      </c>
      <c r="O367" s="76">
        <v>0.45</v>
      </c>
    </row>
    <row r="368" spans="1:15" s="12" customFormat="1" ht="15.75" customHeight="1" x14ac:dyDescent="0.25">
      <c r="A368" s="208" t="s">
        <v>536</v>
      </c>
      <c r="B368" s="209"/>
      <c r="C368" s="206"/>
      <c r="D368" s="207"/>
      <c r="E368" s="83"/>
      <c r="F368" s="207"/>
      <c r="G368" s="207"/>
      <c r="H368" s="207"/>
      <c r="I368" s="207"/>
      <c r="J368" s="207"/>
      <c r="K368" s="84"/>
      <c r="L368" s="85"/>
      <c r="M368" s="87"/>
      <c r="N368" s="87"/>
      <c r="O368" s="86"/>
    </row>
    <row r="369" spans="1:15" s="12" customFormat="1" ht="50.1" customHeight="1" x14ac:dyDescent="0.25">
      <c r="A369" s="38"/>
      <c r="B369" s="38"/>
      <c r="C369" s="203">
        <v>90018696</v>
      </c>
      <c r="D369" s="205"/>
      <c r="E369" s="191" t="s">
        <v>537</v>
      </c>
      <c r="F369" s="192" t="s">
        <v>288</v>
      </c>
      <c r="G369" s="190">
        <v>27</v>
      </c>
      <c r="H369" s="190">
        <v>17</v>
      </c>
      <c r="I369" s="190">
        <v>13</v>
      </c>
      <c r="J369" s="190">
        <v>2E-3</v>
      </c>
      <c r="K369" s="75">
        <v>11</v>
      </c>
      <c r="L369" s="75">
        <f t="shared" ref="L369:L371" si="126">K369/1.2</f>
        <v>9.1666666666666679</v>
      </c>
      <c r="M369" s="77">
        <f>K369-(K369*O369)</f>
        <v>11</v>
      </c>
      <c r="N369" s="77">
        <f t="shared" ref="N369:N371" si="127">M369/1.2</f>
        <v>9.1666666666666679</v>
      </c>
      <c r="O369" s="76">
        <v>0</v>
      </c>
    </row>
    <row r="370" spans="1:15" ht="50.1" customHeight="1" x14ac:dyDescent="0.25">
      <c r="A370" s="38"/>
      <c r="B370" s="38"/>
      <c r="C370" s="203">
        <v>90019626</v>
      </c>
      <c r="D370" s="205"/>
      <c r="E370" s="191" t="s">
        <v>538</v>
      </c>
      <c r="F370" s="192" t="s">
        <v>539</v>
      </c>
      <c r="G370" s="190">
        <v>1000</v>
      </c>
      <c r="H370" s="190">
        <v>4.5999999999999996</v>
      </c>
      <c r="I370" s="190">
        <v>4.2</v>
      </c>
      <c r="J370" s="190">
        <v>0.03</v>
      </c>
      <c r="K370" s="73">
        <v>20</v>
      </c>
      <c r="L370" s="75">
        <f t="shared" si="126"/>
        <v>16.666666666666668</v>
      </c>
      <c r="M370" s="77">
        <f>K370-(K370*O370)</f>
        <v>20</v>
      </c>
      <c r="N370" s="77">
        <f t="shared" si="127"/>
        <v>16.666666666666668</v>
      </c>
      <c r="O370" s="76">
        <v>0</v>
      </c>
    </row>
    <row r="371" spans="1:15" s="210" customFormat="1" ht="50.1" customHeight="1" x14ac:dyDescent="0.25">
      <c r="A371" s="38"/>
      <c r="B371" s="38"/>
      <c r="C371" s="203">
        <v>90020816</v>
      </c>
      <c r="D371" s="205"/>
      <c r="E371" s="191" t="s">
        <v>540</v>
      </c>
      <c r="F371" s="204" t="s">
        <v>541</v>
      </c>
      <c r="G371" s="205"/>
      <c r="H371" s="205"/>
      <c r="I371" s="205"/>
      <c r="J371" s="205"/>
      <c r="K371" s="73">
        <v>720</v>
      </c>
      <c r="L371" s="75">
        <f t="shared" si="126"/>
        <v>600</v>
      </c>
      <c r="M371" s="77">
        <f>K371-(K371*O371)</f>
        <v>468</v>
      </c>
      <c r="N371" s="77">
        <f t="shared" si="127"/>
        <v>390</v>
      </c>
      <c r="O371" s="76">
        <v>0.35</v>
      </c>
    </row>
  </sheetData>
  <autoFilter ref="B1"/>
  <conditionalFormatting sqref="B1 B372:B1048576 D111:O111">
    <cfRule type="cellIs" dxfId="32" priority="32" operator="equal">
      <formula>"новинка!"</formula>
    </cfRule>
    <cfRule type="cellIs" dxfId="31" priority="33" operator="equal">
      <formula>"новинка!"</formula>
    </cfRule>
  </conditionalFormatting>
  <conditionalFormatting sqref="A152:B152 A101:B106 A108:B110 D111:O111">
    <cfRule type="cellIs" dxfId="30" priority="31" operator="equal">
      <formula>"новинка!"</formula>
    </cfRule>
  </conditionalFormatting>
  <conditionalFormatting sqref="A16:B63 A67:B70 A73:B83 A89:B106 A184:B282 A284:B371 A108:B110 A119:B182 A2:B13">
    <cfRule type="cellIs" dxfId="29" priority="29" operator="equal">
      <formula>"новинка!"</formula>
    </cfRule>
    <cfRule type="cellIs" dxfId="28" priority="30" operator="equal">
      <formula>"новинка!"</formula>
    </cfRule>
  </conditionalFormatting>
  <conditionalFormatting sqref="A14:B14">
    <cfRule type="cellIs" dxfId="27" priority="27" operator="equal">
      <formula>"новинка!"</formula>
    </cfRule>
    <cfRule type="cellIs" dxfId="26" priority="28" operator="equal">
      <formula>"новинка!"</formula>
    </cfRule>
  </conditionalFormatting>
  <conditionalFormatting sqref="A183:B183">
    <cfRule type="cellIs" dxfId="25" priority="25" operator="equal">
      <formula>"новинка!"</formula>
    </cfRule>
    <cfRule type="cellIs" dxfId="24" priority="26" operator="equal">
      <formula>"новинка!"</formula>
    </cfRule>
  </conditionalFormatting>
  <conditionalFormatting sqref="A15:B15">
    <cfRule type="cellIs" dxfId="23" priority="23" operator="equal">
      <formula>"новинка!"</formula>
    </cfRule>
    <cfRule type="cellIs" dxfId="22" priority="24" operator="equal">
      <formula>"новинка!"</formula>
    </cfRule>
  </conditionalFormatting>
  <conditionalFormatting sqref="A283:B283">
    <cfRule type="cellIs" dxfId="21" priority="21" operator="equal">
      <formula>"новинка!"</formula>
    </cfRule>
    <cfRule type="cellIs" dxfId="20" priority="22" operator="equal">
      <formula>"новинка!"</formula>
    </cfRule>
  </conditionalFormatting>
  <conditionalFormatting sqref="A64:B66">
    <cfRule type="cellIs" dxfId="19" priority="19" operator="equal">
      <formula>"новинка!"</formula>
    </cfRule>
    <cfRule type="cellIs" dxfId="18" priority="20" operator="equal">
      <formula>"новинка!"</formula>
    </cfRule>
  </conditionalFormatting>
  <conditionalFormatting sqref="A71:B72">
    <cfRule type="cellIs" dxfId="17" priority="17" operator="equal">
      <formula>"новинка!"</formula>
    </cfRule>
    <cfRule type="cellIs" dxfId="16" priority="18" operator="equal">
      <formula>"новинка!"</formula>
    </cfRule>
  </conditionalFormatting>
  <conditionalFormatting sqref="A84:B88">
    <cfRule type="cellIs" dxfId="15" priority="15" operator="equal">
      <formula>"новинка!"</formula>
    </cfRule>
    <cfRule type="cellIs" dxfId="14" priority="16" operator="equal">
      <formula>"новинка!"</formula>
    </cfRule>
  </conditionalFormatting>
  <conditionalFormatting sqref="A112:B118">
    <cfRule type="cellIs" dxfId="13" priority="9" operator="equal">
      <formula>"новинка!"</formula>
    </cfRule>
    <cfRule type="cellIs" dxfId="12" priority="10" operator="equal">
      <formula>"новинка!"</formula>
    </cfRule>
  </conditionalFormatting>
  <conditionalFormatting sqref="A111:B111">
    <cfRule type="cellIs" dxfId="11" priority="14" operator="equal">
      <formula>"новинка!"</formula>
    </cfRule>
  </conditionalFormatting>
  <conditionalFormatting sqref="A111:B111">
    <cfRule type="cellIs" dxfId="10" priority="12" operator="equal">
      <formula>"новинка!"</formula>
    </cfRule>
    <cfRule type="cellIs" dxfId="9" priority="13" operator="equal">
      <formula>"новинка!"</formula>
    </cfRule>
  </conditionalFormatting>
  <conditionalFormatting sqref="A112:B118">
    <cfRule type="cellIs" dxfId="8" priority="11" operator="equal">
      <formula>"новинка!"</formula>
    </cfRule>
  </conditionalFormatting>
  <conditionalFormatting sqref="A107:B107">
    <cfRule type="cellIs" dxfId="7" priority="8" operator="equal">
      <formula>"новинка!"</formula>
    </cfRule>
  </conditionalFormatting>
  <conditionalFormatting sqref="A107:B107">
    <cfRule type="cellIs" dxfId="6" priority="6" operator="equal">
      <formula>"новинка!"</formula>
    </cfRule>
    <cfRule type="cellIs" dxfId="5" priority="7" operator="equal">
      <formula>"новинка!"</formula>
    </cfRule>
  </conditionalFormatting>
  <conditionalFormatting sqref="C137">
    <cfRule type="duplicateValues" dxfId="4" priority="5"/>
  </conditionalFormatting>
  <conditionalFormatting sqref="C138">
    <cfRule type="duplicateValues" dxfId="3" priority="4"/>
  </conditionalFormatting>
  <conditionalFormatting sqref="C111">
    <cfRule type="cellIs" dxfId="2" priority="3" operator="equal">
      <formula>"новинка!"</formula>
    </cfRule>
  </conditionalFormatting>
  <conditionalFormatting sqref="C111">
    <cfRule type="cellIs" dxfId="1" priority="1" operator="equal">
      <formula>"новинка!"</formula>
    </cfRule>
    <cfRule type="cellIs" dxfId="0" priority="2" operator="equal">
      <formula>"новинка!"</formula>
    </cfRule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1381125</xdr:colOff>
                    <xdr:row>0</xdr:row>
                    <xdr:rowOff>0</xdr:rowOff>
                  </from>
                  <to>
                    <xdr:col>4</xdr:col>
                    <xdr:colOff>4371975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Лист1</vt:lpstr>
      <vt:lpstr>Серия DRIVE</vt:lpstr>
      <vt:lpstr>Стандартная серия</vt:lpstr>
      <vt:lpstr>Серия MAX</vt:lpstr>
      <vt:lpstr>Лист3</vt:lpstr>
      <vt:lpstr>Лист1 (2)</vt:lpstr>
      <vt:lpstr>Лист1 (3)</vt:lpstr>
      <vt:lpstr>'Серия DRIVE'!Область_печати</vt:lpstr>
      <vt:lpstr>'Стандартная серия'!Область_печати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2021-06-04T16:26:19Z</dcterms:modified>
</cp:coreProperties>
</file>