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05" windowWidth="14805" windowHeight="8010"/>
  </bookViews>
  <sheets>
    <sheet name="Лист1" sheetId="1" r:id="rId1"/>
    <sheet name="Лист2" sheetId="2" r:id="rId2"/>
  </sheets>
  <definedNames>
    <definedName name="_xlnm._FilterDatabase" localSheetId="0" hidden="1">Лист1!$B$1:$B$356</definedName>
  </definedNames>
  <calcPr calcId="152511"/>
</workbook>
</file>

<file path=xl/calcChain.xml><?xml version="1.0" encoding="utf-8"?>
<calcChain xmlns="http://schemas.openxmlformats.org/spreadsheetml/2006/main">
  <c r="N222" i="2" l="1"/>
  <c r="N224" i="2"/>
  <c r="N123" i="2"/>
  <c r="N125" i="2"/>
  <c r="N68" i="2"/>
  <c r="N29" i="2"/>
  <c r="N28" i="2"/>
  <c r="N27" i="2"/>
  <c r="N26" i="2"/>
  <c r="N25" i="2"/>
  <c r="N24" i="2"/>
  <c r="N23" i="2"/>
  <c r="N22" i="2"/>
  <c r="N21" i="2"/>
  <c r="N20" i="2"/>
  <c r="N19" i="2"/>
  <c r="N18" i="2"/>
  <c r="N17" i="2"/>
  <c r="N16" i="2"/>
  <c r="O103" i="1"/>
  <c r="O104" i="1"/>
  <c r="O105" i="1"/>
  <c r="O114" i="1"/>
  <c r="O115" i="1"/>
  <c r="O116" i="1"/>
  <c r="O112" i="1"/>
  <c r="O113" i="1"/>
  <c r="O109" i="1"/>
  <c r="O110" i="1"/>
  <c r="O111" i="1"/>
  <c r="O106" i="1"/>
  <c r="O107" i="1"/>
  <c r="O108" i="1"/>
  <c r="O100" i="1"/>
  <c r="O101" i="1"/>
  <c r="O102" i="1"/>
  <c r="O98" i="1"/>
  <c r="O99" i="1"/>
  <c r="O97" i="1"/>
  <c r="O95" i="1"/>
  <c r="O96" i="1"/>
  <c r="O93" i="1"/>
  <c r="O94" i="1"/>
  <c r="N217" i="2"/>
  <c r="N216" i="2"/>
  <c r="N215" i="2"/>
  <c r="N213" i="2"/>
  <c r="N212" i="2"/>
  <c r="N211" i="2"/>
  <c r="N210" i="2"/>
  <c r="N209" i="2"/>
  <c r="N208" i="2"/>
  <c r="N207" i="2"/>
  <c r="N206" i="2"/>
  <c r="N205" i="2"/>
  <c r="N204" i="2"/>
  <c r="N203" i="2"/>
  <c r="N202" i="2"/>
  <c r="N201" i="2"/>
  <c r="N200" i="2"/>
  <c r="N198" i="2"/>
  <c r="N197" i="2"/>
  <c r="N196" i="2"/>
  <c r="N195" i="2"/>
  <c r="N194" i="2"/>
  <c r="N193" i="2"/>
  <c r="N192" i="2"/>
  <c r="N191" i="2"/>
  <c r="N190" i="2"/>
  <c r="N189" i="2"/>
  <c r="N188" i="2"/>
  <c r="N187" i="2"/>
  <c r="N186" i="2"/>
  <c r="N185" i="2"/>
  <c r="N183" i="2"/>
  <c r="N181" i="2"/>
  <c r="N180" i="2"/>
  <c r="N178" i="2"/>
  <c r="N175" i="2"/>
  <c r="N173" i="2"/>
  <c r="N172" i="2"/>
  <c r="N171" i="2"/>
  <c r="N169" i="2"/>
  <c r="N168" i="2"/>
  <c r="N166" i="2"/>
  <c r="N165" i="2"/>
  <c r="N164" i="2"/>
  <c r="N163" i="2"/>
  <c r="N161" i="2"/>
  <c r="N160" i="2"/>
  <c r="N157" i="2"/>
  <c r="N156" i="2"/>
  <c r="N155" i="2"/>
  <c r="N154" i="2"/>
  <c r="N153" i="2"/>
  <c r="N152" i="2"/>
  <c r="N150" i="2"/>
  <c r="N149" i="2"/>
  <c r="N147" i="2"/>
  <c r="N146" i="2"/>
  <c r="N144" i="2"/>
  <c r="N143" i="2"/>
  <c r="N140" i="2"/>
  <c r="N138" i="2"/>
  <c r="N137" i="2"/>
  <c r="N135" i="2"/>
  <c r="N134" i="2"/>
  <c r="N133" i="2"/>
  <c r="N131" i="2"/>
  <c r="N130" i="2"/>
  <c r="N129" i="2"/>
  <c r="N128" i="2"/>
  <c r="N127" i="2"/>
  <c r="N121" i="2"/>
  <c r="N120" i="2"/>
  <c r="N119" i="2"/>
  <c r="N117" i="2"/>
  <c r="N115" i="2"/>
  <c r="N114" i="2"/>
  <c r="N113" i="2"/>
  <c r="N110" i="2"/>
  <c r="N108" i="2"/>
  <c r="N106" i="2"/>
  <c r="N104" i="2"/>
  <c r="N103" i="2"/>
  <c r="N101" i="2"/>
  <c r="N100" i="2"/>
  <c r="N98" i="2"/>
  <c r="N97" i="2"/>
  <c r="N94" i="2"/>
  <c r="N92" i="2"/>
  <c r="N91" i="2"/>
  <c r="N90" i="2"/>
  <c r="N89" i="2"/>
  <c r="N87" i="2"/>
  <c r="N85" i="2"/>
  <c r="N84" i="2"/>
  <c r="N83" i="2"/>
  <c r="N82" i="2"/>
  <c r="N80" i="2"/>
  <c r="N79" i="2"/>
  <c r="N78" i="2"/>
  <c r="N77" i="2"/>
  <c r="N75" i="2"/>
  <c r="N73" i="2"/>
  <c r="N67" i="2"/>
  <c r="N65" i="2"/>
  <c r="N64" i="2"/>
  <c r="N63" i="2"/>
  <c r="N60" i="2"/>
  <c r="N58" i="2"/>
  <c r="N55" i="2"/>
  <c r="N54" i="2"/>
  <c r="N53" i="2"/>
  <c r="N52" i="2"/>
  <c r="N50" i="2"/>
  <c r="N49" i="2"/>
  <c r="N48" i="2"/>
  <c r="N45" i="2"/>
  <c r="N43" i="2"/>
  <c r="N42" i="2"/>
  <c r="N41" i="2"/>
  <c r="N39" i="2"/>
  <c r="N37" i="2"/>
  <c r="N36" i="2"/>
  <c r="N35" i="2"/>
  <c r="N34" i="2"/>
  <c r="N33" i="2"/>
  <c r="N32" i="2"/>
  <c r="N31" i="2"/>
  <c r="N30" i="2"/>
  <c r="N15" i="2"/>
  <c r="N14" i="2"/>
  <c r="N13" i="2"/>
  <c r="N12" i="2"/>
  <c r="N11" i="2"/>
  <c r="N10" i="2"/>
  <c r="N9" i="2"/>
  <c r="N8" i="2"/>
  <c r="N7" i="2"/>
  <c r="N6" i="2"/>
  <c r="N5" i="2"/>
  <c r="N4" i="2"/>
  <c r="N3" i="2"/>
  <c r="N2" i="2"/>
  <c r="N1" i="2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</calcChain>
</file>

<file path=xl/comments1.xml><?xml version="1.0" encoding="utf-8"?>
<comments xmlns="http://schemas.openxmlformats.org/spreadsheetml/2006/main">
  <authors>
    <author>Автор</author>
  </authors>
  <commentList>
    <comment ref="C6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тип решетки - </t>
        </r>
        <r>
          <rPr>
            <sz val="9"/>
            <color indexed="81"/>
            <rFont val="Tahoma"/>
            <family val="2"/>
            <charset val="204"/>
          </rPr>
          <t>продольная</t>
        </r>
      </text>
    </comment>
    <comment ref="C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тип решетки - </t>
        </r>
        <r>
          <rPr>
            <sz val="9"/>
            <color indexed="81"/>
            <rFont val="Tahoma"/>
            <family val="2"/>
            <charset val="204"/>
          </rPr>
          <t>продольная</t>
        </r>
      </text>
    </comment>
    <comment ref="C24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 для 08071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Автор</author>
  </authors>
  <commentList>
    <comment ref="B24" authorId="0" shapeId="0">
      <text>
        <r>
          <rPr>
            <b/>
            <sz val="9"/>
            <color indexed="81"/>
            <rFont val="Tahoma"/>
            <family val="2"/>
            <charset val="204"/>
          </rPr>
          <t>заказная позиция</t>
        </r>
      </text>
    </comment>
    <comment ref="B26" authorId="0" shapeId="0">
      <text>
        <r>
          <rPr>
            <b/>
            <sz val="9"/>
            <color indexed="81"/>
            <rFont val="Tahoma"/>
            <family val="2"/>
            <charset val="204"/>
          </rPr>
          <t>заказная позиция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27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для бетонных лотков BGU DN100
</t>
        </r>
      </text>
    </comment>
    <comment ref="B30" authorId="0" shapeId="0">
      <text>
        <r>
          <rPr>
            <sz val="9"/>
            <color indexed="81"/>
            <rFont val="Tahoma"/>
            <family val="2"/>
            <charset val="204"/>
          </rPr>
          <t>корзина в комплекте</t>
        </r>
      </text>
    </comment>
    <comment ref="B89" authorId="0" shapeId="0">
      <text>
        <r>
          <rPr>
            <sz val="9"/>
            <color indexed="81"/>
            <rFont val="Tahoma"/>
            <family val="2"/>
            <charset val="204"/>
          </rPr>
          <t xml:space="preserve">подходят для лотков серии Super
</t>
        </r>
        <r>
          <rPr>
            <b/>
            <sz val="9"/>
            <color indexed="81"/>
            <rFont val="Tahoma"/>
            <family val="2"/>
            <charset val="204"/>
          </rPr>
          <t>заказная позиция</t>
        </r>
      </text>
    </comment>
    <comment ref="B90" authorId="0" shapeId="0">
      <text>
        <r>
          <rPr>
            <sz val="9"/>
            <color indexed="81"/>
            <rFont val="Tahoma"/>
            <family val="2"/>
            <charset val="204"/>
          </rPr>
          <t xml:space="preserve">подходят для лотков серии Super
</t>
        </r>
        <r>
          <rPr>
            <b/>
            <sz val="9"/>
            <color indexed="81"/>
            <rFont val="Tahoma"/>
            <family val="2"/>
            <charset val="204"/>
          </rPr>
          <t>заказная позиция</t>
        </r>
      </text>
    </comment>
    <comment ref="B103" authorId="0" shapeId="0">
      <text>
        <r>
          <rPr>
            <sz val="9"/>
            <color indexed="81"/>
            <rFont val="Tahoma"/>
            <family val="2"/>
            <charset val="204"/>
          </rPr>
          <t xml:space="preserve">подходят для лотков серии Super
</t>
        </r>
        <r>
          <rPr>
            <b/>
            <sz val="9"/>
            <color indexed="81"/>
            <rFont val="Tahoma"/>
            <family val="2"/>
            <charset val="204"/>
          </rPr>
          <t>заказная позиция</t>
        </r>
      </text>
    </comment>
    <comment ref="B104" authorId="0" shapeId="0">
      <text>
        <r>
          <rPr>
            <sz val="9"/>
            <color indexed="81"/>
            <rFont val="Tahoma"/>
            <family val="2"/>
            <charset val="204"/>
          </rPr>
          <t xml:space="preserve">подходят для лотков серии Super
</t>
        </r>
        <r>
          <rPr>
            <b/>
            <sz val="9"/>
            <color indexed="81"/>
            <rFont val="Tahoma"/>
            <family val="2"/>
            <charset val="204"/>
          </rPr>
          <t>заказная позиция</t>
        </r>
      </text>
    </comment>
  </commentList>
</comments>
</file>

<file path=xl/sharedStrings.xml><?xml version="1.0" encoding="utf-8"?>
<sst xmlns="http://schemas.openxmlformats.org/spreadsheetml/2006/main" count="1065" uniqueCount="484">
  <si>
    <t>№ по каталогу</t>
  </si>
  <si>
    <t>Класс нагрузки</t>
  </si>
  <si>
    <t>Наименование</t>
  </si>
  <si>
    <t>Длина, мм</t>
  </si>
  <si>
    <t>Ширина, мм</t>
  </si>
  <si>
    <t>Высота, мм</t>
  </si>
  <si>
    <t>Вес,                  кг</t>
  </si>
  <si>
    <t>Розница, с НДС
2021</t>
  </si>
  <si>
    <t>Розница, без НДС
2021</t>
  </si>
  <si>
    <t>%</t>
  </si>
  <si>
    <t>руб с ндс</t>
  </si>
  <si>
    <t>руб без ндс</t>
  </si>
  <si>
    <t>08096</t>
  </si>
  <si>
    <t>A</t>
  </si>
  <si>
    <t xml:space="preserve">Комплект Gidrolica Light: лоток водоотводный ЛВ -10.11,5.5,5 - пластиковый
 с решеткой РВ -10.10,8.100 стальной оцинкованной, кл. A15 </t>
  </si>
  <si>
    <t>DN100</t>
  </si>
  <si>
    <t>08097</t>
  </si>
  <si>
    <r>
      <t xml:space="preserve">Комплект Gidrolica Light: лоток водоотводный ЛВ -10.11,5.5,5 - пластиковый
 с решеткой РВ- 10.11.50 пластиковой </t>
    </r>
    <r>
      <rPr>
        <b/>
        <sz val="11"/>
        <rFont val="Calibri"/>
        <family val="2"/>
        <charset val="204"/>
        <scheme val="minor"/>
      </rPr>
      <t>щелевой</t>
    </r>
    <r>
      <rPr>
        <sz val="11"/>
        <rFont val="Calibri"/>
        <family val="2"/>
        <charset val="204"/>
        <scheme val="minor"/>
      </rPr>
      <t xml:space="preserve">, кл. A15 </t>
    </r>
  </si>
  <si>
    <t>08099</t>
  </si>
  <si>
    <r>
      <t xml:space="preserve">Комплект Gidrolica Light: лоток водоотводный ЛВ -10.11,5.5,5 - пластиковый
 с решеткой РВ- 10.11.50 пластиковой </t>
    </r>
    <r>
      <rPr>
        <b/>
        <sz val="11"/>
        <rFont val="Calibri"/>
        <family val="2"/>
        <charset val="204"/>
        <scheme val="minor"/>
      </rPr>
      <t>ячеистой</t>
    </r>
    <r>
      <rPr>
        <sz val="11"/>
        <rFont val="Calibri"/>
        <family val="2"/>
        <charset val="204"/>
        <scheme val="minor"/>
      </rPr>
      <t>, кл. А15</t>
    </r>
  </si>
  <si>
    <t>08099Б</t>
  </si>
  <si>
    <t>A B</t>
  </si>
  <si>
    <r>
      <t xml:space="preserve">Комплект Gidrolica Light: лоток водоотводный ЛВ -10.11,5.5,5 - пластиковый
 с решеткой РВ- 10.11.50 пластиковой </t>
    </r>
    <r>
      <rPr>
        <b/>
        <sz val="11"/>
        <rFont val="Calibri"/>
        <family val="2"/>
        <charset val="204"/>
        <scheme val="minor"/>
      </rPr>
      <t>ячеистой</t>
    </r>
    <r>
      <rPr>
        <sz val="11"/>
        <rFont val="Calibri"/>
        <family val="2"/>
        <charset val="204"/>
        <scheme val="minor"/>
      </rPr>
      <t xml:space="preserve">, кл. B125 </t>
    </r>
  </si>
  <si>
    <t>08091</t>
  </si>
  <si>
    <t>Комплект Gidrolica Light: лоток водоотводный ЛВ -10.11,5.5,5 - пластиковый
 с решеткой РВ- 10.11.50 пластиковой ячеистой, кл. A15 </t>
  </si>
  <si>
    <t>08071</t>
  </si>
  <si>
    <t>Комплект Gidrolica Light: лоток водоотводный ЛВ -10.11,5.9,5 - пластиковый
 с решеткой РВ- 10.11.50 пластиковой ячеистой, кл. A15</t>
  </si>
  <si>
    <t>08061</t>
  </si>
  <si>
    <t>Комплект Gidrolica Light: лоток водоотводный ЛВ -10.11,5.9,6 - пластиковый с решеткой РВ- 10.11.50 пластиковой ячеистой, кл. A15</t>
  </si>
  <si>
    <t>0806</t>
  </si>
  <si>
    <t xml:space="preserve">Комплект Gidrolica Light: лоток водоотводный ЛВ -10.11,5.9,5 - пластиковый
 с решеткой РВ -10.10,8.100 стальной оцинкованной, кл. A15 </t>
  </si>
  <si>
    <t>08066</t>
  </si>
  <si>
    <t xml:space="preserve"> Комплект Gidrolica Light: лоток водоотводный ЛВ -10.11,5.9,6 - пластиковый с решеткой РВ -10.10,8.100 стальной оцинкованной, кл. A15</t>
  </si>
  <si>
    <t>0807</t>
  </si>
  <si>
    <t xml:space="preserve">Комплект Gidrolica Light: лоток водоотводный ЛВ -10.11,5.9,5 - пластиковый
 с решеткой РВ- 10.11.50 пластиковой щелевой, кл. A15 </t>
  </si>
  <si>
    <t>08067</t>
  </si>
  <si>
    <t>Комплект Gidrolica Light: лоток водоотводный ЛВ -10.11,5.9,6 - пластиковый с решеткой РВ- 10.11.50 пластиковой, кл. A15</t>
  </si>
  <si>
    <t>0809</t>
  </si>
  <si>
    <t xml:space="preserve">Комплект Gidrolica Light: лоток водоотводный ЛВ -10.11,5.9,5 - пластиковый
 с решеткой РВ- 10.11.50 пластиковой ячеистой, кл. A15 </t>
  </si>
  <si>
    <t>0809Б</t>
  </si>
  <si>
    <t xml:space="preserve">Комплект Gidrolica Light: лоток водоотводный ЛВ -10.11,5.9,5 - пластиковый
 с решеткой РВ- 10.11.50 пластиковой ячеистой, кл. B125  </t>
  </si>
  <si>
    <t>08069В</t>
  </si>
  <si>
    <t>Комплект Gidrolica Light: лоток водоотводный ЛВ -10.11,5.9,6 - пластиковый с решеткой РВ- 10.11.50 пластиковой ячеистой, кл. B125</t>
  </si>
  <si>
    <t>0809с</t>
  </si>
  <si>
    <t>Комплект Gidrolica Light: лоток водоотводный ЛВ -10.11,5.9,5 - пластиковый
 с решеткой РВ- 10.11.50 пластиковой ячеистой, кл. B125 , серый</t>
  </si>
  <si>
    <t>0832A</t>
  </si>
  <si>
    <t>Комплект Gidrolica Light: лоток водоотводный ЛВ-30.38.28 - пластиковый c решеткой РВ -30.37.100 ячеистой стальной оцинкованной, кл. А15</t>
  </si>
  <si>
    <t>DN300</t>
  </si>
  <si>
    <t xml:space="preserve">0830А </t>
  </si>
  <si>
    <t>Комплект Gidrolica Light: лоток водоотводный ЛВ-30.38.39,6 - пластиковый c решеткой РВ -30.37.100 ячеистой стальной оцинкованной, кл. А15</t>
  </si>
  <si>
    <t>0834A</t>
  </si>
  <si>
    <t>Комплект Gidrolica Light: лоток водоотводный ЛВ-30.38.48 - пластиковый c решеткой РВ -30.37.100 ячеистой стальной оцинкованной, кл. А15</t>
  </si>
  <si>
    <t>08068</t>
  </si>
  <si>
    <t>Комплект Gidrolica Light: пескоуловитель для пластиковых лотков ПУ 10.11,5.32 - пластиковый с  решеткой РВ -10.10,8.100 стальной оцинкованной, кл. A15</t>
  </si>
  <si>
    <t>08078</t>
  </si>
  <si>
    <t>Комплект Gidrolica Light: пескоуловитель для пластиковых лотков ПУ 10.11,5.32 - пластиковый с  решеткой РВ- 10.11.50 пластиковой, кл. A15</t>
  </si>
  <si>
    <t>08098</t>
  </si>
  <si>
    <t>Комплект Gidrolica Light: пескоуловитель для пластиковых лотков ПУ 10.11,5.32 - пластиковый с  решеткой РВ- 10.11.50 пластиковой, ячеистой кл. A15</t>
  </si>
  <si>
    <t>08098Б</t>
  </si>
  <si>
    <t>Комплект Gidrolica Light: пескоуловитель для пластиковых лотков ПУ 10.11,5.32 - пластиковый с  решеткой РВ- 10.11.50 пластиковой, ячеистой кл. В125</t>
  </si>
  <si>
    <t>08018</t>
  </si>
  <si>
    <t>-</t>
  </si>
  <si>
    <t>Торцевая заглушка для лотка водоотводного Gidrolica Light, пластиковая</t>
  </si>
  <si>
    <t>Переходник для лотка водоотводного Gidrolica Light, пластиковый</t>
  </si>
  <si>
    <t>шт.</t>
  </si>
  <si>
    <t>A B C</t>
  </si>
  <si>
    <t>Лоток водоотводный Gidrolica Standart ЛВ-10.14,5.06 - пластиковый</t>
  </si>
  <si>
    <t>Лоток водоотводный Gidrolica Standart ЛВ-10.14,5.08 - пластиковый</t>
  </si>
  <si>
    <t>Лоток водоотводный Gidrolica Standart ЛВ-10.14,5.10 - пластиковый</t>
  </si>
  <si>
    <t xml:space="preserve">Лоток водоотводный Gidrolica Standart ЛВ-10.14,5.12 - пластиковый </t>
  </si>
  <si>
    <t>Лоток водоотводный Gidrolica Standart ЛВ-10.14,5.13,5 - пластиковый</t>
  </si>
  <si>
    <t>Лоток водоотводный Gidrolica Standart ЛВ-10.14,5.18,5 - пластиковый</t>
  </si>
  <si>
    <t>Пескоуловитель Gidrolica Standart ПУ-10.16.42 - пластиковый</t>
  </si>
  <si>
    <t>Лоток водоотводный Gidrolica Standart Plus ЛВ-10.14,5.06 - пластиковый (усиленный)</t>
  </si>
  <si>
    <t>Лоток водоотводный Gidrolica Standart Plus ЛВ-10.14,5.08 - пластиковый (усиленный)</t>
  </si>
  <si>
    <t>Лоток водоотводный Gidrolica Standart Plus ЛВ-10.14,5.10 - пластиковый (усиленный)</t>
  </si>
  <si>
    <t>Лоток водоотводный Gidrolica Standart Plus ЛВ-10.14,5.12 - пластиковый (усиленный)</t>
  </si>
  <si>
    <t>Лоток водоотводный Gidrolica Standart Plus ЛВ-10.14,5.13,5 - пластиковый (усиленный)</t>
  </si>
  <si>
    <t>Лоток водоотводный Gidrolica Standart Plus ЛВ-10.14,5.18,5 - пластиковый (усиленный)</t>
  </si>
  <si>
    <t>Пескоуловитель Gidrolica Standart Plus ПУ-10.16.42 - пластиковый (усиленный)</t>
  </si>
  <si>
    <t>Торцевая заглушка универсальная для лотка водоотводного Gidrolica Standart/Standart Plus DN100, пластиковая</t>
  </si>
  <si>
    <t xml:space="preserve">Крепеж Gidrolica для лотка водоотводного пластикового DN100 </t>
  </si>
  <si>
    <t>108ст</t>
  </si>
  <si>
    <t xml:space="preserve">Крепеж стальной Gidrolica для лотка водоотводного пластикового DN100 (с болтом 8х50) </t>
  </si>
  <si>
    <t>108/1</t>
  </si>
  <si>
    <t>Крепеж Gidrolica для лотка водоотводного пластикового DN100 для арт.508/1</t>
  </si>
  <si>
    <t>Лоток водоотводный бетонный коробчатый (СО-100мм)  КП 50.14 (10).6(3) - BGF</t>
  </si>
  <si>
    <t>Лоток водоотводный бетонный коробчатый (СО-100мм)  КП 100.16 (10).8(4,5) - BGF</t>
  </si>
  <si>
    <t>Лоток водоотводный бетонный коробчатый (СО-100мм)  КП 100.16 (10).10(6,5)- BGF</t>
  </si>
  <si>
    <t>Лоток водоотводный бетонный коробчатый (СО-100мм), с водосливом  КПв100.16 (10).8(4,5)- BGF</t>
  </si>
  <si>
    <t>Лоток водоотводный бетонный коробчатый (СО-100мм), с водосливом  КПв 100.16 (10).10(6,5)- BGF</t>
  </si>
  <si>
    <t>Лоток водоотводный бетонный коробчатый (СО-100мм)КU  100.14 (10).12,5(9) - BGU</t>
  </si>
  <si>
    <t>RU13000</t>
  </si>
  <si>
    <t>Лоток водоотводный бетонный коробчатый (СО-100мм)КU 100.16,3 (10).13,2(9,2) - BGU, № 0</t>
  </si>
  <si>
    <t>RU13001</t>
  </si>
  <si>
    <t>Лоток водоотводный бетонный коробчатый (СО-100мм)КU 100.16,3 (10).15,7(11,7) - BGU, № 5-0</t>
  </si>
  <si>
    <t>RU13002</t>
  </si>
  <si>
    <t>Лоток водоотводный бетонный коробчатый (СО-100мм)КU 100.16,3 (10).18,2(14,2) - BGU, № 10-0</t>
  </si>
  <si>
    <t>Новинка</t>
  </si>
  <si>
    <t>RU13003</t>
  </si>
  <si>
    <t>Лоток ВБК (СО-100) КU 100.16,3 (10).20,7(16,7) - BGU, № 15-0</t>
  </si>
  <si>
    <t>RU13060</t>
  </si>
  <si>
    <t>Лоток ВБК (СО-100) КU 100.16,3 (10).21,5(17,5) – BGU</t>
  </si>
  <si>
    <t>Лоток водоотводный бетонный коробчатый (СО-100мм), с водосливом КUв  100.14 (10).12,5(9) - BGU</t>
  </si>
  <si>
    <t>RU13005</t>
  </si>
  <si>
    <t>Лоток водоотводный бетонный коробчатый (СО-100мм), с водосливом КUв 100.16,3 (10).13,2(9,2) - BGU, № 3</t>
  </si>
  <si>
    <t>RU13006</t>
  </si>
  <si>
    <t>Лоток водоотводный бетонный коробчатый (СО-100мм), с водосливом KUв 100.16,3(10).15,7(11,7) - BGU, № 5-0</t>
  </si>
  <si>
    <t>RU13007</t>
  </si>
  <si>
    <t>Лоток водоотводный бетонный коробчатый (СО-100мм), с водосливом КUв 100.16,3 (10).18,2(14,2) -BGU, № 10-0</t>
  </si>
  <si>
    <t>RU13008</t>
  </si>
  <si>
    <t>Лоток ВБК (СО-100), с водосливом КUв 100.16,3 (10).20,7(16,7) -BGU, № 15-0</t>
  </si>
  <si>
    <t>RU13061</t>
  </si>
  <si>
    <t xml:space="preserve">Лоток ВБК (СО-100), с водосливом КUв 100.16,3 (10).21,5(17,5) -BGU </t>
  </si>
  <si>
    <t>RU13010</t>
  </si>
  <si>
    <t>Лоток водоотводный бетонный коробчатый (СО-100мм), с уклоном 0,5%  КUу 100.16,3 (10).13,7(9,7) - BGU, № 1</t>
  </si>
  <si>
    <t>RU13011</t>
  </si>
  <si>
    <t>Лоток водоотводный бетонный коробчатый (СО-100мм), с уклоном 0,5%  КUу 100.16,3 (10).14,2(10,2) - BGU,№ 2</t>
  </si>
  <si>
    <t>RU13012</t>
  </si>
  <si>
    <t>Лоток водоотводный бетонный коробчатый (СО-100мм), с уклоном 0,5%  КUу 100.16,3 (10).14,7(10,7) - BGU № 3</t>
  </si>
  <si>
    <t>RU13013</t>
  </si>
  <si>
    <t>Лоток водоотводный бетонный коробчатый (СО-100мм), с уклоном 0,5%  КUу 100.16,3 (10).15,2(11,2) - BGU, № 4</t>
  </si>
  <si>
    <t>RU13014</t>
  </si>
  <si>
    <t>Лоток водоотводный бетонный коробчатый (СО-100мм), с уклоном 0,5%  КUу 100.16,3 (10)15,7(11,7) - BGU, № 5</t>
  </si>
  <si>
    <t>RU13015</t>
  </si>
  <si>
    <t>Лоток водоотводный бетонный коробчатый (СО-100мм), с уклоном 0,5%  КUу 100.16,3 (10).16,2(12,2) - BGU, № 6</t>
  </si>
  <si>
    <t>RU13016</t>
  </si>
  <si>
    <t>Лоток водоотводный бетонный коробчатый (СО-100мм), с уклоном 0,5%  КUу 100.16,3 (10).16,7(12,7) - BGU, № 7</t>
  </si>
  <si>
    <t>RU13017</t>
  </si>
  <si>
    <t>Лоток водоотводный бетонный коробчатый (СО-100мм), с уклоном 0,5% КUу 100.16,3 (10).17,2(13,2) - BGU, № 8</t>
  </si>
  <si>
    <t>RU13018</t>
  </si>
  <si>
    <t>Лоток водоотводный бетонный коробчатый (СО-100мм), с уклоном 0,5%  КUу 100.16,3 (10).17,7(13,7) - BGU, № 9</t>
  </si>
  <si>
    <t>RU13019</t>
  </si>
  <si>
    <t>Лоток водоотводный бетонный коробчатый (СО-100мм), с уклоном 0,5%  КUу 100.16,3 (10).18,2(14,2) - BGU, № 10</t>
  </si>
  <si>
    <t>RU13020</t>
  </si>
  <si>
    <t>Лоток ВБК (СО-100), с уклоном 0,5% КUу 100.16,3 (10).18,7(14,7) - BGU, № 11</t>
  </si>
  <si>
    <t>RU13021</t>
  </si>
  <si>
    <t>Лоток ВБК (СО-100), с уклоном 0,5% КUу 100.16,3 (10).19,2(15,2) - BGU, № 12</t>
  </si>
  <si>
    <t>RU13022</t>
  </si>
  <si>
    <t>Лоток ВБК (СО-100), с уклоном 0,5% КUу 100.16,3 (10).19,7(15,7) - BGU, № 13</t>
  </si>
  <si>
    <t>RU13023</t>
  </si>
  <si>
    <t>Лоток ВБК (СО-100), с уклоном 0,5% КUу 100.16,3 (10).20,2(16,2) - BGU, № 14</t>
  </si>
  <si>
    <t>RU13024</t>
  </si>
  <si>
    <t>Лоток ВБК (СО-100), с уклоном 0,5% КUу 100.16,3 (10).20,7(16,7) - BGU, № 15</t>
  </si>
  <si>
    <t>Пескоулавливающий колодец бетонный  (СО-100мм), односекционный ПКП  50.14 (10).38,5(35,5) - BGU</t>
  </si>
  <si>
    <t>RU13039</t>
  </si>
  <si>
    <t>Пескоулавливающий колодец бетонный  (СО-100мм), односекционныйПКП  50.16 (10).50(46) - BGU</t>
  </si>
  <si>
    <t>49010900</t>
  </si>
  <si>
    <t xml:space="preserve">Корзина стальная универсальная для пескоулавливающего колодца (СО-100мм)Кпк 10 - 40.8.16,4 </t>
  </si>
  <si>
    <t xml:space="preserve">Крепеж Gidrolica для лотка водоотводного бетонного DN100 </t>
  </si>
  <si>
    <t>Заглушка торцевая стальная (СО-100мм), ЗТ 10 - 16. 8. 0,125</t>
  </si>
  <si>
    <t>Заглушка торцевая стальная (СО-100мм), ЗТ10 - 15,6. 24. 0,125</t>
  </si>
  <si>
    <t>Заглушка торцевая стальная (СО-100мм)с водосливом  ЗТв 10 - 15,6. 25. 0,125</t>
  </si>
  <si>
    <t xml:space="preserve">Насадка усиливающая НУ-100.2,3.2,4-ОС-ЛВ, стальная оцинкованная </t>
  </si>
  <si>
    <t>FILCOTEN</t>
  </si>
  <si>
    <t>Лоток композитбетонный мелкосидящий Filcoten DN100, h55</t>
  </si>
  <si>
    <t>Лоток композитбетонный Filcoten DN100, №0</t>
  </si>
  <si>
    <t>Лоток композитбетонный Filcoten DN100, №5-0</t>
  </si>
  <si>
    <t>Лоток композитбетонный Filcoten DN100, №10-0</t>
  </si>
  <si>
    <t>Пескоуловитель композитбетонный Filcoten DN100, 500/140/500, с муфтой</t>
  </si>
  <si>
    <t>Корзина для пескоуловителя Filcoten DN100 – пластиковая</t>
  </si>
  <si>
    <t>Решетка ячеистая чугунная Filcoten DN 100, 500/124/5, кл. C250, с пружинным крепежом</t>
  </si>
  <si>
    <t>Решетка штампованная оцинкованная Filcoten DN100 1000/124/2, кл. А15</t>
  </si>
  <si>
    <t xml:space="preserve"> А В С</t>
  </si>
  <si>
    <t>Лоток композитбетонный Filcoten Parkline DN150, h50</t>
  </si>
  <si>
    <t>DN150</t>
  </si>
  <si>
    <t>Лоток композитбетонный Filcoten Parkline DN150, h50 со сливом</t>
  </si>
  <si>
    <t>Защита слива для лотка композитбетонный Filcoten Parkline DN150, из нержавеющей стали</t>
  </si>
  <si>
    <t>Угловой соединительный элемент для лотка композитбетонный Filcoten Parkline DN150, из нержавеющей стали с декоративным элементом</t>
  </si>
  <si>
    <t>Заглушки для лотка композитбетонный Filcoten Parkline DN150, из нержавеющей стали</t>
  </si>
  <si>
    <t>Щетка для лотка композитбетонный Filcoten Parkline DN150, из нержавеющей стали</t>
  </si>
  <si>
    <t>Лоток композитбетонный Filcoten Parkline DN300, h50</t>
  </si>
  <si>
    <t>Лоток водоотводный Gidrolica PolySand ЛВ-10.14.13 - полимерпесчанный</t>
  </si>
  <si>
    <t>Лоток водоотводный Gidrolica PolySand ЛВ-10.14.07 - полимерпесчанный</t>
  </si>
  <si>
    <t xml:space="preserve">Решетка водоприемная Gidrolica Standart РВ -10.13,6.50 - штампованная стальная оцинкованная, кл. А15 </t>
  </si>
  <si>
    <t>Решетка водоприемная Gidrolica Standart РВ -10.13,6.100 - штампованная стальная оцинкованная, кл. А15</t>
  </si>
  <si>
    <t>508/1</t>
  </si>
  <si>
    <t>Решетка водоприемная Gidrolica Standart РВ-10.13,6.100 - штампованная стальная оцинкованная с отверстиями для крепления, кл. А15</t>
  </si>
  <si>
    <t xml:space="preserve">Решетка водоприемная Gidrolica Standart РВ -10.13,6.100 - штампованная медная, кл. А15 </t>
  </si>
  <si>
    <t xml:space="preserve">Решетка водоприемная Gidrolica Standart РВ -10.13,6.100 - штампованная стальная нержавеющая, кл. А15 </t>
  </si>
  <si>
    <t>Решетка водоприемная Gidrolica Standart РВ -10.13,6.50 - ячеистая пластиковая, кл. А15</t>
  </si>
  <si>
    <t xml:space="preserve">Решетка водоприемная Gidrolica Standart РВ -10.13,6.100 - ячеистая стальная оцинкованная, кл. В125 </t>
  </si>
  <si>
    <t>Решетка водоприемная Gidrolica Standart РВ -10.13,6.50 - щелевая чугунная ВЧ, кл. С250</t>
  </si>
  <si>
    <t xml:space="preserve">Решетка водоприемная Gidrolica Standart РВ -10.13,6.50 - щелевая чугунная ВЧ оцинкованная, кл. С250 </t>
  </si>
  <si>
    <t>Решетка водоприемная Gidrolica Standart РВ -10.13,6.50 ячеистая чугунная ВЧ, кл. С250</t>
  </si>
  <si>
    <t xml:space="preserve">Решетка водоприемная Gidrolica Standart РВ -10.13,6.50 ячеистая чугунная ВЧ оцинкованная, кл. С250 </t>
  </si>
  <si>
    <t>RU1305032</t>
  </si>
  <si>
    <t>Решётка водоприёмная чугунная ячеистая РВЧЯ - RU13050 - 10 (C250) - 50х15,5х0,7 - 1,5/2,2, с пружинным крепежом</t>
  </si>
  <si>
    <t>5066</t>
  </si>
  <si>
    <t>506/2</t>
  </si>
  <si>
    <t>Крепеж Gidrolica для чугунных решеток DN100</t>
  </si>
  <si>
    <t>SPORT</t>
  </si>
  <si>
    <t>0803sport</t>
  </si>
  <si>
    <t>Комплект Gidrolica Sport: лоток водоотводный ЛВ-10.14,5.08 пластиковый с решеткой РВ-10.14,2.100 стальной оцинкованной, кл.А15</t>
  </si>
  <si>
    <t>3,85</t>
  </si>
  <si>
    <t>0804sport</t>
  </si>
  <si>
    <t>Комплект Gidrolica Sport: лоток водоотводный ЛВ-10.14,5.10 пластиковый с решеткой РВ-10.14,2.100 стальной оцинкованной, кл.А15</t>
  </si>
  <si>
    <t>3,97</t>
  </si>
  <si>
    <t>0801sport</t>
  </si>
  <si>
    <t>Комплект Gidrolica Sport: лоток водоотводный ЛВ-10.14,5.12 пластиковый с решеткой РВ-10.14,2.100 стальной оцинкованной, кл.А15</t>
  </si>
  <si>
    <t>4,11</t>
  </si>
  <si>
    <t>0800sport</t>
  </si>
  <si>
    <t>Комплект Gidrolica Sport: лоток водоотводный ЛВ-10.14,5.13,5 пластиковый с решеткой РВ-10.14,2.100 стальной оцинкованной, кл.А15</t>
  </si>
  <si>
    <t>4,24</t>
  </si>
  <si>
    <t>0802sport</t>
  </si>
  <si>
    <t>Комплект Gidrolica Sport: лоток водоотводный ЛВ-10.14,5.18,5 пластиковый с решеткой РВ-10.14,2.100 стальной оцинкованной, кл.А15</t>
  </si>
  <si>
    <t>4,72</t>
  </si>
  <si>
    <t>Пластиковые пескоуловители Gidrolica Sport DN100, кл. A15</t>
  </si>
  <si>
    <t>0808sport</t>
  </si>
  <si>
    <t>Комплект Gidrolica Sport: пескоуловитель ПУ-10.16.42 пластиковый с решеткой РВ-10.14,2.50 стальной оцинкованной, кл.А15</t>
  </si>
  <si>
    <t>4,08</t>
  </si>
  <si>
    <t>Дополнительные принадлежности для пластиковых лотков Gidrolica Sport DN100</t>
  </si>
  <si>
    <t>108/2</t>
  </si>
  <si>
    <t>Крепеж для лотка водоотводного Gidrolica Sport</t>
  </si>
  <si>
    <t>805pro</t>
  </si>
  <si>
    <t>Лоток водоотводный Gidrolica Pro ЛВ-10.14,5.08 - пластиковый</t>
  </si>
  <si>
    <t>804pro</t>
  </si>
  <si>
    <t>Лоток водоотводный Gidrolica Pro ЛВ-10.14,5.11,7 - пластиковый</t>
  </si>
  <si>
    <t>800pro</t>
  </si>
  <si>
    <t>Лоток водоотводный Gidrolica Pro ЛВ-10.14,5.15,2 - пластиковый</t>
  </si>
  <si>
    <t>Решетки водоприемные для лотков Gidrolica Pro DN100, кл. C250</t>
  </si>
  <si>
    <t xml:space="preserve">Решетка водоприемная Gidrolica Pro РВ -10.13,5.50 - щелевая пластиковая, кл. С250 </t>
  </si>
  <si>
    <t>Дополнительные принадлежности для пластиковых лотков Gidrolica Pro DN100</t>
  </si>
  <si>
    <t>Крепеж универсальный для сборки лотка водотводного пластикового</t>
  </si>
  <si>
    <t>Пластиковые лотки Gidrolica Super DN100 кл. D400/E600</t>
  </si>
  <si>
    <t>0805</t>
  </si>
  <si>
    <t>A B C D E</t>
  </si>
  <si>
    <t>Лоток водоотводный Gidrolica Super ЛВ -10.14,5.08 - пластиковый, кл. Е600</t>
  </si>
  <si>
    <t>0803</t>
  </si>
  <si>
    <t>Лоток водоотводный Gidrolica Super ЛВ -10.14,5.10 - пластиковый, кл. Е600</t>
  </si>
  <si>
    <t>0804</t>
  </si>
  <si>
    <t>Лоток водоотводный Gidrolica Super ЛВ -10.14,5.12 - пластиковый, кл. Е600</t>
  </si>
  <si>
    <t>0801</t>
  </si>
  <si>
    <t>Лоток водоотводный Gidrolica Super ЛВ -10.14,5.14 - пластиковый, кл. Е600</t>
  </si>
  <si>
    <t>0800</t>
  </si>
  <si>
    <t>Лоток водоотводный Gidrolica Super ЛВ -10.14,5.15,5 - пластиковый, кл. Е600</t>
  </si>
  <si>
    <t>0802</t>
  </si>
  <si>
    <t>Лоток водоотводный Gidrolica Super ЛВ -10.14,5.20,5 - пластиковый, кл.Е600</t>
  </si>
  <si>
    <t>Пластиковые пескоуловители Gidrolica Super DN100, кл. D400/E600</t>
  </si>
  <si>
    <t>0808</t>
  </si>
  <si>
    <t>Пескоуловитель Gidrolica Super ПУ -10.16.44 - пластиковый, кл. Е600</t>
  </si>
  <si>
    <t>Решетки водоприемные для лотков Gidrolica Super DN100, кл. C250-E600</t>
  </si>
  <si>
    <t>50109D</t>
  </si>
  <si>
    <t>A B C D</t>
  </si>
  <si>
    <t>Решетка водоприемная Gidrolica Super РВ -10.14.50 - щелевая чугунная ВЧ, кл. D400</t>
  </si>
  <si>
    <t>50109E</t>
  </si>
  <si>
    <t>Решетка водоприемная Gidrolica Super РВ -10.14.50 - щелевая чугунная ВЧ, кл. Е600</t>
  </si>
  <si>
    <t>Дополнительные принадлежности для пластиковых лотков Gidrolica Super DN100, кл. D400/E600</t>
  </si>
  <si>
    <t>Системы поверхностного водоотвода DN150</t>
  </si>
  <si>
    <t>Лоток водоотводный Gidrolica Standart ЛВ-15.19,6.10 - пластиковый</t>
  </si>
  <si>
    <t>Лоток водоотводный Gidrolica Standart ЛВ-15.19,6.18,5 - пластиковый</t>
  </si>
  <si>
    <t>Лоток водоотводный Gidrolica Standart Plus ЛВ-15.19,6.10 - пластиковый (усиленый)</t>
  </si>
  <si>
    <t>Лоток водоотводный Gidrolica Standart Plus ЛВ-15.19,6.18,5 - пластиковый (усиленный)</t>
  </si>
  <si>
    <t>Дополнительные принадлежности для пластиковых лотков DN150, кл. C250</t>
  </si>
  <si>
    <t xml:space="preserve">Крепеж Gidrolica для лотка водоотводного пластикового DN150 </t>
  </si>
  <si>
    <t>118ст</t>
  </si>
  <si>
    <t>Крепеж стальной Gidrolica для лотка водоотводного пластикового DN150 (с болтом 8х50)</t>
  </si>
  <si>
    <t xml:space="preserve">Торцевая заглушка для лотка водоотводного Gidrolica Standart DN150 - пластиковая </t>
  </si>
  <si>
    <t>Решетки водоприемные для лотков DN150 Gidrolica Standart/Standart Plus</t>
  </si>
  <si>
    <t>Решетка водоприемная Gidrolica Standart РВ -15.18,6.100 - штампованная стальная оцинкованная, кл. А15</t>
  </si>
  <si>
    <t>Решетка водоприемная Gidrolica Standart РВ -15.18,7.100 - ячеистая стальная оцинкованная, кл. В125</t>
  </si>
  <si>
    <t xml:space="preserve">Решетка водоприемная Gidrolica Standart РВ -15.18,6.50 - щелевая чугунная ВЧ, кл. С250 </t>
  </si>
  <si>
    <t xml:space="preserve">Решетка водоприемная Gidrolica Standart РВ -15.18,6.50 - ячеистая чугунная ВЧ, кл. С250 </t>
  </si>
  <si>
    <t>Пластиковые лотки Gidrolica Pro DN150, кл. С250</t>
  </si>
  <si>
    <t>815pro</t>
  </si>
  <si>
    <t>Лоток водоотводный Gidrolica Pro ЛВ-15.19,6.11,7 - пластиковый</t>
  </si>
  <si>
    <t>Решетки водоприемные для лотков Gidrolica Pro DN150, кл. С250</t>
  </si>
  <si>
    <t xml:space="preserve">Решетка водоприемная Gidrolica Pro РВ -15.18,8.50 - щелевая пластиковая, кл. С250 </t>
  </si>
  <si>
    <t>Дополнительные принадлежности для пластиковых лотков Gidrolica Pro DN150</t>
  </si>
  <si>
    <t>Пластиковые лотки Gidrolica Super DN150 кл. D400/E600</t>
  </si>
  <si>
    <t>0815</t>
  </si>
  <si>
    <t>Лоток водоотводный Gidrolica Super ЛВ -15.19,6.11,8 - пластиковый, кл. Е600</t>
  </si>
  <si>
    <t>0816</t>
  </si>
  <si>
    <t>Лоток водоотводный Gidrolica Super ЛВ -15.19,6.20,3 - пластиковый, кл. Е600</t>
  </si>
  <si>
    <t>Решетки водоприемные для лотков Gidrolica Super DN150, кл. С250-E600</t>
  </si>
  <si>
    <t>50159D</t>
  </si>
  <si>
    <t>Решетка водоприемная Gidrolica Super РВ -15.19.50 - щелевая чугунная ВЧ, кл. D400</t>
  </si>
  <si>
    <t>50159E</t>
  </si>
  <si>
    <t>Дополнительные принадлежности для пластиковых лотков Gidrolica Super DN150, кл. D400/E600</t>
  </si>
  <si>
    <t>Лоток водоотводный Gidrolica Standart ЛВ-20.24,6.10 - пластиковый</t>
  </si>
  <si>
    <t>DN200</t>
  </si>
  <si>
    <t>Лоток водоотводный Gidrolica Standart ЛВ-20.24,6.18,5 - пластиковый</t>
  </si>
  <si>
    <t>Лоток водоотводный Gidrolica Standart ЛВ-20.24,6.23,5 - пластиковый</t>
  </si>
  <si>
    <t>Пластиковые пескоуловители Gidrolica Standart DN150/200, кл. C250</t>
  </si>
  <si>
    <t>Пескоуловитель Gidrolica Standart ПУ-20.24,6.46 - пластиковый универсальный для лотков пластиковых DN150 и DN200</t>
  </si>
  <si>
    <t>DN150/    200</t>
  </si>
  <si>
    <t>Лоток водоотводный Gidrolica Standart Plus ЛВ-20.24,6.10 - пластиковый (усиленный)</t>
  </si>
  <si>
    <t>Лоток водоотводный Gidrolica Standart Plus ЛВ-20.24,6.18,5 - пластиковый (усиленный)</t>
  </si>
  <si>
    <t>Лоток водоотводный Gidrolica Standart Plus ЛВ-20.24,6.23,5 - пластиковый (усиленный)</t>
  </si>
  <si>
    <t>Пластиковые пескоуловители Gidrolica Standart Plus DN150/200, кл. C250</t>
  </si>
  <si>
    <t>Пескоуловитель Gidrolica Standart Plus ПУ-20.24,6.46 - пластиковый универсальный для лотков пластиковых DN150 и DN200 (усиленный)</t>
  </si>
  <si>
    <t>Дополнительные принадлежности для пластиковых лотков Gidrolica Standart/Standart Plus DN200, кл. C250</t>
  </si>
  <si>
    <t xml:space="preserve">Крепеж Gidrolica для лотка водоотводного пластикового DN200 </t>
  </si>
  <si>
    <t>128ст</t>
  </si>
  <si>
    <t>Крепеж Gidrolica для лотка водоотводного пластикового DN200 со стальной планкой</t>
  </si>
  <si>
    <t>Торцевая заглушка для лотка водоотводного Gidrolica Standart/Standart Plus, пластиковая</t>
  </si>
  <si>
    <t>Профиль на пластиковый лоток DN200</t>
  </si>
  <si>
    <t xml:space="preserve">Решетки водоприемные для лотков DN200 (Gidrolica Standart/Standart Plus/PolyStandart) </t>
  </si>
  <si>
    <t>Решетка водоприемная Gidrolica Standart РВ -20.24.100 - штампованная стальная оцинкованная, кл. А15</t>
  </si>
  <si>
    <t>Решетка водоприемная Gidrolica Standart РВ -20.24.100 - ячеистая стальная оцинкованная, кл. В125</t>
  </si>
  <si>
    <t xml:space="preserve">Решетка водоприемная Gidrolica Standart РВ -20.24.50 - щелевая чугунная ВЧ, кл. С250 </t>
  </si>
  <si>
    <t>Решётка водоприёмная Gidrolica Standart РВ-20.24.50 - ячеистая чугунная ВЧ, кл. С250</t>
  </si>
  <si>
    <t>0821</t>
  </si>
  <si>
    <t>Лоток водоотводный Gidrolica Super ЛВ -20.24,6.12 - пластиковый, кл. Е600</t>
  </si>
  <si>
    <t>0820</t>
  </si>
  <si>
    <t>Лоток водоотводный Gidrolica Super ЛВ -20.24,6.20 - пластиковый, кл. Е600</t>
  </si>
  <si>
    <t>0822</t>
  </si>
  <si>
    <t>Лоток водоотводный Gidrolica Super ЛВ -20.24,6.25 - пластиковый, кл. Е600</t>
  </si>
  <si>
    <t>Пластиковые пескоуловители Gidrolica Super универсальные DN150/200 кл. D400/E600</t>
  </si>
  <si>
    <t>0828</t>
  </si>
  <si>
    <t>Пескоуловитель Gidrolica Super ПУ -20.25.47,8 - пластиковый, кл. E600</t>
  </si>
  <si>
    <t>DN150/       200</t>
  </si>
  <si>
    <t>Решетки водоприемные для лотков Gidrolica Super DN200, кл. C250/D400/E600</t>
  </si>
  <si>
    <t xml:space="preserve">Решетка водоприемная Gidrolica Pro РВ-20.23,8.50 - щелевая пластиковая, кл. С250 </t>
  </si>
  <si>
    <t xml:space="preserve">Глухая крышка для лотка водоотводного Gidrolica Pro КЛ-20.23,8.50 - пластиковая, кл. С250 </t>
  </si>
  <si>
    <t>50209D</t>
  </si>
  <si>
    <t>Решетка водоприемная Gidrolica Super РВ -20.24.50 - щелевая чугунная ВЧ, кл. D400</t>
  </si>
  <si>
    <t>50209E</t>
  </si>
  <si>
    <t>Решетка водоприемная Gidrolica Super РВ -20.24.50 - щелевая чугунная ВЧ, кл. E600</t>
  </si>
  <si>
    <t>Дополнительные принадлежности для пластиковых лотков Gidrolica Super DN200, кл. D400/E600</t>
  </si>
  <si>
    <t>Системы поверхностного водоотвода DN300</t>
  </si>
  <si>
    <t>Лоток водоотводный Gidrolica Standart ЛВ-30.38.28 - пластиковый</t>
  </si>
  <si>
    <t>Лоток водоотводный Gidrolica Standart ЛВ-30.38.38 - пластиковый</t>
  </si>
  <si>
    <t>Лоток водоотводный Gidrolica Standart ЛВ-30.38.48 - пластиковый</t>
  </si>
  <si>
    <t>Дополнительные принадлежности для пластиковых лотков Gidrolica Standart DN300, кл. C250</t>
  </si>
  <si>
    <t>138/4</t>
  </si>
  <si>
    <t xml:space="preserve">Крепеж Gidrolica для лотка водоотводного пластикового DN300 </t>
  </si>
  <si>
    <t>1831 Профиль на пластиковый Лоток DN 300 под 531 р</t>
  </si>
  <si>
    <t>Решетки водоприемные для лотков Gidrolica Standart DN300</t>
  </si>
  <si>
    <t>Решетка водоприемная Gidrolica Light РВ -30.37.100 - стальная ячеистая оцинкованная, кл. А15</t>
  </si>
  <si>
    <t xml:space="preserve">Решетка водоприемная Gidrolica Standart РВ -30.37.50 - щелевая чугунная ВЧ, кл. С250 </t>
  </si>
  <si>
    <t>832pro</t>
  </si>
  <si>
    <t>Лоток водоотводный Gidrolica Pro ЛВ-30.38.28 - пластиковый</t>
  </si>
  <si>
    <t>834pro</t>
  </si>
  <si>
    <t>Лоток водоотводный Gidrolica Pro ЛВ-30.38.48 - пластиковый</t>
  </si>
  <si>
    <t>Решетки водоприемные для лотков Gidrolica Pro DN300, кл. С250</t>
  </si>
  <si>
    <t xml:space="preserve">Решетка водоприемная Gidrolica Pro РВ-30.35,8.50 - щелевая пластиковая, кл. С250 </t>
  </si>
  <si>
    <t xml:space="preserve">Глухая крышка для лотка водоотводного Gidrolica Pro КЛ-30.35,8.50 - пластиковая, кл. С250 </t>
  </si>
  <si>
    <t>0832</t>
  </si>
  <si>
    <t>Лоток водоотводный Gidrolica Super ЛВ-30.38.29,6 - пластиковый, кл. Е600</t>
  </si>
  <si>
    <t>0830</t>
  </si>
  <si>
    <t>Лоток водоотводный Gidrolica Super ЛВ -30.38.39,6 - пластиковый, кл. Е600</t>
  </si>
  <si>
    <t>0834</t>
  </si>
  <si>
    <t>Лоток водоотводный Gidrolica Super ЛВ-30.38.49,6 - пластиковый, кл. Е600</t>
  </si>
  <si>
    <t>Решетки водоприемные для лотков Gidrolica Super DN300, чугунные ВЧ, кл. D400/E600</t>
  </si>
  <si>
    <t>50309E</t>
  </si>
  <si>
    <t>Решетка водоприемная Gidrolica Super РВ -30.37,5.50 - щелевая чугунная ВЧ, кл. E600</t>
  </si>
  <si>
    <t>Дополнительные принадлежности для пластиковых лотков Gidrolica Super DN300, кл. D400/E600</t>
  </si>
  <si>
    <t>Точечный дренаж</t>
  </si>
  <si>
    <t>Дождеприемник пластиковый Gidrolica Point 200х200</t>
  </si>
  <si>
    <t>Дождеприемник Gidrolica Point ДП-20.20 – пластиковый</t>
  </si>
  <si>
    <t>Перегородка-сифон для дождеприёмника Gidrolica Point ДП-20.20 – пластиковая</t>
  </si>
  <si>
    <t>Корзина для дождеприёмника Gidrolica Point ДП-20.20 – пластиковая</t>
  </si>
  <si>
    <t>Решетки для дождеприемника пластикового Gidrolica Point 200х200</t>
  </si>
  <si>
    <t>Решетка к дождеприемнику Gidrolica Point РВ-20.20 - пластиковая, кл. А15</t>
  </si>
  <si>
    <t>Дождеприемник пластиковый Gidrolica Point 300х300</t>
  </si>
  <si>
    <t>229u</t>
  </si>
  <si>
    <t>Дождеприемник Gidrolica Point ДП-30.30 - пластиковый универсальный</t>
  </si>
  <si>
    <t>Перегородка-сифон для дождеприемника Gidrolica Point 30.30 - пластиковая</t>
  </si>
  <si>
    <t>Корзина для дождеприемника Gidrolica Point 30.30 - пластиковая</t>
  </si>
  <si>
    <t>Решетки для дождеприемника пластикового Gidrolica Point 300х300</t>
  </si>
  <si>
    <t xml:space="preserve">Решетка водоприемная Gidrolica Point РВ-28,5.28,5 - штампованная стальная оцинкованная, кл. А15 </t>
  </si>
  <si>
    <t xml:space="preserve">Решетка водоприемная Gidrolica Point РВ-28,5.28,5 - чугунная щелевая, кл. С250 </t>
  </si>
  <si>
    <t>205/2</t>
  </si>
  <si>
    <t>A В С</t>
  </si>
  <si>
    <t>Решетка водоприемная Gidrolica Point РВ-28,5.28,5 - ячеистая стальная оцинкованная, кл. В125</t>
  </si>
  <si>
    <t>Решетка водоприемная Gidrolica Point РВ-28,5.28,5 - пластиковая, кл. А15</t>
  </si>
  <si>
    <t>Дождеприемник пластиковый Gidrolica Point 400х400</t>
  </si>
  <si>
    <t>Дождеприемник Gidrolica Point ДП-40.40 - пластиковый</t>
  </si>
  <si>
    <t>Перегородка-сифон для дождеприемника Gidrolica Point ДП 40.40 - пластиковый</t>
  </si>
  <si>
    <t>Корзина для дождеприемника Gidrolica Point ДП 40.40 - пластиковая</t>
  </si>
  <si>
    <t>Решетки для дождеприемника пластикового Gidrolica Point 400х400</t>
  </si>
  <si>
    <t xml:space="preserve">Решетка водоприемная Gidrolica Point РВ-40.40 - пластиковая, кл. А15 </t>
  </si>
  <si>
    <t>Крышка для дождеприёмника Gidrolica Point ДП-40.40 пластиковая</t>
  </si>
  <si>
    <t>Трап уличный Gidrolica Rain</t>
  </si>
  <si>
    <t>Трап уличный Gidrolica Rain ТУ-30.16,6.20 - пластиковый с крышкой глухой пластиковой</t>
  </si>
  <si>
    <t>Люки и Дождеприемники-обрамления чугунные</t>
  </si>
  <si>
    <t>Люки канализационные Gidrolica Garden</t>
  </si>
  <si>
    <t>218/ч</t>
  </si>
  <si>
    <t>Люк канализационный Gidrolica Garden - пластиковый тип Л черный</t>
  </si>
  <si>
    <t>218/з</t>
  </si>
  <si>
    <t>Люк канализационный Gidrolica Garden - пластиковый тип Л зеленый</t>
  </si>
  <si>
    <t>Люки канализационные чугунные</t>
  </si>
  <si>
    <t>Люк канализационный - чугунный тип Т</t>
  </si>
  <si>
    <t>Люк канализационный - чугунный тип Л</t>
  </si>
  <si>
    <t>Дождеприемники канализационные чугунные</t>
  </si>
  <si>
    <t>Дождеприемник прямоугольный - чугунный тип ДБ</t>
  </si>
  <si>
    <t>Дождеприемник круглый - чугунный тип ДК</t>
  </si>
  <si>
    <t>Решетки дождеприемные чугунные СЧ</t>
  </si>
  <si>
    <t>5068D</t>
  </si>
  <si>
    <t>Решетка водоприемная СЧ 750*200*27 – чугунная, кл. D400</t>
  </si>
  <si>
    <t>5069D</t>
  </si>
  <si>
    <t>Решетка водоприемная СЧ 750*250*27 – чугунная, кл. D400</t>
  </si>
  <si>
    <t>5070D</t>
  </si>
  <si>
    <t>Решетка водоприемная СЧ 750*300*27 – чугунная, кл. D400</t>
  </si>
  <si>
    <t>5071D</t>
  </si>
  <si>
    <t>Решетка водоприемная СЧ 750*350*27 – чугунная, кл. D400</t>
  </si>
  <si>
    <t>5072D</t>
  </si>
  <si>
    <t>Решетка водоприемная СЧ 750*400*27 – чугунная, кл. D400</t>
  </si>
  <si>
    <t>5073D</t>
  </si>
  <si>
    <t>Решетка водоприемная СЧ 750*500*27 – чугунная, кл. D400</t>
  </si>
  <si>
    <t xml:space="preserve">Системы защиты и укрепления грунта </t>
  </si>
  <si>
    <t>Газонные решетки Gidrolica Eco Normal, кл. С250</t>
  </si>
  <si>
    <t>Решетка газонная Gidrolica Eco Normal РГ-53.43.3,5 - пластиковая зеленая</t>
  </si>
  <si>
    <t>Решетка газонная Gidrolica Eco Normal РГ-53.43.3,5 - пластиковая черная</t>
  </si>
  <si>
    <t>Газонные решетки Gidrolica Eco Standart/Eco Pro, кл. С250</t>
  </si>
  <si>
    <t>Решетка газонная Gidrolica Eco Standart РГ-70.40.3,2 - пластиковая зеленая</t>
  </si>
  <si>
    <t>Решетка газонная Gidrolica Eco Standart РГ-70.40.3,2 - пластиковая черная</t>
  </si>
  <si>
    <t>Решетка газонная Gidrolica Eco Pro РГ-60.60.4 - пластиковая зеленая</t>
  </si>
  <si>
    <t>Решетка газонная Gidrolica Eco Pro РГ-60.60.4 - пластиковая черная</t>
  </si>
  <si>
    <t>Газонные решетки Gidrolica Eco Super, кл. D400</t>
  </si>
  <si>
    <t>Газонная Решетка Gidrolica Eco Super РГ-60.40.6,4 - пластиковая зеленая</t>
  </si>
  <si>
    <t>Газонная Решетка Gidrolica Eco Super РГ-60.40.6,4 - пластиковая черная</t>
  </si>
  <si>
    <t>Бордюр Gidrolica Line</t>
  </si>
  <si>
    <t>Бордюр Gidrolica Line Б-100.8.4.5 - пластиковый черный L1000</t>
  </si>
  <si>
    <t>Бордюр Gidrolica Line Б-300.8,5.4.5 - пластиковый черный L3000</t>
  </si>
  <si>
    <t>Крепящий якорь Gidrolica Line КЯ-Б для бордюра Б-300.8,5.4.5</t>
  </si>
  <si>
    <t>Бордюр Gidrolica Country</t>
  </si>
  <si>
    <t>Бордюр Gidrolica Country Б-10000.2.11 - пластиковый черный L10000</t>
  </si>
  <si>
    <t xml:space="preserve">Придверные системы грязезащиты </t>
  </si>
  <si>
    <t>Придверный поддон пластиковый Gidrolica Step Pro</t>
  </si>
  <si>
    <t>Поддон придверный пластиковый Gidrolica Step Pro</t>
  </si>
  <si>
    <t>Придверные решетки Gidrolica Step Pro стальные ячеистые оцинкованные</t>
  </si>
  <si>
    <t>Решетка Gidrolica Step Pro 390х590мм - стальная ячеистая оцинкованная</t>
  </si>
  <si>
    <t>Решетка Gidrolica Step Pro 490х990мм - стальная ячеистая оцинкованная</t>
  </si>
  <si>
    <t>Модульное грязезащитное покрытие Gidrolica Step Protect</t>
  </si>
  <si>
    <t>Модуль грязезащитный Gidrolica Step Protect резиновый</t>
  </si>
  <si>
    <t>Придверные решетки Gidrolica Step</t>
  </si>
  <si>
    <t>Придверная решетка Gidrolica Step - резина 390х590мм</t>
  </si>
  <si>
    <t>Придверная решетка Gidrolica Step - текстиль 390х590мм</t>
  </si>
  <si>
    <t>Придверная решетка Gidrolica Step - щетка 390х590мм</t>
  </si>
  <si>
    <t>Придверная решетка Gidrolica Step - резина+текстиль 390х590мм</t>
  </si>
  <si>
    <t>Придверная решетка Gidrolica Step - резина+щетка 390х590мм</t>
  </si>
  <si>
    <t>Придверная решетка Gidrolica Step - текстиль+щетка 390х590мм</t>
  </si>
  <si>
    <t>Придверная решетка Gidrolica Step - резина+текстиль+щетка 390х590мм</t>
  </si>
  <si>
    <t>Придверная решетка Gidrolica Step - резина+скребок 390х590мм</t>
  </si>
  <si>
    <t>Придверная решетка Gidrolica Step - текстиль+скребок 390х590мм</t>
  </si>
  <si>
    <t>Придверная решетка Gidrolica Step - щетка+скребок 390х590мм</t>
  </si>
  <si>
    <t>Придверная решетка Gidrolica Step - резина+текстиль+скребок 390х590мм</t>
  </si>
  <si>
    <t>Придверная решетка Gidrolica Step - резина+щетка+скребок 390х590мм</t>
  </si>
  <si>
    <t>Придверная решетка Gidrolica Step - текстиль+щетка+скребок 390х590мм</t>
  </si>
  <si>
    <t>Придверная решетка Gidrolica Step - резина+текстиль+щетка+скребок 390х590мм</t>
  </si>
  <si>
    <t>Придверные решетки Gidrolica Step, позиции на заказ</t>
  </si>
  <si>
    <t>30001/М</t>
  </si>
  <si>
    <t>Придверная решетка Gidrolica Step - резина, м.кв.</t>
  </si>
  <si>
    <t>м.кв.</t>
  </si>
  <si>
    <t>под заказ</t>
  </si>
  <si>
    <t>30002/М</t>
  </si>
  <si>
    <t>Придверная решетка Gidrolica Step - текстиль,  м.кв.</t>
  </si>
  <si>
    <t>30003/М</t>
  </si>
  <si>
    <t>Придверная решетка Gidrolica Step - щетка,  м.кв.</t>
  </si>
  <si>
    <t>30012/М</t>
  </si>
  <si>
    <t>Придверная решетка Gidrolica Step - резина+текстиль,  м.кв.</t>
  </si>
  <si>
    <t>30013/М</t>
  </si>
  <si>
    <t>Придверная решетка Gidrolica Step - резина+щетка,  м.кв.</t>
  </si>
  <si>
    <t>30023/М</t>
  </si>
  <si>
    <t>Придверная решетка Gidrolica Step - текстиль+щетка,  м.кв.</t>
  </si>
  <si>
    <t>30123/М</t>
  </si>
  <si>
    <t>Придверная решетка Gidrolica Step - резина+текстиль+щетка,  м.кв.</t>
  </si>
  <si>
    <t>30014/М</t>
  </si>
  <si>
    <t>Придверная решетка Gidrolica Step - резина+скребок,  м.кв.</t>
  </si>
  <si>
    <t>30024/М</t>
  </si>
  <si>
    <t>Придверная решетка Gidrolica Step - текстиль+скребок,  м.кв.</t>
  </si>
  <si>
    <t>30034/М</t>
  </si>
  <si>
    <t>Придверная решетка Gidrolica Step - щетка+скребок,  м.кв.</t>
  </si>
  <si>
    <t>30124/М</t>
  </si>
  <si>
    <t>Придверная решетка Gidrolica Step - резина+текстиль+скребок,  м.кв.</t>
  </si>
  <si>
    <t>30134/М</t>
  </si>
  <si>
    <t>Придверная решетка Gidrolica Step - резина+щетка+скребок,  м.кв.</t>
  </si>
  <si>
    <t>30234/М</t>
  </si>
  <si>
    <t>Придверная решетка Gidrolica Step - текстиль+щетка+скребок,  м.кв.</t>
  </si>
  <si>
    <t>301234/М</t>
  </si>
  <si>
    <t>Придверная решетка Gidrolica Step - резина+текстиль+щетка+скребок,  м.кв.</t>
  </si>
  <si>
    <t xml:space="preserve">Дополнительная комплектация придверных решеток Gidrolica Step </t>
  </si>
  <si>
    <t>Заглушка торцевая пластиковая для придверных систем грязезащиты</t>
  </si>
  <si>
    <t>Амортизатор резиновый для придверных систем грязезащиты</t>
  </si>
  <si>
    <t>метр</t>
  </si>
  <si>
    <t>Алюминиевое обрамление для придверных решеток Gidrolica Step</t>
  </si>
  <si>
    <t>пог.метр</t>
  </si>
  <si>
    <t>A15</t>
  </si>
  <si>
    <t>B125</t>
  </si>
  <si>
    <t>C250</t>
  </si>
  <si>
    <t>E600</t>
  </si>
  <si>
    <t>пп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</si>
</sst>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charset val="204"/>
      <scheme val="minor"/>
    </font>
    <font>
      <sz val="11"/>
      <name val="Calibri"/>
      <family val="2"/>
      <scheme val="minor"/>
    </font>
    <font>
      <sz val="11"/>
      <name val="Calibri"/>
      <family val="2"/>
      <charset val="204"/>
      <scheme val="minor"/>
    </font>
    <font>
      <b/>
      <sz val="11"/>
      <name val="Calibri"/>
      <family val="2"/>
      <scheme val="minor"/>
    </font>
    <font>
      <sz val="1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87F1A8"/>
        <bgColor indexed="64"/>
      </patternFill>
    </fill>
    <fill>
      <patternFill patternType="solid">
        <fgColor rgb="FFF9CC9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6" fillId="0" borderId="0"/>
    <xf numFmtId="0" fontId="1" fillId="0" borderId="0"/>
    <xf numFmtId="0" fontId="6" fillId="0" borderId="0"/>
  </cellStyleXfs>
  <cellXfs count="183">
    <xf numFmtId="0" fontId="0" fillId="0" borderId="0" xfId="0"/>
    <xf numFmtId="0" fontId="2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Font="1" applyAlignment="1" applyProtection="1">
      <alignment horizontal="left" vertical="center" wrapText="1"/>
    </xf>
    <xf numFmtId="2" fontId="2" fillId="0" borderId="0" xfId="0" applyNumberFormat="1" applyFont="1" applyAlignment="1" applyProtection="1">
      <alignment horizontal="center" vertical="center"/>
    </xf>
    <xf numFmtId="2" fontId="3" fillId="0" borderId="0" xfId="0" applyNumberFormat="1" applyFont="1" applyAlignment="1" applyProtection="1">
      <alignment horizontal="center" vertical="center"/>
    </xf>
    <xf numFmtId="2" fontId="5" fillId="0" borderId="0" xfId="0" applyNumberFormat="1" applyFont="1" applyAlignment="1" applyProtection="1">
      <alignment vertical="center"/>
    </xf>
    <xf numFmtId="0" fontId="5" fillId="0" borderId="0" xfId="0" applyFont="1" applyAlignment="1" applyProtection="1">
      <alignment vertical="center"/>
    </xf>
    <xf numFmtId="0" fontId="4" fillId="2" borderId="1" xfId="0" applyFont="1" applyFill="1" applyBorder="1" applyAlignment="1" applyProtection="1">
      <alignment horizontal="center" vertical="center" wrapText="1"/>
    </xf>
    <xf numFmtId="0" fontId="3" fillId="2" borderId="1" xfId="0" applyFont="1" applyFill="1" applyBorder="1" applyAlignment="1" applyProtection="1">
      <alignment horizontal="center" vertical="center" wrapText="1"/>
    </xf>
    <xf numFmtId="2" fontId="2" fillId="2" borderId="1" xfId="0" applyNumberFormat="1" applyFont="1" applyFill="1" applyBorder="1" applyAlignment="1" applyProtection="1">
      <alignment horizontal="center" vertical="center" wrapText="1"/>
    </xf>
    <xf numFmtId="2" fontId="2" fillId="3" borderId="1" xfId="0" applyNumberFormat="1" applyFont="1" applyFill="1" applyBorder="1" applyAlignment="1" applyProtection="1">
      <alignment horizontal="center" vertical="center" wrapText="1"/>
    </xf>
    <xf numFmtId="0" fontId="5" fillId="0" borderId="0" xfId="0" applyFont="1" applyAlignment="1" applyProtection="1">
      <alignment vertical="center" wrapText="1"/>
    </xf>
    <xf numFmtId="0" fontId="5" fillId="5" borderId="0" xfId="0" applyFont="1" applyFill="1" applyAlignment="1" applyProtection="1">
      <alignment vertical="center" wrapText="1"/>
    </xf>
    <xf numFmtId="0" fontId="4" fillId="6" borderId="1" xfId="0" applyFont="1" applyFill="1" applyBorder="1" applyAlignment="1" applyProtection="1">
      <alignment horizontal="left" vertical="center"/>
    </xf>
    <xf numFmtId="0" fontId="4" fillId="6" borderId="1" xfId="0" applyFont="1" applyFill="1" applyBorder="1" applyAlignment="1" applyProtection="1">
      <alignment vertical="center" wrapText="1"/>
    </xf>
    <xf numFmtId="2" fontId="2" fillId="6" borderId="1" xfId="0" applyNumberFormat="1" applyFont="1" applyFill="1" applyBorder="1" applyAlignment="1" applyProtection="1">
      <alignment horizontal="center" vertical="center" wrapText="1"/>
    </xf>
    <xf numFmtId="0" fontId="4" fillId="6" borderId="1" xfId="0" applyFont="1" applyFill="1" applyBorder="1" applyAlignment="1" applyProtection="1">
      <alignment vertical="center"/>
    </xf>
    <xf numFmtId="2" fontId="2" fillId="6" borderId="1" xfId="0" applyNumberFormat="1" applyFont="1" applyFill="1" applyBorder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 wrapText="1"/>
    </xf>
    <xf numFmtId="49" fontId="4" fillId="7" borderId="1" xfId="0" applyNumberFormat="1" applyFont="1" applyFill="1" applyBorder="1" applyAlignment="1">
      <alignment horizontal="center" vertical="center" wrapText="1"/>
    </xf>
    <xf numFmtId="0" fontId="4" fillId="7" borderId="1" xfId="0" applyFont="1" applyFill="1" applyBorder="1" applyAlignment="1" applyProtection="1">
      <alignment horizontal="center" vertical="center" wrapText="1"/>
    </xf>
    <xf numFmtId="0" fontId="4" fillId="7" borderId="1" xfId="0" applyFont="1" applyFill="1" applyBorder="1" applyAlignment="1" applyProtection="1">
      <alignment horizontal="left" vertical="center" wrapText="1"/>
    </xf>
    <xf numFmtId="0" fontId="3" fillId="7" borderId="1" xfId="0" applyFont="1" applyFill="1" applyBorder="1" applyAlignment="1" applyProtection="1">
      <alignment horizontal="center" vertical="center" wrapText="1"/>
    </xf>
    <xf numFmtId="1" fontId="4" fillId="7" borderId="1" xfId="0" applyNumberFormat="1" applyFont="1" applyFill="1" applyBorder="1" applyAlignment="1" applyProtection="1">
      <alignment horizontal="center" vertical="center" wrapText="1"/>
    </xf>
    <xf numFmtId="2" fontId="2" fillId="7" borderId="1" xfId="0" applyNumberFormat="1" applyFont="1" applyFill="1" applyBorder="1" applyAlignment="1" applyProtection="1">
      <alignment horizontal="center" vertical="center" wrapText="1"/>
    </xf>
    <xf numFmtId="9" fontId="4" fillId="7" borderId="1" xfId="0" applyNumberFormat="1" applyFont="1" applyFill="1" applyBorder="1" applyAlignment="1" applyProtection="1">
      <alignment horizontal="center" vertical="center" wrapText="1"/>
    </xf>
    <xf numFmtId="0" fontId="5" fillId="8" borderId="0" xfId="0" applyFont="1" applyFill="1" applyAlignment="1" applyProtection="1">
      <alignment vertical="center" wrapText="1"/>
    </xf>
    <xf numFmtId="49" fontId="6" fillId="7" borderId="1" xfId="0" applyNumberFormat="1" applyFont="1" applyFill="1" applyBorder="1" applyAlignment="1">
      <alignment horizontal="center" vertical="center" wrapText="1"/>
    </xf>
    <xf numFmtId="0" fontId="6" fillId="7" borderId="1" xfId="0" applyFont="1" applyFill="1" applyBorder="1" applyAlignment="1" applyProtection="1">
      <alignment horizontal="left" vertical="center" wrapText="1"/>
    </xf>
    <xf numFmtId="0" fontId="6" fillId="7" borderId="1" xfId="0" applyFont="1" applyFill="1" applyBorder="1" applyAlignment="1" applyProtection="1">
      <alignment horizontal="center" vertical="center" wrapText="1"/>
    </xf>
    <xf numFmtId="2" fontId="6" fillId="7" borderId="1" xfId="0" applyNumberFormat="1" applyFont="1" applyFill="1" applyBorder="1" applyAlignment="1" applyProtection="1">
      <alignment horizontal="center" vertical="center"/>
    </xf>
    <xf numFmtId="0" fontId="4" fillId="7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/>
    </xf>
    <xf numFmtId="0" fontId="4" fillId="6" borderId="1" xfId="0" applyFont="1" applyFill="1" applyBorder="1" applyAlignment="1" applyProtection="1">
      <alignment horizontal="left" vertical="center" wrapText="1"/>
    </xf>
    <xf numFmtId="9" fontId="4" fillId="6" borderId="1" xfId="0" applyNumberFormat="1" applyFont="1" applyFill="1" applyBorder="1" applyAlignment="1" applyProtection="1">
      <alignment horizontal="center" vertical="center" wrapText="1"/>
    </xf>
    <xf numFmtId="2" fontId="5" fillId="6" borderId="1" xfId="0" applyNumberFormat="1" applyFont="1" applyFill="1" applyBorder="1" applyAlignment="1" applyProtection="1">
      <alignment vertical="center" wrapText="1"/>
    </xf>
    <xf numFmtId="2" fontId="3" fillId="7" borderId="1" xfId="0" applyNumberFormat="1" applyFont="1" applyFill="1" applyBorder="1" applyAlignment="1" applyProtection="1">
      <alignment horizontal="center" vertical="center" wrapText="1"/>
    </xf>
    <xf numFmtId="1" fontId="4" fillId="6" borderId="1" xfId="0" applyNumberFormat="1" applyFont="1" applyFill="1" applyBorder="1" applyAlignment="1" applyProtection="1">
      <alignment vertical="center"/>
    </xf>
    <xf numFmtId="1" fontId="4" fillId="6" borderId="1" xfId="0" applyNumberFormat="1" applyFont="1" applyFill="1" applyBorder="1" applyAlignment="1">
      <alignment vertical="center"/>
    </xf>
    <xf numFmtId="1" fontId="4" fillId="6" borderId="1" xfId="0" applyNumberFormat="1" applyFont="1" applyFill="1" applyBorder="1" applyAlignment="1" applyProtection="1">
      <alignment horizontal="left" vertical="center" wrapText="1"/>
    </xf>
    <xf numFmtId="0" fontId="2" fillId="9" borderId="1" xfId="0" applyFont="1" applyFill="1" applyBorder="1" applyAlignment="1" applyProtection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</xf>
    <xf numFmtId="0" fontId="4" fillId="7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 applyProtection="1">
      <alignment horizontal="center" vertical="center"/>
    </xf>
    <xf numFmtId="0" fontId="4" fillId="7" borderId="1" xfId="0" applyFont="1" applyFill="1" applyBorder="1" applyAlignment="1" applyProtection="1">
      <alignment horizontal="center" vertical="center"/>
    </xf>
    <xf numFmtId="2" fontId="2" fillId="7" borderId="1" xfId="0" applyNumberFormat="1" applyFont="1" applyFill="1" applyBorder="1" applyAlignment="1" applyProtection="1">
      <alignment horizontal="center" vertical="center"/>
    </xf>
    <xf numFmtId="1" fontId="4" fillId="7" borderId="1" xfId="0" applyNumberFormat="1" applyFont="1" applyFill="1" applyBorder="1" applyAlignment="1" applyProtection="1">
      <alignment horizontal="center" vertical="center"/>
    </xf>
    <xf numFmtId="0" fontId="4" fillId="7" borderId="2" xfId="0" applyFont="1" applyFill="1" applyBorder="1" applyAlignment="1">
      <alignment horizontal="left" vertical="center" wrapText="1"/>
    </xf>
    <xf numFmtId="0" fontId="3" fillId="7" borderId="1" xfId="0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2" fontId="2" fillId="7" borderId="2" xfId="0" applyNumberFormat="1" applyFont="1" applyFill="1" applyBorder="1" applyAlignment="1" applyProtection="1">
      <alignment horizontal="center" vertical="center"/>
    </xf>
    <xf numFmtId="2" fontId="2" fillId="7" borderId="2" xfId="0" applyNumberFormat="1" applyFont="1" applyFill="1" applyBorder="1" applyAlignment="1">
      <alignment horizontal="center" vertical="center"/>
    </xf>
    <xf numFmtId="49" fontId="4" fillId="7" borderId="1" xfId="2" applyNumberFormat="1" applyFont="1" applyFill="1" applyBorder="1" applyAlignment="1">
      <alignment horizontal="center" vertical="center"/>
    </xf>
    <xf numFmtId="0" fontId="4" fillId="7" borderId="1" xfId="1" applyFont="1" applyFill="1" applyBorder="1" applyAlignment="1" applyProtection="1">
      <alignment horizontal="center" vertical="center" wrapText="1"/>
    </xf>
    <xf numFmtId="0" fontId="2" fillId="0" borderId="1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 wrapText="1"/>
    </xf>
    <xf numFmtId="0" fontId="2" fillId="10" borderId="1" xfId="0" applyFont="1" applyFill="1" applyBorder="1" applyAlignment="1" applyProtection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4" fillId="10" borderId="1" xfId="0" applyFont="1" applyFill="1" applyBorder="1" applyAlignment="1" applyProtection="1">
      <alignment horizontal="center" vertical="center" wrapText="1"/>
    </xf>
    <xf numFmtId="0" fontId="4" fillId="10" borderId="1" xfId="0" applyFont="1" applyFill="1" applyBorder="1" applyAlignment="1" applyProtection="1">
      <alignment horizontal="left" vertical="center" wrapText="1"/>
    </xf>
    <xf numFmtId="0" fontId="3" fillId="10" borderId="1" xfId="0" applyFont="1" applyFill="1" applyBorder="1" applyAlignment="1" applyProtection="1">
      <alignment horizontal="center" vertical="center"/>
    </xf>
    <xf numFmtId="2" fontId="2" fillId="10" borderId="1" xfId="0" applyNumberFormat="1" applyFont="1" applyFill="1" applyBorder="1" applyAlignment="1" applyProtection="1">
      <alignment horizontal="center" vertical="center" wrapText="1"/>
    </xf>
    <xf numFmtId="9" fontId="4" fillId="10" borderId="1" xfId="0" applyNumberFormat="1" applyFont="1" applyFill="1" applyBorder="1" applyAlignment="1" applyProtection="1">
      <alignment horizontal="center" vertical="center" wrapText="1"/>
    </xf>
    <xf numFmtId="0" fontId="4" fillId="6" borderId="1" xfId="0" applyFont="1" applyFill="1" applyBorder="1" applyAlignment="1" applyProtection="1">
      <alignment horizontal="center" vertical="center" wrapText="1"/>
    </xf>
    <xf numFmtId="0" fontId="2" fillId="10" borderId="1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 wrapText="1"/>
    </xf>
    <xf numFmtId="0" fontId="4" fillId="10" borderId="1" xfId="0" applyFont="1" applyFill="1" applyBorder="1" applyAlignment="1">
      <alignment horizontal="left" vertical="center" wrapText="1"/>
    </xf>
    <xf numFmtId="0" fontId="3" fillId="10" borderId="1" xfId="0" applyFont="1" applyFill="1" applyBorder="1" applyAlignment="1">
      <alignment horizontal="center" vertical="center"/>
    </xf>
    <xf numFmtId="2" fontId="2" fillId="10" borderId="1" xfId="0" applyNumberFormat="1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/>
    </xf>
    <xf numFmtId="0" fontId="4" fillId="7" borderId="1" xfId="1" applyFont="1" applyFill="1" applyBorder="1" applyAlignment="1" applyProtection="1">
      <alignment horizontal="left" vertical="center" wrapText="1"/>
    </xf>
    <xf numFmtId="0" fontId="5" fillId="8" borderId="0" xfId="0" applyFont="1" applyFill="1" applyAlignment="1" applyProtection="1">
      <alignment horizontal="left" vertical="center" wrapText="1"/>
    </xf>
    <xf numFmtId="1" fontId="4" fillId="7" borderId="1" xfId="0" applyNumberFormat="1" applyFont="1" applyFill="1" applyBorder="1" applyAlignment="1">
      <alignment horizontal="center" vertical="center" wrapText="1"/>
    </xf>
    <xf numFmtId="0" fontId="2" fillId="8" borderId="0" xfId="0" applyFont="1" applyFill="1" applyAlignment="1" applyProtection="1">
      <alignment vertical="center" wrapText="1"/>
    </xf>
    <xf numFmtId="2" fontId="4" fillId="7" borderId="2" xfId="0" applyNumberFormat="1" applyFont="1" applyFill="1" applyBorder="1" applyAlignment="1" applyProtection="1">
      <alignment horizontal="center" vertical="center" wrapText="1"/>
    </xf>
    <xf numFmtId="0" fontId="2" fillId="0" borderId="0" xfId="0" applyFont="1" applyAlignment="1" applyProtection="1">
      <alignment vertical="center" wrapText="1"/>
    </xf>
    <xf numFmtId="0" fontId="2" fillId="11" borderId="1" xfId="0" applyFont="1" applyFill="1" applyBorder="1" applyAlignment="1" applyProtection="1">
      <alignment horizontal="center" vertical="center" wrapText="1"/>
    </xf>
    <xf numFmtId="0" fontId="4" fillId="11" borderId="1" xfId="0" applyFont="1" applyFill="1" applyBorder="1" applyAlignment="1">
      <alignment horizontal="center" vertical="center" wrapText="1"/>
    </xf>
    <xf numFmtId="0" fontId="4" fillId="11" borderId="1" xfId="0" applyFont="1" applyFill="1" applyBorder="1" applyAlignment="1" applyProtection="1">
      <alignment horizontal="center" vertical="center" wrapText="1"/>
    </xf>
    <xf numFmtId="0" fontId="4" fillId="11" borderId="1" xfId="0" applyFont="1" applyFill="1" applyBorder="1" applyAlignment="1" applyProtection="1">
      <alignment horizontal="left" vertical="center" wrapText="1" shrinkToFit="1"/>
    </xf>
    <xf numFmtId="0" fontId="3" fillId="11" borderId="1" xfId="0" applyFont="1" applyFill="1" applyBorder="1" applyAlignment="1" applyProtection="1">
      <alignment horizontal="center" vertical="center" wrapText="1"/>
    </xf>
    <xf numFmtId="2" fontId="2" fillId="11" borderId="1" xfId="0" applyNumberFormat="1" applyFont="1" applyFill="1" applyBorder="1" applyAlignment="1" applyProtection="1">
      <alignment horizontal="center" vertical="center" wrapText="1"/>
    </xf>
    <xf numFmtId="9" fontId="4" fillId="11" borderId="1" xfId="0" applyNumberFormat="1" applyFont="1" applyFill="1" applyBorder="1" applyAlignment="1" applyProtection="1">
      <alignment horizontal="center" vertical="center" wrapText="1"/>
    </xf>
    <xf numFmtId="0" fontId="4" fillId="11" borderId="0" xfId="0" applyFont="1" applyFill="1" applyAlignment="1" applyProtection="1">
      <alignment horizontal="left" vertical="center" wrapText="1" shrinkToFit="1"/>
    </xf>
    <xf numFmtId="0" fontId="4" fillId="11" borderId="1" xfId="0" applyFont="1" applyFill="1" applyBorder="1" applyAlignment="1" applyProtection="1">
      <alignment horizontal="left" wrapText="1" shrinkToFit="1"/>
    </xf>
    <xf numFmtId="0" fontId="4" fillId="6" borderId="1" xfId="0" applyFont="1" applyFill="1" applyBorder="1" applyAlignment="1" applyProtection="1">
      <alignment horizontal="left" vertical="center" wrapText="1" shrinkToFit="1"/>
    </xf>
    <xf numFmtId="0" fontId="4" fillId="11" borderId="1" xfId="0" applyFont="1" applyFill="1" applyBorder="1" applyAlignment="1" applyProtection="1">
      <alignment vertical="center" wrapText="1"/>
    </xf>
    <xf numFmtId="0" fontId="4" fillId="11" borderId="1" xfId="0" applyFont="1" applyFill="1" applyBorder="1" applyAlignment="1" applyProtection="1">
      <alignment horizontal="left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1" fontId="5" fillId="8" borderId="0" xfId="0" applyNumberFormat="1" applyFont="1" applyFill="1" applyAlignment="1" applyProtection="1">
      <alignment vertical="center"/>
    </xf>
    <xf numFmtId="2" fontId="5" fillId="6" borderId="1" xfId="0" applyNumberFormat="1" applyFont="1" applyFill="1" applyBorder="1" applyAlignment="1" applyProtection="1">
      <alignment vertical="center"/>
    </xf>
    <xf numFmtId="1" fontId="2" fillId="0" borderId="1" xfId="0" applyNumberFormat="1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0" fontId="3" fillId="5" borderId="0" xfId="0" applyFont="1" applyFill="1" applyAlignment="1" applyProtection="1">
      <alignment horizontal="center" vertical="center" wrapText="1"/>
    </xf>
    <xf numFmtId="0" fontId="4" fillId="7" borderId="2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horizontal="left" vertical="center" wrapText="1"/>
    </xf>
    <xf numFmtId="0" fontId="3" fillId="7" borderId="2" xfId="0" applyFont="1" applyFill="1" applyBorder="1" applyAlignment="1">
      <alignment horizontal="center" vertical="center" wrapText="1"/>
    </xf>
    <xf numFmtId="2" fontId="2" fillId="7" borderId="2" xfId="0" applyNumberFormat="1" applyFont="1" applyFill="1" applyBorder="1" applyAlignment="1" applyProtection="1">
      <alignment horizontal="center" vertical="center" wrapText="1"/>
    </xf>
    <xf numFmtId="0" fontId="2" fillId="9" borderId="1" xfId="0" applyFont="1" applyFill="1" applyBorder="1" applyAlignment="1" applyProtection="1">
      <alignment horizontal="center" vertical="center"/>
    </xf>
    <xf numFmtId="2" fontId="5" fillId="6" borderId="1" xfId="3" applyNumberFormat="1" applyFont="1" applyFill="1" applyBorder="1" applyAlignment="1" applyProtection="1">
      <alignment vertical="center"/>
    </xf>
    <xf numFmtId="0" fontId="5" fillId="0" borderId="0" xfId="3" applyFont="1" applyAlignment="1" applyProtection="1">
      <alignment vertical="center"/>
    </xf>
    <xf numFmtId="0" fontId="5" fillId="12" borderId="0" xfId="3" applyFont="1" applyFill="1" applyAlignment="1" applyProtection="1">
      <alignment vertical="center"/>
    </xf>
    <xf numFmtId="0" fontId="4" fillId="7" borderId="2" xfId="0" applyFont="1" applyFill="1" applyBorder="1" applyAlignment="1" applyProtection="1">
      <alignment horizontal="center" vertical="center" wrapText="1"/>
    </xf>
    <xf numFmtId="0" fontId="4" fillId="7" borderId="2" xfId="0" applyFont="1" applyFill="1" applyBorder="1" applyAlignment="1" applyProtection="1">
      <alignment horizontal="left" vertical="center" wrapText="1"/>
    </xf>
    <xf numFmtId="0" fontId="3" fillId="7" borderId="2" xfId="0" applyFont="1" applyFill="1" applyBorder="1" applyAlignment="1" applyProtection="1">
      <alignment horizontal="center" vertical="center" wrapText="1"/>
    </xf>
    <xf numFmtId="0" fontId="5" fillId="4" borderId="0" xfId="0" applyFont="1" applyFill="1" applyAlignment="1" applyProtection="1">
      <alignment vertical="center" wrapText="1"/>
    </xf>
    <xf numFmtId="0" fontId="4" fillId="9" borderId="1" xfId="0" applyFont="1" applyFill="1" applyBorder="1" applyAlignment="1" applyProtection="1">
      <alignment horizontal="center" vertical="center" wrapText="1"/>
    </xf>
    <xf numFmtId="0" fontId="4" fillId="13" borderId="1" xfId="0" applyFont="1" applyFill="1" applyBorder="1" applyAlignment="1">
      <alignment horizontal="center" vertical="center" wrapText="1"/>
    </xf>
    <xf numFmtId="0" fontId="4" fillId="14" borderId="1" xfId="0" applyFont="1" applyFill="1" applyBorder="1" applyAlignment="1" applyProtection="1">
      <alignment horizontal="center" vertical="center" wrapText="1"/>
    </xf>
    <xf numFmtId="0" fontId="4" fillId="14" borderId="1" xfId="0" applyFont="1" applyFill="1" applyBorder="1" applyAlignment="1" applyProtection="1">
      <alignment horizontal="left" vertical="center" wrapText="1"/>
    </xf>
    <xf numFmtId="0" fontId="3" fillId="14" borderId="1" xfId="0" applyFont="1" applyFill="1" applyBorder="1" applyAlignment="1" applyProtection="1">
      <alignment horizontal="center" vertical="center" wrapText="1"/>
    </xf>
    <xf numFmtId="2" fontId="2" fillId="14" borderId="1" xfId="0" applyNumberFormat="1" applyFont="1" applyFill="1" applyBorder="1" applyAlignment="1" applyProtection="1">
      <alignment horizontal="center" vertical="center" wrapText="1"/>
    </xf>
    <xf numFmtId="9" fontId="4" fillId="13" borderId="1" xfId="0" applyNumberFormat="1" applyFont="1" applyFill="1" applyBorder="1" applyAlignment="1" applyProtection="1">
      <alignment horizontal="center" vertical="center" wrapText="1"/>
    </xf>
    <xf numFmtId="2" fontId="2" fillId="13" borderId="1" xfId="0" applyNumberFormat="1" applyFont="1" applyFill="1" applyBorder="1" applyAlignment="1" applyProtection="1">
      <alignment horizontal="center" vertical="center" wrapText="1"/>
    </xf>
    <xf numFmtId="0" fontId="4" fillId="14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 applyProtection="1">
      <alignment horizontal="left" vertical="center" wrapText="1"/>
    </xf>
    <xf numFmtId="49" fontId="4" fillId="13" borderId="2" xfId="0" applyNumberFormat="1" applyFont="1" applyFill="1" applyBorder="1" applyAlignment="1">
      <alignment horizontal="center" vertical="center" wrapText="1"/>
    </xf>
    <xf numFmtId="0" fontId="4" fillId="14" borderId="2" xfId="0" applyFont="1" applyFill="1" applyBorder="1" applyAlignment="1" applyProtection="1">
      <alignment horizontal="left" vertical="center" wrapText="1"/>
    </xf>
    <xf numFmtId="0" fontId="4" fillId="14" borderId="2" xfId="0" applyFont="1" applyFill="1" applyBorder="1" applyAlignment="1" applyProtection="1">
      <alignment horizontal="center" vertical="center" wrapText="1"/>
    </xf>
    <xf numFmtId="2" fontId="2" fillId="14" borderId="2" xfId="0" applyNumberFormat="1" applyFont="1" applyFill="1" applyBorder="1" applyAlignment="1" applyProtection="1">
      <alignment horizontal="center" vertical="center" wrapText="1"/>
    </xf>
    <xf numFmtId="1" fontId="4" fillId="13" borderId="1" xfId="0" applyNumberFormat="1" applyFont="1" applyFill="1" applyBorder="1" applyAlignment="1">
      <alignment horizontal="center" vertical="center" wrapText="1"/>
    </xf>
    <xf numFmtId="1" fontId="4" fillId="14" borderId="1" xfId="0" applyNumberFormat="1" applyFont="1" applyFill="1" applyBorder="1" applyAlignment="1" applyProtection="1">
      <alignment horizontal="center" vertical="center" wrapText="1"/>
    </xf>
    <xf numFmtId="0" fontId="4" fillId="9" borderId="1" xfId="0" applyFont="1" applyFill="1" applyBorder="1" applyAlignment="1" applyProtection="1">
      <alignment vertical="center" wrapText="1"/>
    </xf>
    <xf numFmtId="0" fontId="4" fillId="13" borderId="1" xfId="0" applyFont="1" applyFill="1" applyBorder="1" applyAlignment="1">
      <alignment horizontal="center" vertical="center"/>
    </xf>
    <xf numFmtId="0" fontId="3" fillId="14" borderId="1" xfId="0" applyFont="1" applyFill="1" applyBorder="1" applyAlignment="1" applyProtection="1">
      <alignment horizontal="center" vertical="center"/>
    </xf>
    <xf numFmtId="0" fontId="4" fillId="14" borderId="1" xfId="0" applyFont="1" applyFill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vertical="center" wrapText="1"/>
    </xf>
    <xf numFmtId="0" fontId="4" fillId="0" borderId="1" xfId="0" applyFont="1" applyFill="1" applyBorder="1" applyAlignment="1" applyProtection="1">
      <alignment horizontal="center" vertical="center" wrapText="1"/>
    </xf>
    <xf numFmtId="1" fontId="4" fillId="15" borderId="1" xfId="0" applyNumberFormat="1" applyFont="1" applyFill="1" applyBorder="1" applyAlignment="1">
      <alignment horizontal="center" vertical="center" wrapText="1"/>
    </xf>
    <xf numFmtId="1" fontId="4" fillId="15" borderId="1" xfId="0" applyNumberFormat="1" applyFont="1" applyFill="1" applyBorder="1" applyAlignment="1" applyProtection="1">
      <alignment horizontal="center" vertical="center" wrapText="1"/>
    </xf>
    <xf numFmtId="0" fontId="4" fillId="15" borderId="1" xfId="0" applyFont="1" applyFill="1" applyBorder="1" applyAlignment="1" applyProtection="1">
      <alignment horizontal="left" vertical="center" wrapText="1"/>
    </xf>
    <xf numFmtId="0" fontId="3" fillId="15" borderId="1" xfId="0" applyFont="1" applyFill="1" applyBorder="1" applyAlignment="1" applyProtection="1">
      <alignment horizontal="center" vertical="center" wrapText="1"/>
    </xf>
    <xf numFmtId="0" fontId="4" fillId="15" borderId="1" xfId="0" applyFont="1" applyFill="1" applyBorder="1" applyAlignment="1" applyProtection="1">
      <alignment horizontal="center" vertical="center" wrapText="1"/>
    </xf>
    <xf numFmtId="2" fontId="2" fillId="15" borderId="1" xfId="0" applyNumberFormat="1" applyFont="1" applyFill="1" applyBorder="1" applyAlignment="1" applyProtection="1">
      <alignment horizontal="center" vertical="center" wrapText="1"/>
    </xf>
    <xf numFmtId="9" fontId="4" fillId="15" borderId="1" xfId="0" applyNumberFormat="1" applyFont="1" applyFill="1" applyBorder="1" applyAlignment="1" applyProtection="1">
      <alignment horizontal="center" vertical="center" wrapText="1"/>
    </xf>
    <xf numFmtId="1" fontId="4" fillId="6" borderId="1" xfId="0" applyNumberFormat="1" applyFont="1" applyFill="1" applyBorder="1" applyAlignment="1" applyProtection="1">
      <alignment horizontal="center" vertical="center" wrapText="1"/>
    </xf>
    <xf numFmtId="2" fontId="4" fillId="15" borderId="1" xfId="0" applyNumberFormat="1" applyFont="1" applyFill="1" applyBorder="1" applyAlignment="1" applyProtection="1">
      <alignment horizontal="left" vertical="center" wrapText="1"/>
    </xf>
    <xf numFmtId="0" fontId="4" fillId="16" borderId="1" xfId="0" applyFont="1" applyFill="1" applyBorder="1" applyAlignment="1">
      <alignment horizontal="center" vertical="center" wrapText="1"/>
    </xf>
    <xf numFmtId="0" fontId="4" fillId="16" borderId="1" xfId="0" applyFont="1" applyFill="1" applyBorder="1" applyAlignment="1" applyProtection="1">
      <alignment horizontal="center" vertical="center" wrapText="1"/>
    </xf>
    <xf numFmtId="0" fontId="4" fillId="16" borderId="1" xfId="0" applyFont="1" applyFill="1" applyBorder="1" applyAlignment="1" applyProtection="1">
      <alignment horizontal="left" vertical="center" wrapText="1"/>
    </xf>
    <xf numFmtId="0" fontId="3" fillId="16" borderId="1" xfId="0" applyFont="1" applyFill="1" applyBorder="1" applyAlignment="1" applyProtection="1">
      <alignment horizontal="center" vertical="center" wrapText="1"/>
    </xf>
    <xf numFmtId="2" fontId="2" fillId="16" borderId="1" xfId="0" applyNumberFormat="1" applyFont="1" applyFill="1" applyBorder="1" applyAlignment="1" applyProtection="1">
      <alignment horizontal="center" vertical="center" wrapText="1"/>
    </xf>
    <xf numFmtId="9" fontId="4" fillId="16" borderId="1" xfId="0" applyNumberFormat="1" applyFont="1" applyFill="1" applyBorder="1" applyAlignment="1" applyProtection="1">
      <alignment horizontal="center" vertical="center" wrapText="1"/>
    </xf>
    <xf numFmtId="0" fontId="4" fillId="6" borderId="1" xfId="0" applyFont="1" applyFill="1" applyBorder="1" applyProtection="1"/>
    <xf numFmtId="0" fontId="4" fillId="6" borderId="1" xfId="0" applyFont="1" applyFill="1" applyBorder="1"/>
    <xf numFmtId="0" fontId="4" fillId="6" borderId="1" xfId="0" applyFont="1" applyFill="1" applyBorder="1" applyAlignment="1" applyProtection="1">
      <alignment horizontal="left" wrapText="1"/>
    </xf>
    <xf numFmtId="2" fontId="2" fillId="6" borderId="1" xfId="3" applyNumberFormat="1" applyFont="1" applyFill="1" applyBorder="1" applyAlignment="1" applyProtection="1">
      <alignment horizontal="center" vertical="center" wrapText="1"/>
    </xf>
    <xf numFmtId="2" fontId="3" fillId="6" borderId="1" xfId="0" applyNumberFormat="1" applyFont="1" applyFill="1" applyBorder="1" applyProtection="1"/>
    <xf numFmtId="0" fontId="3" fillId="0" borderId="0" xfId="0" applyFont="1" applyProtection="1"/>
    <xf numFmtId="0" fontId="3" fillId="0" borderId="3" xfId="0" applyFont="1" applyBorder="1" applyProtection="1"/>
    <xf numFmtId="0" fontId="3" fillId="0" borderId="1" xfId="0" applyFont="1" applyBorder="1" applyProtection="1"/>
    <xf numFmtId="0" fontId="4" fillId="0" borderId="1" xfId="0" applyFont="1" applyBorder="1" applyProtection="1"/>
    <xf numFmtId="0" fontId="4" fillId="16" borderId="1" xfId="0" applyFont="1" applyFill="1" applyBorder="1" applyAlignment="1">
      <alignment horizontal="center" vertical="center"/>
    </xf>
    <xf numFmtId="0" fontId="3" fillId="16" borderId="1" xfId="0" applyFont="1" applyFill="1" applyBorder="1" applyAlignment="1" applyProtection="1">
      <alignment horizontal="center" vertical="center"/>
    </xf>
    <xf numFmtId="0" fontId="4" fillId="16" borderId="1" xfId="0" applyFont="1" applyFill="1" applyBorder="1" applyAlignment="1" applyProtection="1">
      <alignment horizontal="center" vertical="center"/>
    </xf>
    <xf numFmtId="0" fontId="4" fillId="6" borderId="1" xfId="0" applyFont="1" applyFill="1" applyBorder="1" applyAlignment="1" applyProtection="1">
      <alignment horizontal="center" vertical="center"/>
    </xf>
    <xf numFmtId="0" fontId="2" fillId="0" borderId="0" xfId="0" applyFont="1" applyAlignment="1" applyProtection="1">
      <alignment vertical="center"/>
    </xf>
    <xf numFmtId="9" fontId="5" fillId="0" borderId="0" xfId="0" applyNumberFormat="1" applyFont="1" applyAlignment="1" applyProtection="1">
      <alignment vertical="center"/>
    </xf>
    <xf numFmtId="2" fontId="2" fillId="0" borderId="0" xfId="0" applyNumberFormat="1" applyFont="1" applyAlignment="1" applyProtection="1">
      <alignment horizontal="center" vertical="center" wrapText="1"/>
    </xf>
    <xf numFmtId="0" fontId="4" fillId="2" borderId="1" xfId="0" applyNumberFormat="1" applyFont="1" applyFill="1" applyBorder="1" applyAlignment="1" applyProtection="1">
      <alignment horizontal="center" vertical="center" wrapText="1"/>
    </xf>
    <xf numFmtId="0" fontId="4" fillId="7" borderId="1" xfId="0" applyNumberFormat="1" applyFont="1" applyFill="1" applyBorder="1" applyAlignment="1" applyProtection="1">
      <alignment horizontal="center" vertical="center" wrapText="1"/>
    </xf>
    <xf numFmtId="0" fontId="4" fillId="10" borderId="1" xfId="0" applyNumberFormat="1" applyFont="1" applyFill="1" applyBorder="1" applyAlignment="1" applyProtection="1">
      <alignment horizontal="center" vertical="center" wrapText="1"/>
    </xf>
    <xf numFmtId="0" fontId="4" fillId="11" borderId="1" xfId="0" applyNumberFormat="1" applyFont="1" applyFill="1" applyBorder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/>
    </xf>
    <xf numFmtId="0" fontId="5" fillId="0" borderId="1" xfId="0" applyFont="1" applyBorder="1" applyAlignment="1" applyProtection="1">
      <alignment vertical="center" wrapText="1"/>
    </xf>
    <xf numFmtId="0" fontId="2" fillId="2" borderId="3" xfId="0" applyFont="1" applyFill="1" applyBorder="1" applyAlignment="1" applyProtection="1">
      <alignment horizontal="center" vertical="center" wrapText="1"/>
    </xf>
    <xf numFmtId="0" fontId="2" fillId="0" borderId="3" xfId="0" applyFont="1" applyBorder="1" applyAlignment="1" applyProtection="1">
      <alignment horizontal="center" vertical="center" wrapText="1"/>
    </xf>
    <xf numFmtId="0" fontId="2" fillId="9" borderId="3" xfId="0" applyFont="1" applyFill="1" applyBorder="1" applyAlignment="1" applyProtection="1">
      <alignment vertical="center" wrapText="1"/>
    </xf>
    <xf numFmtId="0" fontId="2" fillId="0" borderId="3" xfId="0" applyFont="1" applyBorder="1" applyAlignment="1" applyProtection="1">
      <alignment vertical="center" wrapText="1"/>
    </xf>
    <xf numFmtId="0" fontId="2" fillId="9" borderId="3" xfId="0" applyFont="1" applyFill="1" applyBorder="1" applyAlignment="1" applyProtection="1">
      <alignment horizontal="center" vertical="center" wrapText="1"/>
    </xf>
    <xf numFmtId="0" fontId="2" fillId="0" borderId="3" xfId="0" applyFont="1" applyFill="1" applyBorder="1" applyAlignment="1" applyProtection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10" borderId="3" xfId="0" applyFont="1" applyFill="1" applyBorder="1" applyAlignment="1" applyProtection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4" fillId="0" borderId="3" xfId="0" applyFont="1" applyBorder="1" applyAlignment="1" applyProtection="1">
      <alignment vertical="center"/>
    </xf>
    <xf numFmtId="0" fontId="2" fillId="11" borderId="3" xfId="0" applyFont="1" applyFill="1" applyBorder="1" applyAlignment="1" applyProtection="1">
      <alignment horizontal="center" vertical="center" wrapText="1"/>
    </xf>
    <xf numFmtId="0" fontId="2" fillId="9" borderId="3" xfId="0" applyFont="1" applyFill="1" applyBorder="1" applyAlignment="1" applyProtection="1">
      <alignment horizontal="left" vertical="center" wrapText="1"/>
    </xf>
    <xf numFmtId="0" fontId="2" fillId="9" borderId="3" xfId="0" applyFont="1" applyFill="1" applyBorder="1" applyAlignment="1" applyProtection="1">
      <alignment horizontal="center" vertical="center"/>
    </xf>
    <xf numFmtId="0" fontId="5" fillId="8" borderId="1" xfId="0" applyFont="1" applyFill="1" applyBorder="1" applyAlignment="1" applyProtection="1">
      <alignment vertical="center" wrapText="1"/>
    </xf>
    <xf numFmtId="9" fontId="5" fillId="0" borderId="1" xfId="0" applyNumberFormat="1" applyFont="1" applyBorder="1" applyAlignment="1" applyProtection="1">
      <alignment vertical="center"/>
    </xf>
    <xf numFmtId="0" fontId="5" fillId="0" borderId="1" xfId="0" applyFont="1" applyBorder="1" applyAlignment="1" applyProtection="1">
      <alignment vertical="center"/>
    </xf>
  </cellXfs>
  <cellStyles count="4">
    <cellStyle name="Обычный" xfId="0" builtinId="0"/>
    <cellStyle name="Обычный 2" xfId="2"/>
    <cellStyle name="Обычный 2 2" xfId="3"/>
    <cellStyle name="Обычный 3" xfId="1"/>
  </cellStyles>
  <dxfs count="55"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I348"/>
  <sheetViews>
    <sheetView tabSelected="1" workbookViewId="0">
      <selection activeCell="A9" sqref="A4:XFD9"/>
    </sheetView>
  </sheetViews>
  <sheetFormatPr defaultColWidth="11.42578125" defaultRowHeight="15" outlineLevelCol="1" x14ac:dyDescent="0.25"/>
  <cols>
    <col min="1" max="1" width="11.42578125" style="182"/>
    <col min="2" max="2" width="12" style="1" customWidth="1"/>
    <col min="3" max="3" width="13.5703125" style="2" customWidth="1"/>
    <col min="4" max="4" width="10.28515625" style="2" customWidth="1" outlineLevel="1"/>
    <col min="5" max="5" width="75.5703125" style="3" customWidth="1" outlineLevel="1"/>
    <col min="6" max="7" width="8.140625" style="2" customWidth="1" outlineLevel="1"/>
    <col min="8" max="8" width="12.5703125" style="2" customWidth="1" outlineLevel="1"/>
    <col min="9" max="10" width="8.140625" style="2" customWidth="1" outlineLevel="1"/>
    <col min="11" max="12" width="10.7109375" style="4" customWidth="1"/>
    <col min="13" max="13" width="7.7109375" style="165" customWidth="1"/>
    <col min="14" max="14" width="10.7109375" style="5" customWidth="1"/>
    <col min="15" max="15" width="11.42578125" style="6"/>
    <col min="16" max="16384" width="11.42578125" style="7"/>
  </cols>
  <sheetData>
    <row r="1" spans="1:15" s="12" customFormat="1" ht="45" x14ac:dyDescent="0.25">
      <c r="A1" s="166" t="s">
        <v>483</v>
      </c>
      <c r="B1" s="167"/>
      <c r="C1" s="8" t="s">
        <v>0</v>
      </c>
      <c r="D1" s="8" t="s">
        <v>1</v>
      </c>
      <c r="E1" s="8" t="s">
        <v>2</v>
      </c>
      <c r="F1" s="9"/>
      <c r="G1" s="8" t="s">
        <v>3</v>
      </c>
      <c r="H1" s="8" t="s">
        <v>4</v>
      </c>
      <c r="I1" s="8" t="s">
        <v>5</v>
      </c>
      <c r="J1" s="8" t="s">
        <v>6</v>
      </c>
      <c r="K1" s="10" t="s">
        <v>7</v>
      </c>
      <c r="L1" s="11" t="s">
        <v>8</v>
      </c>
      <c r="M1" s="161" t="s">
        <v>9</v>
      </c>
      <c r="N1" s="10" t="s">
        <v>10</v>
      </c>
      <c r="O1" s="11" t="s">
        <v>11</v>
      </c>
    </row>
    <row r="2" spans="1:15" s="27" customFormat="1" ht="30" x14ac:dyDescent="0.25">
      <c r="A2" s="180">
        <v>1</v>
      </c>
      <c r="B2" s="168"/>
      <c r="C2" s="20" t="s">
        <v>12</v>
      </c>
      <c r="D2" s="21" t="s">
        <v>479</v>
      </c>
      <c r="E2" s="22" t="s">
        <v>14</v>
      </c>
      <c r="F2" s="23" t="s">
        <v>15</v>
      </c>
      <c r="G2" s="24">
        <v>1000</v>
      </c>
      <c r="H2" s="24">
        <v>114.5</v>
      </c>
      <c r="I2" s="21">
        <v>58</v>
      </c>
      <c r="J2" s="21">
        <v>1.82</v>
      </c>
      <c r="K2" s="25">
        <v>580</v>
      </c>
      <c r="L2" s="25">
        <v>483.33333333333337</v>
      </c>
      <c r="M2" s="162">
        <v>50</v>
      </c>
      <c r="N2" s="25">
        <v>290</v>
      </c>
      <c r="O2" s="25">
        <f t="shared" ref="O2:O33" si="0">N2/1.2</f>
        <v>241.66666666666669</v>
      </c>
    </row>
    <row r="3" spans="1:15" s="27" customFormat="1" ht="30" x14ac:dyDescent="0.25">
      <c r="A3" s="180">
        <v>2</v>
      </c>
      <c r="B3" s="168"/>
      <c r="C3" s="20" t="s">
        <v>16</v>
      </c>
      <c r="D3" s="21" t="s">
        <v>479</v>
      </c>
      <c r="E3" s="22" t="s">
        <v>17</v>
      </c>
      <c r="F3" s="23" t="s">
        <v>15</v>
      </c>
      <c r="G3" s="24">
        <v>1000</v>
      </c>
      <c r="H3" s="24">
        <v>114.5</v>
      </c>
      <c r="I3" s="21">
        <v>58</v>
      </c>
      <c r="J3" s="21">
        <v>1.22</v>
      </c>
      <c r="K3" s="25">
        <v>481</v>
      </c>
      <c r="L3" s="25">
        <v>400.83333333333337</v>
      </c>
      <c r="M3" s="162">
        <v>55.000000000000007</v>
      </c>
      <c r="N3" s="25">
        <v>216.45</v>
      </c>
      <c r="O3" s="25">
        <f t="shared" si="0"/>
        <v>180.375</v>
      </c>
    </row>
    <row r="4" spans="1:15" s="27" customFormat="1" ht="30" x14ac:dyDescent="0.25">
      <c r="A4" s="180">
        <v>3</v>
      </c>
      <c r="B4" s="168"/>
      <c r="C4" s="20" t="s">
        <v>18</v>
      </c>
      <c r="D4" s="21" t="s">
        <v>479</v>
      </c>
      <c r="E4" s="22" t="s">
        <v>19</v>
      </c>
      <c r="F4" s="23" t="s">
        <v>15</v>
      </c>
      <c r="G4" s="24">
        <v>1000</v>
      </c>
      <c r="H4" s="24">
        <v>114.5</v>
      </c>
      <c r="I4" s="21">
        <v>58</v>
      </c>
      <c r="J4" s="21">
        <v>1.6</v>
      </c>
      <c r="K4" s="25">
        <v>630</v>
      </c>
      <c r="L4" s="25">
        <v>525</v>
      </c>
      <c r="M4" s="162">
        <v>50</v>
      </c>
      <c r="N4" s="25">
        <v>315</v>
      </c>
      <c r="O4" s="25">
        <f t="shared" si="0"/>
        <v>262.5</v>
      </c>
    </row>
    <row r="5" spans="1:15" s="27" customFormat="1" ht="30" x14ac:dyDescent="0.25">
      <c r="A5" s="180">
        <v>4</v>
      </c>
      <c r="B5" s="168"/>
      <c r="C5" s="20" t="s">
        <v>20</v>
      </c>
      <c r="D5" s="21" t="s">
        <v>480</v>
      </c>
      <c r="E5" s="22" t="s">
        <v>22</v>
      </c>
      <c r="F5" s="23" t="s">
        <v>15</v>
      </c>
      <c r="G5" s="24">
        <v>1000</v>
      </c>
      <c r="H5" s="24">
        <v>114.5</v>
      </c>
      <c r="I5" s="21">
        <v>58</v>
      </c>
      <c r="J5" s="21">
        <v>1.6</v>
      </c>
      <c r="K5" s="25">
        <v>652</v>
      </c>
      <c r="L5" s="25">
        <v>543.33333333333337</v>
      </c>
      <c r="M5" s="162">
        <v>50</v>
      </c>
      <c r="N5" s="25">
        <v>326</v>
      </c>
      <c r="O5" s="25">
        <f t="shared" si="0"/>
        <v>271.66666666666669</v>
      </c>
    </row>
    <row r="6" spans="1:15" s="27" customFormat="1" ht="30" x14ac:dyDescent="0.25">
      <c r="A6" s="180">
        <v>5</v>
      </c>
      <c r="B6" s="168"/>
      <c r="C6" s="20" t="s">
        <v>23</v>
      </c>
      <c r="D6" s="21" t="s">
        <v>479</v>
      </c>
      <c r="E6" s="22" t="s">
        <v>24</v>
      </c>
      <c r="F6" s="23" t="s">
        <v>15</v>
      </c>
      <c r="G6" s="24">
        <v>1000</v>
      </c>
      <c r="H6" s="24">
        <v>114.5</v>
      </c>
      <c r="I6" s="21">
        <v>58</v>
      </c>
      <c r="J6" s="21">
        <v>1.1499999999999999</v>
      </c>
      <c r="K6" s="25">
        <v>492</v>
      </c>
      <c r="L6" s="25">
        <v>410</v>
      </c>
      <c r="M6" s="162">
        <v>55.000000000000007</v>
      </c>
      <c r="N6" s="25">
        <v>221.39999999999998</v>
      </c>
      <c r="O6" s="25">
        <f t="shared" si="0"/>
        <v>184.5</v>
      </c>
    </row>
    <row r="7" spans="1:15" s="27" customFormat="1" ht="30" x14ac:dyDescent="0.25">
      <c r="A7" s="180">
        <v>6</v>
      </c>
      <c r="B7" s="168"/>
      <c r="C7" s="20" t="s">
        <v>25</v>
      </c>
      <c r="D7" s="21" t="s">
        <v>479</v>
      </c>
      <c r="E7" s="22" t="s">
        <v>26</v>
      </c>
      <c r="F7" s="23" t="s">
        <v>15</v>
      </c>
      <c r="G7" s="24">
        <v>1000</v>
      </c>
      <c r="H7" s="24">
        <v>116</v>
      </c>
      <c r="I7" s="21">
        <v>96</v>
      </c>
      <c r="J7" s="21">
        <v>1.44</v>
      </c>
      <c r="K7" s="25">
        <v>588</v>
      </c>
      <c r="L7" s="25">
        <v>490</v>
      </c>
      <c r="M7" s="162">
        <v>55.000000000000007</v>
      </c>
      <c r="N7" s="25">
        <v>264.59999999999997</v>
      </c>
      <c r="O7" s="25">
        <f t="shared" si="0"/>
        <v>220.49999999999997</v>
      </c>
    </row>
    <row r="8" spans="1:15" s="27" customFormat="1" ht="25.5" x14ac:dyDescent="0.25">
      <c r="A8" s="180">
        <v>7</v>
      </c>
      <c r="B8" s="169"/>
      <c r="C8" s="28" t="s">
        <v>27</v>
      </c>
      <c r="D8" s="21" t="s">
        <v>479</v>
      </c>
      <c r="E8" s="29" t="s">
        <v>28</v>
      </c>
      <c r="F8" s="23" t="s">
        <v>15</v>
      </c>
      <c r="G8" s="30">
        <v>1000</v>
      </c>
      <c r="H8" s="30">
        <v>115</v>
      </c>
      <c r="I8" s="30">
        <v>96</v>
      </c>
      <c r="J8" s="31">
        <v>1.43</v>
      </c>
      <c r="K8" s="25">
        <v>588</v>
      </c>
      <c r="L8" s="25">
        <v>490</v>
      </c>
      <c r="M8" s="162">
        <v>55.000000000000007</v>
      </c>
      <c r="N8" s="25">
        <v>264.59999999999997</v>
      </c>
      <c r="O8" s="25">
        <f t="shared" si="0"/>
        <v>220.49999999999997</v>
      </c>
    </row>
    <row r="9" spans="1:15" s="27" customFormat="1" ht="30" x14ac:dyDescent="0.25">
      <c r="A9" s="180">
        <v>8</v>
      </c>
      <c r="B9" s="169"/>
      <c r="C9" s="20" t="s">
        <v>29</v>
      </c>
      <c r="D9" s="21" t="s">
        <v>479</v>
      </c>
      <c r="E9" s="22" t="s">
        <v>30</v>
      </c>
      <c r="F9" s="23" t="s">
        <v>15</v>
      </c>
      <c r="G9" s="24">
        <v>1000</v>
      </c>
      <c r="H9" s="21">
        <v>116</v>
      </c>
      <c r="I9" s="21">
        <v>96</v>
      </c>
      <c r="J9" s="21">
        <v>2.15</v>
      </c>
      <c r="K9" s="25">
        <v>663</v>
      </c>
      <c r="L9" s="25">
        <v>552.5</v>
      </c>
      <c r="M9" s="162">
        <v>55.000000000000007</v>
      </c>
      <c r="N9" s="25">
        <v>298.34999999999997</v>
      </c>
      <c r="O9" s="25">
        <f t="shared" si="0"/>
        <v>248.62499999999997</v>
      </c>
    </row>
    <row r="10" spans="1:15" s="27" customFormat="1" ht="25.5" x14ac:dyDescent="0.25">
      <c r="A10" s="180">
        <v>9</v>
      </c>
      <c r="B10" s="169"/>
      <c r="C10" s="28" t="s">
        <v>31</v>
      </c>
      <c r="D10" s="21" t="s">
        <v>479</v>
      </c>
      <c r="E10" s="29" t="s">
        <v>32</v>
      </c>
      <c r="F10" s="23" t="s">
        <v>15</v>
      </c>
      <c r="G10" s="30">
        <v>1000</v>
      </c>
      <c r="H10" s="30">
        <v>115</v>
      </c>
      <c r="I10" s="30">
        <v>96</v>
      </c>
      <c r="J10" s="31">
        <v>2</v>
      </c>
      <c r="K10" s="25">
        <v>663</v>
      </c>
      <c r="L10" s="25">
        <v>552.5</v>
      </c>
      <c r="M10" s="162">
        <v>55.000000000000007</v>
      </c>
      <c r="N10" s="25">
        <v>298.34999999999997</v>
      </c>
      <c r="O10" s="25">
        <f t="shared" si="0"/>
        <v>248.62499999999997</v>
      </c>
    </row>
    <row r="11" spans="1:15" s="12" customFormat="1" ht="30" x14ac:dyDescent="0.25">
      <c r="A11" s="180">
        <v>10</v>
      </c>
      <c r="B11" s="170"/>
      <c r="C11" s="20" t="s">
        <v>33</v>
      </c>
      <c r="D11" s="21" t="s">
        <v>479</v>
      </c>
      <c r="E11" s="22" t="s">
        <v>34</v>
      </c>
      <c r="F11" s="23" t="s">
        <v>15</v>
      </c>
      <c r="G11" s="24">
        <v>1000</v>
      </c>
      <c r="H11" s="21">
        <v>116</v>
      </c>
      <c r="I11" s="21">
        <v>96</v>
      </c>
      <c r="J11" s="21">
        <v>1.45</v>
      </c>
      <c r="K11" s="25">
        <v>609</v>
      </c>
      <c r="L11" s="25">
        <v>507.5</v>
      </c>
      <c r="M11" s="162">
        <v>55.000000000000007</v>
      </c>
      <c r="N11" s="25">
        <v>274.04999999999995</v>
      </c>
      <c r="O11" s="25">
        <f t="shared" si="0"/>
        <v>228.37499999999997</v>
      </c>
    </row>
    <row r="12" spans="1:15" s="12" customFormat="1" ht="25.5" x14ac:dyDescent="0.25">
      <c r="A12" s="180">
        <v>11</v>
      </c>
      <c r="B12" s="169"/>
      <c r="C12" s="28" t="s">
        <v>35</v>
      </c>
      <c r="D12" s="21" t="s">
        <v>479</v>
      </c>
      <c r="E12" s="29" t="s">
        <v>36</v>
      </c>
      <c r="F12" s="23" t="s">
        <v>15</v>
      </c>
      <c r="G12" s="30">
        <v>1000</v>
      </c>
      <c r="H12" s="30">
        <v>115</v>
      </c>
      <c r="I12" s="30">
        <v>96</v>
      </c>
      <c r="J12" s="31">
        <v>1.55</v>
      </c>
      <c r="K12" s="25">
        <v>609</v>
      </c>
      <c r="L12" s="25">
        <v>507.5</v>
      </c>
      <c r="M12" s="162">
        <v>55.000000000000007</v>
      </c>
      <c r="N12" s="25">
        <v>274.04999999999995</v>
      </c>
      <c r="O12" s="25">
        <f t="shared" si="0"/>
        <v>228.37499999999997</v>
      </c>
    </row>
    <row r="13" spans="1:15" s="12" customFormat="1" ht="30" x14ac:dyDescent="0.25">
      <c r="A13" s="180">
        <v>12</v>
      </c>
      <c r="B13" s="168"/>
      <c r="C13" s="20" t="s">
        <v>37</v>
      </c>
      <c r="D13" s="21" t="s">
        <v>479</v>
      </c>
      <c r="E13" s="22" t="s">
        <v>38</v>
      </c>
      <c r="F13" s="23" t="s">
        <v>15</v>
      </c>
      <c r="G13" s="24">
        <v>1000</v>
      </c>
      <c r="H13" s="21">
        <v>116</v>
      </c>
      <c r="I13" s="21">
        <v>96</v>
      </c>
      <c r="J13" s="21">
        <v>1.45</v>
      </c>
      <c r="K13" s="25">
        <v>663</v>
      </c>
      <c r="L13" s="25">
        <v>552.5</v>
      </c>
      <c r="M13" s="162">
        <v>45</v>
      </c>
      <c r="N13" s="25">
        <v>364.65</v>
      </c>
      <c r="O13" s="25">
        <f t="shared" si="0"/>
        <v>303.875</v>
      </c>
    </row>
    <row r="14" spans="1:15" s="12" customFormat="1" ht="30" x14ac:dyDescent="0.25">
      <c r="A14" s="180">
        <v>13</v>
      </c>
      <c r="B14" s="168"/>
      <c r="C14" s="20" t="s">
        <v>39</v>
      </c>
      <c r="D14" s="21" t="s">
        <v>480</v>
      </c>
      <c r="E14" s="22" t="s">
        <v>40</v>
      </c>
      <c r="F14" s="23" t="s">
        <v>15</v>
      </c>
      <c r="G14" s="24">
        <v>1000</v>
      </c>
      <c r="H14" s="21">
        <v>116</v>
      </c>
      <c r="I14" s="21">
        <v>96</v>
      </c>
      <c r="J14" s="21">
        <v>1.45</v>
      </c>
      <c r="K14" s="25">
        <v>684</v>
      </c>
      <c r="L14" s="25">
        <v>570</v>
      </c>
      <c r="M14" s="162">
        <v>45</v>
      </c>
      <c r="N14" s="25">
        <v>376.2</v>
      </c>
      <c r="O14" s="25">
        <f t="shared" si="0"/>
        <v>313.5</v>
      </c>
    </row>
    <row r="15" spans="1:15" s="12" customFormat="1" ht="25.5" x14ac:dyDescent="0.25">
      <c r="A15" s="180">
        <v>14</v>
      </c>
      <c r="B15" s="169"/>
      <c r="C15" s="28" t="s">
        <v>41</v>
      </c>
      <c r="D15" s="21" t="s">
        <v>480</v>
      </c>
      <c r="E15" s="29" t="s">
        <v>42</v>
      </c>
      <c r="F15" s="23" t="s">
        <v>15</v>
      </c>
      <c r="G15" s="30">
        <v>1000</v>
      </c>
      <c r="H15" s="30">
        <v>115</v>
      </c>
      <c r="I15" s="30">
        <v>96</v>
      </c>
      <c r="J15" s="31">
        <v>1.72</v>
      </c>
      <c r="K15" s="25">
        <v>684</v>
      </c>
      <c r="L15" s="25">
        <v>570</v>
      </c>
      <c r="M15" s="162">
        <v>45</v>
      </c>
      <c r="N15" s="25">
        <v>376.2</v>
      </c>
      <c r="O15" s="25">
        <f t="shared" si="0"/>
        <v>313.5</v>
      </c>
    </row>
    <row r="16" spans="1:15" s="12" customFormat="1" ht="30" x14ac:dyDescent="0.25">
      <c r="A16" s="180">
        <v>15</v>
      </c>
      <c r="B16" s="168"/>
      <c r="C16" s="20" t="s">
        <v>43</v>
      </c>
      <c r="D16" s="21" t="s">
        <v>480</v>
      </c>
      <c r="E16" s="22" t="s">
        <v>44</v>
      </c>
      <c r="F16" s="23" t="s">
        <v>15</v>
      </c>
      <c r="G16" s="24">
        <v>1000</v>
      </c>
      <c r="H16" s="21">
        <v>116</v>
      </c>
      <c r="I16" s="21">
        <v>96</v>
      </c>
      <c r="J16" s="21">
        <v>1.45</v>
      </c>
      <c r="K16" s="25">
        <v>769</v>
      </c>
      <c r="L16" s="25">
        <v>640.83333333333337</v>
      </c>
      <c r="M16" s="162">
        <v>50</v>
      </c>
      <c r="N16" s="25">
        <v>384.5</v>
      </c>
      <c r="O16" s="25">
        <f t="shared" si="0"/>
        <v>320.41666666666669</v>
      </c>
    </row>
    <row r="17" spans="1:15" s="12" customFormat="1" ht="30" x14ac:dyDescent="0.25">
      <c r="A17" s="180">
        <v>16</v>
      </c>
      <c r="B17" s="168"/>
      <c r="C17" s="20" t="s">
        <v>45</v>
      </c>
      <c r="D17" s="21" t="s">
        <v>479</v>
      </c>
      <c r="E17" s="22" t="s">
        <v>46</v>
      </c>
      <c r="F17" s="23" t="s">
        <v>47</v>
      </c>
      <c r="G17" s="24">
        <v>1000</v>
      </c>
      <c r="H17" s="21">
        <v>380</v>
      </c>
      <c r="I17" s="21">
        <v>296</v>
      </c>
      <c r="J17" s="21">
        <v>14.62</v>
      </c>
      <c r="K17" s="25">
        <v>8970</v>
      </c>
      <c r="L17" s="25">
        <v>7475</v>
      </c>
      <c r="M17" s="162">
        <v>55.000000000000007</v>
      </c>
      <c r="N17" s="25">
        <v>4036.5</v>
      </c>
      <c r="O17" s="25">
        <f t="shared" si="0"/>
        <v>3363.75</v>
      </c>
    </row>
    <row r="18" spans="1:15" s="12" customFormat="1" ht="30" x14ac:dyDescent="0.25">
      <c r="A18" s="180">
        <v>17</v>
      </c>
      <c r="B18" s="168"/>
      <c r="C18" s="32" t="s">
        <v>48</v>
      </c>
      <c r="D18" s="21" t="s">
        <v>479</v>
      </c>
      <c r="E18" s="22" t="s">
        <v>49</v>
      </c>
      <c r="F18" s="23" t="s">
        <v>47</v>
      </c>
      <c r="G18" s="24">
        <v>1000</v>
      </c>
      <c r="H18" s="21">
        <v>380</v>
      </c>
      <c r="I18" s="21">
        <v>400</v>
      </c>
      <c r="J18" s="21">
        <v>15.2</v>
      </c>
      <c r="K18" s="25">
        <v>9023</v>
      </c>
      <c r="L18" s="25">
        <v>7519.166666666667</v>
      </c>
      <c r="M18" s="162">
        <v>55.000000000000007</v>
      </c>
      <c r="N18" s="25">
        <v>4060.3499999999995</v>
      </c>
      <c r="O18" s="25">
        <f t="shared" si="0"/>
        <v>3383.6249999999995</v>
      </c>
    </row>
    <row r="19" spans="1:15" s="12" customFormat="1" ht="30" x14ac:dyDescent="0.25">
      <c r="A19" s="180">
        <v>18</v>
      </c>
      <c r="B19" s="168"/>
      <c r="C19" s="20" t="s">
        <v>50</v>
      </c>
      <c r="D19" s="21" t="s">
        <v>479</v>
      </c>
      <c r="E19" s="22" t="s">
        <v>51</v>
      </c>
      <c r="F19" s="23" t="s">
        <v>47</v>
      </c>
      <c r="G19" s="24">
        <v>1000</v>
      </c>
      <c r="H19" s="21">
        <v>380</v>
      </c>
      <c r="I19" s="21">
        <v>496</v>
      </c>
      <c r="J19" s="21">
        <v>17.2</v>
      </c>
      <c r="K19" s="25">
        <v>9077</v>
      </c>
      <c r="L19" s="25">
        <v>7564.166666666667</v>
      </c>
      <c r="M19" s="162">
        <v>55.000000000000007</v>
      </c>
      <c r="N19" s="25">
        <v>4084.6499999999996</v>
      </c>
      <c r="O19" s="25">
        <f t="shared" si="0"/>
        <v>3403.875</v>
      </c>
    </row>
    <row r="20" spans="1:15" s="12" customFormat="1" ht="45" x14ac:dyDescent="0.25">
      <c r="A20" s="180">
        <v>19</v>
      </c>
      <c r="B20" s="168"/>
      <c r="C20" s="20" t="s">
        <v>52</v>
      </c>
      <c r="D20" s="21" t="s">
        <v>479</v>
      </c>
      <c r="E20" s="22" t="s">
        <v>53</v>
      </c>
      <c r="F20" s="23" t="s">
        <v>15</v>
      </c>
      <c r="G20" s="21">
        <v>500</v>
      </c>
      <c r="H20" s="21">
        <v>116</v>
      </c>
      <c r="I20" s="21">
        <v>320</v>
      </c>
      <c r="J20" s="21">
        <v>3.4</v>
      </c>
      <c r="K20" s="25">
        <v>1549</v>
      </c>
      <c r="L20" s="25">
        <v>1290.8333333333335</v>
      </c>
      <c r="M20" s="162">
        <v>55.000000000000007</v>
      </c>
      <c r="N20" s="25">
        <v>697.05</v>
      </c>
      <c r="O20" s="25">
        <f t="shared" si="0"/>
        <v>580.875</v>
      </c>
    </row>
    <row r="21" spans="1:15" s="12" customFormat="1" ht="30" x14ac:dyDescent="0.25">
      <c r="A21" s="180">
        <v>20</v>
      </c>
      <c r="B21" s="168"/>
      <c r="C21" s="20" t="s">
        <v>54</v>
      </c>
      <c r="D21" s="21" t="s">
        <v>479</v>
      </c>
      <c r="E21" s="22" t="s">
        <v>55</v>
      </c>
      <c r="F21" s="23" t="s">
        <v>15</v>
      </c>
      <c r="G21" s="21">
        <v>500</v>
      </c>
      <c r="H21" s="21">
        <v>116</v>
      </c>
      <c r="I21" s="21">
        <v>320</v>
      </c>
      <c r="J21" s="21">
        <v>3.05</v>
      </c>
      <c r="K21" s="25">
        <v>1442</v>
      </c>
      <c r="L21" s="25">
        <v>1201.6666666666667</v>
      </c>
      <c r="M21" s="162">
        <v>55.000000000000007</v>
      </c>
      <c r="N21" s="25">
        <v>648.9</v>
      </c>
      <c r="O21" s="25">
        <f t="shared" si="0"/>
        <v>540.75</v>
      </c>
    </row>
    <row r="22" spans="1:15" s="12" customFormat="1" ht="45" x14ac:dyDescent="0.25">
      <c r="A22" s="180">
        <v>21</v>
      </c>
      <c r="B22" s="168"/>
      <c r="C22" s="20" t="s">
        <v>56</v>
      </c>
      <c r="D22" s="21" t="s">
        <v>479</v>
      </c>
      <c r="E22" s="22" t="s">
        <v>57</v>
      </c>
      <c r="F22" s="23" t="s">
        <v>15</v>
      </c>
      <c r="G22" s="21">
        <v>500</v>
      </c>
      <c r="H22" s="21">
        <v>116</v>
      </c>
      <c r="I22" s="21">
        <v>320</v>
      </c>
      <c r="J22" s="21">
        <v>2.14</v>
      </c>
      <c r="K22" s="25">
        <v>1656</v>
      </c>
      <c r="L22" s="25">
        <v>1380</v>
      </c>
      <c r="M22" s="162">
        <v>55.000000000000007</v>
      </c>
      <c r="N22" s="25">
        <v>745.19999999999993</v>
      </c>
      <c r="O22" s="25">
        <f t="shared" si="0"/>
        <v>621</v>
      </c>
    </row>
    <row r="23" spans="1:15" s="12" customFormat="1" ht="45" x14ac:dyDescent="0.25">
      <c r="A23" s="180">
        <v>22</v>
      </c>
      <c r="B23" s="168"/>
      <c r="C23" s="20" t="s">
        <v>58</v>
      </c>
      <c r="D23" s="21" t="s">
        <v>480</v>
      </c>
      <c r="E23" s="22" t="s">
        <v>59</v>
      </c>
      <c r="F23" s="37" t="s">
        <v>15</v>
      </c>
      <c r="G23" s="21">
        <v>500</v>
      </c>
      <c r="H23" s="21">
        <v>116</v>
      </c>
      <c r="I23" s="21">
        <v>320</v>
      </c>
      <c r="J23" s="21">
        <v>2.14</v>
      </c>
      <c r="K23" s="25">
        <v>1656</v>
      </c>
      <c r="L23" s="25">
        <v>1380</v>
      </c>
      <c r="M23" s="162">
        <v>55.000000000000007</v>
      </c>
      <c r="N23" s="25">
        <v>745.19999999999993</v>
      </c>
      <c r="O23" s="25">
        <f t="shared" si="0"/>
        <v>621</v>
      </c>
    </row>
    <row r="24" spans="1:15" s="12" customFormat="1" ht="45" x14ac:dyDescent="0.25">
      <c r="A24" s="180">
        <v>23</v>
      </c>
      <c r="B24" s="168"/>
      <c r="C24" s="20" t="s">
        <v>60</v>
      </c>
      <c r="D24" s="21" t="s">
        <v>479</v>
      </c>
      <c r="E24" s="22" t="s">
        <v>57</v>
      </c>
      <c r="F24" s="23" t="s">
        <v>15</v>
      </c>
      <c r="G24" s="21">
        <v>500</v>
      </c>
      <c r="H24" s="21">
        <v>116</v>
      </c>
      <c r="I24" s="21">
        <v>320</v>
      </c>
      <c r="J24" s="21">
        <v>1.91</v>
      </c>
      <c r="K24" s="25">
        <v>1442</v>
      </c>
      <c r="L24" s="25">
        <v>1201.6666666666667</v>
      </c>
      <c r="M24" s="162">
        <v>55.000000000000007</v>
      </c>
      <c r="N24" s="25">
        <v>648.9</v>
      </c>
      <c r="O24" s="25">
        <f t="shared" si="0"/>
        <v>540.75</v>
      </c>
    </row>
    <row r="25" spans="1:15" s="27" customFormat="1" x14ac:dyDescent="0.25">
      <c r="A25" s="180">
        <v>24</v>
      </c>
      <c r="B25" s="171"/>
      <c r="C25" s="32">
        <v>805</v>
      </c>
      <c r="D25" s="21" t="s">
        <v>481</v>
      </c>
      <c r="E25" s="22" t="s">
        <v>66</v>
      </c>
      <c r="F25" s="23" t="s">
        <v>15</v>
      </c>
      <c r="G25" s="24">
        <v>1000</v>
      </c>
      <c r="H25" s="21">
        <v>146</v>
      </c>
      <c r="I25" s="21">
        <v>63</v>
      </c>
      <c r="J25" s="21">
        <v>1</v>
      </c>
      <c r="K25" s="25">
        <v>396</v>
      </c>
      <c r="L25" s="25">
        <v>330</v>
      </c>
      <c r="M25" s="162">
        <v>55.000000000000007</v>
      </c>
      <c r="N25" s="25">
        <v>178.2</v>
      </c>
      <c r="O25" s="25">
        <f t="shared" si="0"/>
        <v>148.5</v>
      </c>
    </row>
    <row r="26" spans="1:15" s="27" customFormat="1" x14ac:dyDescent="0.25">
      <c r="A26" s="180">
        <v>25</v>
      </c>
      <c r="B26" s="171"/>
      <c r="C26" s="32">
        <v>803</v>
      </c>
      <c r="D26" s="21" t="s">
        <v>481</v>
      </c>
      <c r="E26" s="22" t="s">
        <v>67</v>
      </c>
      <c r="F26" s="23" t="s">
        <v>15</v>
      </c>
      <c r="G26" s="21">
        <v>1000</v>
      </c>
      <c r="H26" s="21">
        <v>146</v>
      </c>
      <c r="I26" s="21">
        <v>80</v>
      </c>
      <c r="J26" s="21">
        <v>1.2</v>
      </c>
      <c r="K26" s="25">
        <v>460</v>
      </c>
      <c r="L26" s="25">
        <v>383.33333333333337</v>
      </c>
      <c r="M26" s="162">
        <v>55.000000000000007</v>
      </c>
      <c r="N26" s="25">
        <v>206.99999999999997</v>
      </c>
      <c r="O26" s="25">
        <f t="shared" si="0"/>
        <v>172.49999999999997</v>
      </c>
    </row>
    <row r="27" spans="1:15" s="27" customFormat="1" x14ac:dyDescent="0.25">
      <c r="A27" s="180">
        <v>26</v>
      </c>
      <c r="B27" s="171"/>
      <c r="C27" s="32">
        <v>804</v>
      </c>
      <c r="D27" s="21" t="s">
        <v>481</v>
      </c>
      <c r="E27" s="22" t="s">
        <v>68</v>
      </c>
      <c r="F27" s="23" t="s">
        <v>15</v>
      </c>
      <c r="G27" s="21">
        <v>1000</v>
      </c>
      <c r="H27" s="21">
        <v>146</v>
      </c>
      <c r="I27" s="21">
        <v>100</v>
      </c>
      <c r="J27" s="21">
        <v>1.32</v>
      </c>
      <c r="K27" s="25">
        <v>486</v>
      </c>
      <c r="L27" s="25">
        <v>405</v>
      </c>
      <c r="M27" s="162">
        <v>55.000000000000007</v>
      </c>
      <c r="N27" s="25">
        <v>218.7</v>
      </c>
      <c r="O27" s="25">
        <f t="shared" si="0"/>
        <v>182.25</v>
      </c>
    </row>
    <row r="28" spans="1:15" s="27" customFormat="1" x14ac:dyDescent="0.25">
      <c r="A28" s="180">
        <v>27</v>
      </c>
      <c r="B28" s="171"/>
      <c r="C28" s="32">
        <v>801</v>
      </c>
      <c r="D28" s="21" t="s">
        <v>481</v>
      </c>
      <c r="E28" s="22" t="s">
        <v>69</v>
      </c>
      <c r="F28" s="23" t="s">
        <v>15</v>
      </c>
      <c r="G28" s="21">
        <v>1000</v>
      </c>
      <c r="H28" s="21">
        <v>146</v>
      </c>
      <c r="I28" s="21">
        <v>120</v>
      </c>
      <c r="J28" s="21">
        <v>1.46</v>
      </c>
      <c r="K28" s="25">
        <v>508</v>
      </c>
      <c r="L28" s="25">
        <v>423.33333333333337</v>
      </c>
      <c r="M28" s="162">
        <v>55.000000000000007</v>
      </c>
      <c r="N28" s="25">
        <v>228.59999999999997</v>
      </c>
      <c r="O28" s="25">
        <f t="shared" si="0"/>
        <v>190.49999999999997</v>
      </c>
    </row>
    <row r="29" spans="1:15" s="27" customFormat="1" x14ac:dyDescent="0.25">
      <c r="A29" s="180">
        <v>28</v>
      </c>
      <c r="B29" s="171"/>
      <c r="C29" s="32">
        <v>800</v>
      </c>
      <c r="D29" s="21" t="s">
        <v>481</v>
      </c>
      <c r="E29" s="22" t="s">
        <v>70</v>
      </c>
      <c r="F29" s="23" t="s">
        <v>15</v>
      </c>
      <c r="G29" s="21">
        <v>1000</v>
      </c>
      <c r="H29" s="21">
        <v>146</v>
      </c>
      <c r="I29" s="21">
        <v>135</v>
      </c>
      <c r="J29" s="21">
        <v>1.59</v>
      </c>
      <c r="K29" s="25">
        <v>572</v>
      </c>
      <c r="L29" s="25">
        <v>476.66666666666669</v>
      </c>
      <c r="M29" s="162">
        <v>55.000000000000007</v>
      </c>
      <c r="N29" s="25">
        <v>257.39999999999998</v>
      </c>
      <c r="O29" s="25">
        <f t="shared" si="0"/>
        <v>214.5</v>
      </c>
    </row>
    <row r="30" spans="1:15" s="27" customFormat="1" x14ac:dyDescent="0.25">
      <c r="A30" s="180">
        <v>29</v>
      </c>
      <c r="B30" s="171"/>
      <c r="C30" s="32">
        <v>802</v>
      </c>
      <c r="D30" s="21" t="s">
        <v>481</v>
      </c>
      <c r="E30" s="22" t="s">
        <v>71</v>
      </c>
      <c r="F30" s="23" t="s">
        <v>15</v>
      </c>
      <c r="G30" s="24">
        <v>1000</v>
      </c>
      <c r="H30" s="21">
        <v>146</v>
      </c>
      <c r="I30" s="21">
        <v>185</v>
      </c>
      <c r="J30" s="21">
        <v>2.0699999999999998</v>
      </c>
      <c r="K30" s="25">
        <v>652</v>
      </c>
      <c r="L30" s="25">
        <v>543.33333333333337</v>
      </c>
      <c r="M30" s="162">
        <v>55.000000000000007</v>
      </c>
      <c r="N30" s="25">
        <v>293.39999999999998</v>
      </c>
      <c r="O30" s="25">
        <f t="shared" si="0"/>
        <v>244.5</v>
      </c>
    </row>
    <row r="31" spans="1:15" s="27" customFormat="1" x14ac:dyDescent="0.25">
      <c r="A31" s="180">
        <v>30</v>
      </c>
      <c r="B31" s="172"/>
      <c r="C31" s="32">
        <v>808</v>
      </c>
      <c r="D31" s="21" t="s">
        <v>481</v>
      </c>
      <c r="E31" s="22" t="s">
        <v>72</v>
      </c>
      <c r="F31" s="23" t="s">
        <v>15</v>
      </c>
      <c r="G31" s="24">
        <v>500</v>
      </c>
      <c r="H31" s="21">
        <v>160</v>
      </c>
      <c r="I31" s="21">
        <v>420</v>
      </c>
      <c r="J31" s="21">
        <v>2.75</v>
      </c>
      <c r="K31" s="25">
        <v>1869</v>
      </c>
      <c r="L31" s="25">
        <v>1557.5</v>
      </c>
      <c r="M31" s="162">
        <v>55.000000000000007</v>
      </c>
      <c r="N31" s="25">
        <v>841.05</v>
      </c>
      <c r="O31" s="25">
        <f t="shared" si="0"/>
        <v>700.875</v>
      </c>
    </row>
    <row r="32" spans="1:15" s="27" customFormat="1" ht="30" x14ac:dyDescent="0.25">
      <c r="A32" s="180">
        <v>31</v>
      </c>
      <c r="B32" s="171"/>
      <c r="C32" s="32">
        <v>8054</v>
      </c>
      <c r="D32" s="21" t="s">
        <v>481</v>
      </c>
      <c r="E32" s="22" t="s">
        <v>73</v>
      </c>
      <c r="F32" s="23" t="s">
        <v>15</v>
      </c>
      <c r="G32" s="24">
        <v>1000</v>
      </c>
      <c r="H32" s="21">
        <v>148</v>
      </c>
      <c r="I32" s="21">
        <v>66</v>
      </c>
      <c r="J32" s="21">
        <v>2</v>
      </c>
      <c r="K32" s="25">
        <v>833</v>
      </c>
      <c r="L32" s="25">
        <v>694.16666666666674</v>
      </c>
      <c r="M32" s="162">
        <v>55.000000000000007</v>
      </c>
      <c r="N32" s="25">
        <v>374.84999999999997</v>
      </c>
      <c r="O32" s="25">
        <f t="shared" si="0"/>
        <v>312.375</v>
      </c>
    </row>
    <row r="33" spans="1:35" s="27" customFormat="1" ht="30" x14ac:dyDescent="0.25">
      <c r="A33" s="180">
        <v>32</v>
      </c>
      <c r="B33" s="171"/>
      <c r="C33" s="32">
        <v>8034</v>
      </c>
      <c r="D33" s="21" t="s">
        <v>481</v>
      </c>
      <c r="E33" s="22" t="s">
        <v>74</v>
      </c>
      <c r="F33" s="23" t="s">
        <v>15</v>
      </c>
      <c r="G33" s="21">
        <v>1000</v>
      </c>
      <c r="H33" s="21">
        <v>148</v>
      </c>
      <c r="I33" s="21">
        <v>83</v>
      </c>
      <c r="J33" s="21">
        <v>2.2000000000000002</v>
      </c>
      <c r="K33" s="25">
        <v>897</v>
      </c>
      <c r="L33" s="25">
        <v>747.5</v>
      </c>
      <c r="M33" s="162">
        <v>55.000000000000007</v>
      </c>
      <c r="N33" s="25">
        <v>403.65</v>
      </c>
      <c r="O33" s="25">
        <f t="shared" si="0"/>
        <v>336.375</v>
      </c>
    </row>
    <row r="34" spans="1:35" s="27" customFormat="1" ht="30" x14ac:dyDescent="0.25">
      <c r="A34" s="180">
        <v>33</v>
      </c>
      <c r="B34" s="171"/>
      <c r="C34" s="32">
        <v>8044</v>
      </c>
      <c r="D34" s="21" t="s">
        <v>481</v>
      </c>
      <c r="E34" s="22" t="s">
        <v>75</v>
      </c>
      <c r="F34" s="23" t="s">
        <v>15</v>
      </c>
      <c r="G34" s="21">
        <v>1000</v>
      </c>
      <c r="H34" s="21">
        <v>148</v>
      </c>
      <c r="I34" s="21">
        <v>103</v>
      </c>
      <c r="J34" s="21">
        <v>2.4</v>
      </c>
      <c r="K34" s="25">
        <v>924</v>
      </c>
      <c r="L34" s="25">
        <v>770</v>
      </c>
      <c r="M34" s="162">
        <v>55.000000000000007</v>
      </c>
      <c r="N34" s="25">
        <v>415.79999999999995</v>
      </c>
      <c r="O34" s="25">
        <f t="shared" ref="O34:O65" si="1">N34/1.2</f>
        <v>346.5</v>
      </c>
    </row>
    <row r="35" spans="1:35" s="27" customFormat="1" ht="30" x14ac:dyDescent="0.25">
      <c r="A35" s="180">
        <v>34</v>
      </c>
      <c r="B35" s="171"/>
      <c r="C35" s="32">
        <v>8014</v>
      </c>
      <c r="D35" s="21" t="s">
        <v>481</v>
      </c>
      <c r="E35" s="22" t="s">
        <v>76</v>
      </c>
      <c r="F35" s="23" t="s">
        <v>15</v>
      </c>
      <c r="G35" s="21">
        <v>1000</v>
      </c>
      <c r="H35" s="21">
        <v>148</v>
      </c>
      <c r="I35" s="21">
        <v>123</v>
      </c>
      <c r="J35" s="21">
        <v>2.4</v>
      </c>
      <c r="K35" s="25">
        <v>945</v>
      </c>
      <c r="L35" s="25">
        <v>787.5</v>
      </c>
      <c r="M35" s="162">
        <v>55.000000000000007</v>
      </c>
      <c r="N35" s="25">
        <v>425.25</v>
      </c>
      <c r="O35" s="25">
        <f t="shared" si="1"/>
        <v>354.375</v>
      </c>
    </row>
    <row r="36" spans="1:35" s="27" customFormat="1" ht="30" x14ac:dyDescent="0.25">
      <c r="A36" s="180">
        <v>35</v>
      </c>
      <c r="B36" s="171"/>
      <c r="C36" s="32">
        <v>8004</v>
      </c>
      <c r="D36" s="21" t="s">
        <v>481</v>
      </c>
      <c r="E36" s="22" t="s">
        <v>77</v>
      </c>
      <c r="F36" s="23" t="s">
        <v>15</v>
      </c>
      <c r="G36" s="21">
        <v>1000</v>
      </c>
      <c r="H36" s="21">
        <v>148</v>
      </c>
      <c r="I36" s="21">
        <v>138</v>
      </c>
      <c r="J36" s="21">
        <v>2.4500000000000002</v>
      </c>
      <c r="K36" s="25">
        <v>1010</v>
      </c>
      <c r="L36" s="25">
        <v>841.66666666666674</v>
      </c>
      <c r="M36" s="162">
        <v>55.000000000000007</v>
      </c>
      <c r="N36" s="25">
        <v>454.5</v>
      </c>
      <c r="O36" s="25">
        <f t="shared" si="1"/>
        <v>378.75</v>
      </c>
    </row>
    <row r="37" spans="1:35" s="27" customFormat="1" ht="30" x14ac:dyDescent="0.25">
      <c r="A37" s="180">
        <v>36</v>
      </c>
      <c r="B37" s="171"/>
      <c r="C37" s="32">
        <v>8024</v>
      </c>
      <c r="D37" s="21" t="s">
        <v>481</v>
      </c>
      <c r="E37" s="22" t="s">
        <v>78</v>
      </c>
      <c r="F37" s="23" t="s">
        <v>15</v>
      </c>
      <c r="G37" s="24">
        <v>1000</v>
      </c>
      <c r="H37" s="21">
        <v>148</v>
      </c>
      <c r="I37" s="21">
        <v>187</v>
      </c>
      <c r="J37" s="21">
        <v>2.8</v>
      </c>
      <c r="K37" s="25">
        <v>1090</v>
      </c>
      <c r="L37" s="25">
        <v>908.33333333333337</v>
      </c>
      <c r="M37" s="162">
        <v>55.000000000000007</v>
      </c>
      <c r="N37" s="25">
        <v>490.5</v>
      </c>
      <c r="O37" s="25">
        <f t="shared" si="1"/>
        <v>408.75</v>
      </c>
    </row>
    <row r="38" spans="1:35" s="12" customFormat="1" ht="30" x14ac:dyDescent="0.25">
      <c r="A38" s="180">
        <v>37</v>
      </c>
      <c r="B38" s="168"/>
      <c r="C38" s="43">
        <v>13800</v>
      </c>
      <c r="D38" s="21" t="s">
        <v>481</v>
      </c>
      <c r="E38" s="22" t="s">
        <v>86</v>
      </c>
      <c r="F38" s="44" t="s">
        <v>15</v>
      </c>
      <c r="G38" s="45">
        <v>500</v>
      </c>
      <c r="H38" s="45">
        <v>140</v>
      </c>
      <c r="I38" s="45">
        <v>60</v>
      </c>
      <c r="J38" s="45">
        <v>7</v>
      </c>
      <c r="K38" s="46">
        <v>299</v>
      </c>
      <c r="L38" s="46">
        <v>249.16666666666669</v>
      </c>
      <c r="M38" s="162">
        <v>50</v>
      </c>
      <c r="N38" s="25">
        <v>149.5</v>
      </c>
      <c r="O38" s="25">
        <f t="shared" si="1"/>
        <v>124.58333333333334</v>
      </c>
    </row>
    <row r="39" spans="1:35" s="12" customFormat="1" ht="30" x14ac:dyDescent="0.25">
      <c r="A39" s="180">
        <v>38</v>
      </c>
      <c r="B39" s="168"/>
      <c r="C39" s="43">
        <v>11000</v>
      </c>
      <c r="D39" s="21" t="s">
        <v>481</v>
      </c>
      <c r="E39" s="22" t="s">
        <v>87</v>
      </c>
      <c r="F39" s="44" t="s">
        <v>15</v>
      </c>
      <c r="G39" s="45">
        <v>1000</v>
      </c>
      <c r="H39" s="45">
        <v>160</v>
      </c>
      <c r="I39" s="45">
        <v>80</v>
      </c>
      <c r="J39" s="45">
        <v>19</v>
      </c>
      <c r="K39" s="46">
        <v>647</v>
      </c>
      <c r="L39" s="46">
        <v>539.16666666666674</v>
      </c>
      <c r="M39" s="162">
        <v>50</v>
      </c>
      <c r="N39" s="25">
        <v>323.5</v>
      </c>
      <c r="O39" s="25">
        <f t="shared" si="1"/>
        <v>269.58333333333337</v>
      </c>
    </row>
    <row r="40" spans="1:35" s="13" customFormat="1" ht="30" x14ac:dyDescent="0.25">
      <c r="A40" s="180">
        <v>39</v>
      </c>
      <c r="B40" s="168"/>
      <c r="C40" s="43">
        <v>11001</v>
      </c>
      <c r="D40" s="21" t="s">
        <v>481</v>
      </c>
      <c r="E40" s="22" t="s">
        <v>88</v>
      </c>
      <c r="F40" s="44" t="s">
        <v>15</v>
      </c>
      <c r="G40" s="45">
        <v>1000</v>
      </c>
      <c r="H40" s="45">
        <v>160</v>
      </c>
      <c r="I40" s="45">
        <v>100</v>
      </c>
      <c r="J40" s="45">
        <v>22</v>
      </c>
      <c r="K40" s="46">
        <v>673</v>
      </c>
      <c r="L40" s="46">
        <v>560.83333333333337</v>
      </c>
      <c r="M40" s="162">
        <v>50</v>
      </c>
      <c r="N40" s="25">
        <v>336.5</v>
      </c>
      <c r="O40" s="25">
        <f t="shared" si="1"/>
        <v>280.41666666666669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</row>
    <row r="41" spans="1:35" s="12" customFormat="1" ht="30" x14ac:dyDescent="0.25">
      <c r="A41" s="180">
        <v>40</v>
      </c>
      <c r="B41" s="168"/>
      <c r="C41" s="43">
        <v>11002</v>
      </c>
      <c r="D41" s="21" t="s">
        <v>481</v>
      </c>
      <c r="E41" s="22" t="s">
        <v>89</v>
      </c>
      <c r="F41" s="44" t="s">
        <v>15</v>
      </c>
      <c r="G41" s="47">
        <v>1000</v>
      </c>
      <c r="H41" s="47">
        <v>160</v>
      </c>
      <c r="I41" s="47">
        <v>80</v>
      </c>
      <c r="J41" s="47">
        <v>17.5</v>
      </c>
      <c r="K41" s="46">
        <v>1010</v>
      </c>
      <c r="L41" s="46">
        <v>841.66666666666674</v>
      </c>
      <c r="M41" s="162">
        <v>50</v>
      </c>
      <c r="N41" s="25">
        <v>505</v>
      </c>
      <c r="O41" s="25">
        <f t="shared" si="1"/>
        <v>420.83333333333337</v>
      </c>
    </row>
    <row r="42" spans="1:35" s="12" customFormat="1" ht="30" x14ac:dyDescent="0.25">
      <c r="A42" s="180">
        <v>41</v>
      </c>
      <c r="B42" s="168"/>
      <c r="C42" s="43">
        <v>11003</v>
      </c>
      <c r="D42" s="21" t="s">
        <v>481</v>
      </c>
      <c r="E42" s="22" t="s">
        <v>90</v>
      </c>
      <c r="F42" s="44" t="s">
        <v>15</v>
      </c>
      <c r="G42" s="47">
        <v>1000</v>
      </c>
      <c r="H42" s="47">
        <v>160</v>
      </c>
      <c r="I42" s="47">
        <v>100</v>
      </c>
      <c r="J42" s="47">
        <v>20.5</v>
      </c>
      <c r="K42" s="46">
        <v>1010</v>
      </c>
      <c r="L42" s="46">
        <v>841.66666666666674</v>
      </c>
      <c r="M42" s="162">
        <v>50</v>
      </c>
      <c r="N42" s="25">
        <v>505</v>
      </c>
      <c r="O42" s="25">
        <f t="shared" si="1"/>
        <v>420.83333333333337</v>
      </c>
    </row>
    <row r="43" spans="1:35" s="13" customFormat="1" ht="30" x14ac:dyDescent="0.25">
      <c r="A43" s="180">
        <v>42</v>
      </c>
      <c r="B43" s="168"/>
      <c r="C43" s="43">
        <v>13801</v>
      </c>
      <c r="D43" s="21" t="s">
        <v>481</v>
      </c>
      <c r="E43" s="22" t="s">
        <v>91</v>
      </c>
      <c r="F43" s="44" t="s">
        <v>15</v>
      </c>
      <c r="G43" s="45">
        <v>1000</v>
      </c>
      <c r="H43" s="45">
        <v>140</v>
      </c>
      <c r="I43" s="45">
        <v>125</v>
      </c>
      <c r="J43" s="45">
        <v>24</v>
      </c>
      <c r="K43" s="46">
        <v>598</v>
      </c>
      <c r="L43" s="46">
        <v>498.33333333333337</v>
      </c>
      <c r="M43" s="162">
        <v>50</v>
      </c>
      <c r="N43" s="25">
        <v>299</v>
      </c>
      <c r="O43" s="25">
        <f t="shared" si="1"/>
        <v>249.16666666666669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</row>
    <row r="44" spans="1:35" s="12" customFormat="1" ht="30" x14ac:dyDescent="0.25">
      <c r="A44" s="180">
        <v>43</v>
      </c>
      <c r="B44" s="168"/>
      <c r="C44" s="43" t="s">
        <v>92</v>
      </c>
      <c r="D44" s="21" t="s">
        <v>481</v>
      </c>
      <c r="E44" s="22" t="s">
        <v>93</v>
      </c>
      <c r="F44" s="44" t="s">
        <v>15</v>
      </c>
      <c r="G44" s="45">
        <v>1000</v>
      </c>
      <c r="H44" s="45">
        <v>163</v>
      </c>
      <c r="I44" s="45">
        <v>132</v>
      </c>
      <c r="J44" s="45">
        <v>30</v>
      </c>
      <c r="K44" s="46">
        <v>705</v>
      </c>
      <c r="L44" s="46">
        <v>587.5</v>
      </c>
      <c r="M44" s="162">
        <v>50</v>
      </c>
      <c r="N44" s="25">
        <v>352.5</v>
      </c>
      <c r="O44" s="25">
        <f t="shared" si="1"/>
        <v>293.75</v>
      </c>
    </row>
    <row r="45" spans="1:35" s="12" customFormat="1" ht="30" x14ac:dyDescent="0.25">
      <c r="A45" s="180">
        <v>44</v>
      </c>
      <c r="B45" s="168"/>
      <c r="C45" s="43" t="s">
        <v>94</v>
      </c>
      <c r="D45" s="21" t="s">
        <v>481</v>
      </c>
      <c r="E45" s="22" t="s">
        <v>95</v>
      </c>
      <c r="F45" s="44" t="s">
        <v>15</v>
      </c>
      <c r="G45" s="45">
        <v>1000</v>
      </c>
      <c r="H45" s="45">
        <v>163</v>
      </c>
      <c r="I45" s="45">
        <v>157</v>
      </c>
      <c r="J45" s="45">
        <v>33</v>
      </c>
      <c r="K45" s="46">
        <v>727</v>
      </c>
      <c r="L45" s="46">
        <v>605.83333333333337</v>
      </c>
      <c r="M45" s="162">
        <v>50</v>
      </c>
      <c r="N45" s="25">
        <v>363.5</v>
      </c>
      <c r="O45" s="25">
        <f t="shared" si="1"/>
        <v>302.91666666666669</v>
      </c>
    </row>
    <row r="46" spans="1:35" s="12" customFormat="1" ht="30" x14ac:dyDescent="0.25">
      <c r="A46" s="180">
        <v>45</v>
      </c>
      <c r="B46" s="168"/>
      <c r="C46" s="43" t="s">
        <v>96</v>
      </c>
      <c r="D46" s="21" t="s">
        <v>481</v>
      </c>
      <c r="E46" s="22" t="s">
        <v>97</v>
      </c>
      <c r="F46" s="44" t="s">
        <v>15</v>
      </c>
      <c r="G46" s="45">
        <v>1000</v>
      </c>
      <c r="H46" s="45">
        <v>163</v>
      </c>
      <c r="I46" s="45">
        <v>182</v>
      </c>
      <c r="J46" s="45">
        <v>36</v>
      </c>
      <c r="K46" s="46">
        <v>753</v>
      </c>
      <c r="L46" s="46">
        <v>627.5</v>
      </c>
      <c r="M46" s="162">
        <v>50</v>
      </c>
      <c r="N46" s="25">
        <v>376.5</v>
      </c>
      <c r="O46" s="25">
        <f t="shared" si="1"/>
        <v>313.75</v>
      </c>
    </row>
    <row r="47" spans="1:35" s="12" customFormat="1" x14ac:dyDescent="0.25">
      <c r="A47" s="180">
        <v>46</v>
      </c>
      <c r="B47" s="173" t="s">
        <v>98</v>
      </c>
      <c r="C47" s="43" t="s">
        <v>99</v>
      </c>
      <c r="D47" s="32" t="s">
        <v>481</v>
      </c>
      <c r="E47" s="48" t="s">
        <v>100</v>
      </c>
      <c r="F47" s="49" t="s">
        <v>15</v>
      </c>
      <c r="G47" s="43">
        <v>1000</v>
      </c>
      <c r="H47" s="50">
        <v>163</v>
      </c>
      <c r="I47" s="50">
        <v>207</v>
      </c>
      <c r="J47" s="43">
        <v>39</v>
      </c>
      <c r="K47" s="51">
        <v>788.4</v>
      </c>
      <c r="L47" s="52">
        <v>657</v>
      </c>
      <c r="M47" s="162">
        <v>50</v>
      </c>
      <c r="N47" s="25">
        <v>394.2</v>
      </c>
      <c r="O47" s="25">
        <f t="shared" si="1"/>
        <v>328.5</v>
      </c>
    </row>
    <row r="48" spans="1:35" s="12" customFormat="1" x14ac:dyDescent="0.25">
      <c r="A48" s="180">
        <v>47</v>
      </c>
      <c r="B48" s="173" t="s">
        <v>98</v>
      </c>
      <c r="C48" s="43" t="s">
        <v>101</v>
      </c>
      <c r="D48" s="32" t="s">
        <v>481</v>
      </c>
      <c r="E48" s="48" t="s">
        <v>102</v>
      </c>
      <c r="F48" s="49" t="s">
        <v>15</v>
      </c>
      <c r="G48" s="43">
        <v>1000</v>
      </c>
      <c r="H48" s="43">
        <v>163</v>
      </c>
      <c r="I48" s="50">
        <v>215</v>
      </c>
      <c r="J48" s="43">
        <v>42</v>
      </c>
      <c r="K48" s="51">
        <v>884.4</v>
      </c>
      <c r="L48" s="52">
        <v>737</v>
      </c>
      <c r="M48" s="162">
        <v>50</v>
      </c>
      <c r="N48" s="25">
        <v>442.2</v>
      </c>
      <c r="O48" s="25">
        <f t="shared" si="1"/>
        <v>368.5</v>
      </c>
    </row>
    <row r="49" spans="1:35" s="12" customFormat="1" ht="30" x14ac:dyDescent="0.25">
      <c r="A49" s="180">
        <v>48</v>
      </c>
      <c r="B49" s="168"/>
      <c r="C49" s="43">
        <v>13803</v>
      </c>
      <c r="D49" s="21" t="s">
        <v>481</v>
      </c>
      <c r="E49" s="22" t="s">
        <v>103</v>
      </c>
      <c r="F49" s="44" t="s">
        <v>15</v>
      </c>
      <c r="G49" s="45">
        <v>1000</v>
      </c>
      <c r="H49" s="45">
        <v>140</v>
      </c>
      <c r="I49" s="45">
        <v>125</v>
      </c>
      <c r="J49" s="45">
        <v>22.7</v>
      </c>
      <c r="K49" s="46">
        <v>951</v>
      </c>
      <c r="L49" s="46">
        <v>792.5</v>
      </c>
      <c r="M49" s="162">
        <v>50</v>
      </c>
      <c r="N49" s="25">
        <v>475.5</v>
      </c>
      <c r="O49" s="25">
        <f t="shared" si="1"/>
        <v>396.25</v>
      </c>
    </row>
    <row r="50" spans="1:35" s="12" customFormat="1" ht="30" x14ac:dyDescent="0.25">
      <c r="A50" s="180">
        <v>49</v>
      </c>
      <c r="B50" s="168"/>
      <c r="C50" s="43" t="s">
        <v>104</v>
      </c>
      <c r="D50" s="21" t="s">
        <v>481</v>
      </c>
      <c r="E50" s="22" t="s">
        <v>105</v>
      </c>
      <c r="F50" s="44" t="s">
        <v>15</v>
      </c>
      <c r="G50" s="45">
        <v>1000</v>
      </c>
      <c r="H50" s="45">
        <v>163</v>
      </c>
      <c r="I50" s="45">
        <v>132</v>
      </c>
      <c r="J50" s="45">
        <v>28.7</v>
      </c>
      <c r="K50" s="46">
        <v>1058</v>
      </c>
      <c r="L50" s="46">
        <v>881.66666666666674</v>
      </c>
      <c r="M50" s="162">
        <v>50</v>
      </c>
      <c r="N50" s="25">
        <v>529</v>
      </c>
      <c r="O50" s="25">
        <f t="shared" si="1"/>
        <v>440.83333333333337</v>
      </c>
    </row>
    <row r="51" spans="1:35" s="12" customFormat="1" ht="30" x14ac:dyDescent="0.25">
      <c r="A51" s="180">
        <v>50</v>
      </c>
      <c r="B51" s="168"/>
      <c r="C51" s="43" t="s">
        <v>106</v>
      </c>
      <c r="D51" s="21" t="s">
        <v>481</v>
      </c>
      <c r="E51" s="22" t="s">
        <v>107</v>
      </c>
      <c r="F51" s="44" t="s">
        <v>15</v>
      </c>
      <c r="G51" s="45">
        <v>1000</v>
      </c>
      <c r="H51" s="45">
        <v>163</v>
      </c>
      <c r="I51" s="45">
        <v>157</v>
      </c>
      <c r="J51" s="45">
        <v>31.7</v>
      </c>
      <c r="K51" s="46">
        <v>1084</v>
      </c>
      <c r="L51" s="46">
        <v>903.33333333333337</v>
      </c>
      <c r="M51" s="162">
        <v>50</v>
      </c>
      <c r="N51" s="25">
        <v>542</v>
      </c>
      <c r="O51" s="25">
        <f t="shared" si="1"/>
        <v>451.66666666666669</v>
      </c>
    </row>
    <row r="52" spans="1:35" s="12" customFormat="1" ht="30" x14ac:dyDescent="0.25">
      <c r="A52" s="180">
        <v>51</v>
      </c>
      <c r="B52" s="168"/>
      <c r="C52" s="43" t="s">
        <v>108</v>
      </c>
      <c r="D52" s="21" t="s">
        <v>481</v>
      </c>
      <c r="E52" s="22" t="s">
        <v>109</v>
      </c>
      <c r="F52" s="44" t="s">
        <v>15</v>
      </c>
      <c r="G52" s="45">
        <v>1000</v>
      </c>
      <c r="H52" s="45">
        <v>163</v>
      </c>
      <c r="I52" s="45">
        <v>182</v>
      </c>
      <c r="J52" s="45">
        <v>34.799999999999997</v>
      </c>
      <c r="K52" s="46">
        <v>1110</v>
      </c>
      <c r="L52" s="46">
        <v>925</v>
      </c>
      <c r="M52" s="162">
        <v>50</v>
      </c>
      <c r="N52" s="25">
        <v>555</v>
      </c>
      <c r="O52" s="25">
        <f t="shared" si="1"/>
        <v>462.5</v>
      </c>
    </row>
    <row r="53" spans="1:35" s="12" customFormat="1" x14ac:dyDescent="0.25">
      <c r="A53" s="180">
        <v>52</v>
      </c>
      <c r="B53" s="173" t="s">
        <v>98</v>
      </c>
      <c r="C53" s="43" t="s">
        <v>110</v>
      </c>
      <c r="D53" s="32" t="s">
        <v>481</v>
      </c>
      <c r="E53" s="48" t="s">
        <v>111</v>
      </c>
      <c r="F53" s="49" t="s">
        <v>15</v>
      </c>
      <c r="G53" s="43">
        <v>1000</v>
      </c>
      <c r="H53" s="43">
        <v>163</v>
      </c>
      <c r="I53" s="50">
        <v>207</v>
      </c>
      <c r="J53" s="43">
        <v>37.9</v>
      </c>
      <c r="K53" s="51">
        <v>1183.2</v>
      </c>
      <c r="L53" s="52">
        <v>986</v>
      </c>
      <c r="M53" s="162">
        <v>50</v>
      </c>
      <c r="N53" s="25">
        <v>591.6</v>
      </c>
      <c r="O53" s="25">
        <f t="shared" si="1"/>
        <v>493.00000000000006</v>
      </c>
    </row>
    <row r="54" spans="1:35" s="12" customFormat="1" x14ac:dyDescent="0.25">
      <c r="A54" s="180">
        <v>53</v>
      </c>
      <c r="B54" s="173" t="s">
        <v>98</v>
      </c>
      <c r="C54" s="43" t="s">
        <v>112</v>
      </c>
      <c r="D54" s="32" t="s">
        <v>481</v>
      </c>
      <c r="E54" s="48" t="s">
        <v>113</v>
      </c>
      <c r="F54" s="49" t="s">
        <v>15</v>
      </c>
      <c r="G54" s="43">
        <v>1000</v>
      </c>
      <c r="H54" s="43">
        <v>163</v>
      </c>
      <c r="I54" s="50">
        <v>215</v>
      </c>
      <c r="J54" s="43">
        <v>41</v>
      </c>
      <c r="K54" s="51">
        <v>1218</v>
      </c>
      <c r="L54" s="52">
        <v>1015</v>
      </c>
      <c r="M54" s="162">
        <v>50</v>
      </c>
      <c r="N54" s="25">
        <v>609</v>
      </c>
      <c r="O54" s="25">
        <f t="shared" si="1"/>
        <v>507.5</v>
      </c>
    </row>
    <row r="55" spans="1:35" s="12" customFormat="1" ht="30" x14ac:dyDescent="0.25">
      <c r="A55" s="180">
        <v>54</v>
      </c>
      <c r="B55" s="168"/>
      <c r="C55" s="43" t="s">
        <v>114</v>
      </c>
      <c r="D55" s="21" t="s">
        <v>481</v>
      </c>
      <c r="E55" s="22" t="s">
        <v>115</v>
      </c>
      <c r="F55" s="44" t="s">
        <v>15</v>
      </c>
      <c r="G55" s="45">
        <v>1000</v>
      </c>
      <c r="H55" s="45">
        <v>163</v>
      </c>
      <c r="I55" s="45">
        <v>137</v>
      </c>
      <c r="J55" s="45">
        <v>30.3</v>
      </c>
      <c r="K55" s="46">
        <v>812</v>
      </c>
      <c r="L55" s="46">
        <v>676.66666666666674</v>
      </c>
      <c r="M55" s="162">
        <v>50</v>
      </c>
      <c r="N55" s="25">
        <v>406</v>
      </c>
      <c r="O55" s="25">
        <f t="shared" si="1"/>
        <v>338.33333333333337</v>
      </c>
    </row>
    <row r="56" spans="1:35" s="13" customFormat="1" ht="30" x14ac:dyDescent="0.25">
      <c r="A56" s="180">
        <v>55</v>
      </c>
      <c r="B56" s="168"/>
      <c r="C56" s="43" t="s">
        <v>116</v>
      </c>
      <c r="D56" s="21" t="s">
        <v>481</v>
      </c>
      <c r="E56" s="22" t="s">
        <v>117</v>
      </c>
      <c r="F56" s="44" t="s">
        <v>15</v>
      </c>
      <c r="G56" s="45">
        <v>1000</v>
      </c>
      <c r="H56" s="45">
        <v>163</v>
      </c>
      <c r="I56" s="45">
        <v>142</v>
      </c>
      <c r="J56" s="45">
        <v>30.9</v>
      </c>
      <c r="K56" s="46">
        <v>812</v>
      </c>
      <c r="L56" s="46">
        <v>676.66666666666674</v>
      </c>
      <c r="M56" s="162">
        <v>50</v>
      </c>
      <c r="N56" s="25">
        <v>406</v>
      </c>
      <c r="O56" s="25">
        <f t="shared" si="1"/>
        <v>338.33333333333337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</row>
    <row r="57" spans="1:35" s="12" customFormat="1" ht="30" x14ac:dyDescent="0.25">
      <c r="A57" s="180">
        <v>56</v>
      </c>
      <c r="B57" s="168"/>
      <c r="C57" s="43" t="s">
        <v>118</v>
      </c>
      <c r="D57" s="21" t="s">
        <v>481</v>
      </c>
      <c r="E57" s="22" t="s">
        <v>119</v>
      </c>
      <c r="F57" s="44" t="s">
        <v>15</v>
      </c>
      <c r="G57" s="45">
        <v>1000</v>
      </c>
      <c r="H57" s="45">
        <v>163</v>
      </c>
      <c r="I57" s="45">
        <v>147</v>
      </c>
      <c r="J57" s="45">
        <v>31.5</v>
      </c>
      <c r="K57" s="46">
        <v>812</v>
      </c>
      <c r="L57" s="46">
        <v>676.66666666666674</v>
      </c>
      <c r="M57" s="162">
        <v>50</v>
      </c>
      <c r="N57" s="25">
        <v>406</v>
      </c>
      <c r="O57" s="25">
        <f t="shared" si="1"/>
        <v>338.33333333333337</v>
      </c>
    </row>
    <row r="58" spans="1:35" s="12" customFormat="1" ht="30" x14ac:dyDescent="0.25">
      <c r="A58" s="180">
        <v>57</v>
      </c>
      <c r="B58" s="168"/>
      <c r="C58" s="43" t="s">
        <v>120</v>
      </c>
      <c r="D58" s="21" t="s">
        <v>481</v>
      </c>
      <c r="E58" s="22" t="s">
        <v>121</v>
      </c>
      <c r="F58" s="44" t="s">
        <v>15</v>
      </c>
      <c r="G58" s="45">
        <v>1000</v>
      </c>
      <c r="H58" s="45">
        <v>163</v>
      </c>
      <c r="I58" s="45">
        <v>152</v>
      </c>
      <c r="J58" s="45">
        <v>32.1</v>
      </c>
      <c r="K58" s="46">
        <v>812</v>
      </c>
      <c r="L58" s="46">
        <v>676.66666666666674</v>
      </c>
      <c r="M58" s="162">
        <v>50</v>
      </c>
      <c r="N58" s="25">
        <v>406</v>
      </c>
      <c r="O58" s="25">
        <f t="shared" si="1"/>
        <v>338.33333333333337</v>
      </c>
    </row>
    <row r="59" spans="1:35" s="13" customFormat="1" ht="30" x14ac:dyDescent="0.25">
      <c r="A59" s="180">
        <v>58</v>
      </c>
      <c r="B59" s="168"/>
      <c r="C59" s="43" t="s">
        <v>122</v>
      </c>
      <c r="D59" s="21" t="s">
        <v>481</v>
      </c>
      <c r="E59" s="22" t="s">
        <v>123</v>
      </c>
      <c r="F59" s="44" t="s">
        <v>15</v>
      </c>
      <c r="G59" s="45">
        <v>1000</v>
      </c>
      <c r="H59" s="45">
        <v>163</v>
      </c>
      <c r="I59" s="45">
        <v>157</v>
      </c>
      <c r="J59" s="45">
        <v>32.700000000000003</v>
      </c>
      <c r="K59" s="46">
        <v>812</v>
      </c>
      <c r="L59" s="46">
        <v>676.66666666666674</v>
      </c>
      <c r="M59" s="162">
        <v>50</v>
      </c>
      <c r="N59" s="25">
        <v>406</v>
      </c>
      <c r="O59" s="25">
        <f t="shared" si="1"/>
        <v>338.33333333333337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</row>
    <row r="60" spans="1:35" s="12" customFormat="1" ht="30" x14ac:dyDescent="0.25">
      <c r="A60" s="180">
        <v>59</v>
      </c>
      <c r="B60" s="168"/>
      <c r="C60" s="43" t="s">
        <v>124</v>
      </c>
      <c r="D60" s="21" t="s">
        <v>481</v>
      </c>
      <c r="E60" s="22" t="s">
        <v>125</v>
      </c>
      <c r="F60" s="44" t="s">
        <v>15</v>
      </c>
      <c r="G60" s="45">
        <v>1000</v>
      </c>
      <c r="H60" s="45">
        <v>163</v>
      </c>
      <c r="I60" s="45">
        <v>162</v>
      </c>
      <c r="J60" s="45">
        <v>33.299999999999997</v>
      </c>
      <c r="K60" s="46">
        <v>812</v>
      </c>
      <c r="L60" s="46">
        <v>676.66666666666674</v>
      </c>
      <c r="M60" s="162">
        <v>50</v>
      </c>
      <c r="N60" s="25">
        <v>406</v>
      </c>
      <c r="O60" s="25">
        <f t="shared" si="1"/>
        <v>338.33333333333337</v>
      </c>
    </row>
    <row r="61" spans="1:35" s="13" customFormat="1" ht="30" x14ac:dyDescent="0.25">
      <c r="A61" s="180">
        <v>60</v>
      </c>
      <c r="B61" s="168"/>
      <c r="C61" s="43" t="s">
        <v>126</v>
      </c>
      <c r="D61" s="21" t="s">
        <v>481</v>
      </c>
      <c r="E61" s="22" t="s">
        <v>127</v>
      </c>
      <c r="F61" s="44" t="s">
        <v>15</v>
      </c>
      <c r="G61" s="45">
        <v>1000</v>
      </c>
      <c r="H61" s="45">
        <v>163</v>
      </c>
      <c r="I61" s="45">
        <v>167</v>
      </c>
      <c r="J61" s="45">
        <v>33.9</v>
      </c>
      <c r="K61" s="46">
        <v>812</v>
      </c>
      <c r="L61" s="46">
        <v>676.66666666666674</v>
      </c>
      <c r="M61" s="162">
        <v>50</v>
      </c>
      <c r="N61" s="25">
        <v>406</v>
      </c>
      <c r="O61" s="25">
        <f t="shared" si="1"/>
        <v>338.33333333333337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</row>
    <row r="62" spans="1:35" s="12" customFormat="1" ht="30" x14ac:dyDescent="0.25">
      <c r="A62" s="180">
        <v>61</v>
      </c>
      <c r="B62" s="168"/>
      <c r="C62" s="43" t="s">
        <v>128</v>
      </c>
      <c r="D62" s="21" t="s">
        <v>481</v>
      </c>
      <c r="E62" s="22" t="s">
        <v>129</v>
      </c>
      <c r="F62" s="44" t="s">
        <v>15</v>
      </c>
      <c r="G62" s="45">
        <v>1000</v>
      </c>
      <c r="H62" s="45">
        <v>163</v>
      </c>
      <c r="I62" s="45">
        <v>172</v>
      </c>
      <c r="J62" s="45">
        <v>34.5</v>
      </c>
      <c r="K62" s="46">
        <v>812</v>
      </c>
      <c r="L62" s="46">
        <v>676.66666666666674</v>
      </c>
      <c r="M62" s="162">
        <v>50</v>
      </c>
      <c r="N62" s="25">
        <v>406</v>
      </c>
      <c r="O62" s="25">
        <f t="shared" si="1"/>
        <v>338.33333333333337</v>
      </c>
    </row>
    <row r="63" spans="1:35" s="12" customFormat="1" ht="30" x14ac:dyDescent="0.25">
      <c r="A63" s="180">
        <v>62</v>
      </c>
      <c r="B63" s="168"/>
      <c r="C63" s="43" t="s">
        <v>130</v>
      </c>
      <c r="D63" s="21" t="s">
        <v>481</v>
      </c>
      <c r="E63" s="22" t="s">
        <v>131</v>
      </c>
      <c r="F63" s="44" t="s">
        <v>15</v>
      </c>
      <c r="G63" s="45">
        <v>1000</v>
      </c>
      <c r="H63" s="45">
        <v>163</v>
      </c>
      <c r="I63" s="45">
        <v>177</v>
      </c>
      <c r="J63" s="45">
        <v>35.1</v>
      </c>
      <c r="K63" s="46">
        <v>812</v>
      </c>
      <c r="L63" s="46">
        <v>676.66666666666674</v>
      </c>
      <c r="M63" s="162">
        <v>50</v>
      </c>
      <c r="N63" s="25">
        <v>406</v>
      </c>
      <c r="O63" s="25">
        <f t="shared" si="1"/>
        <v>338.33333333333337</v>
      </c>
    </row>
    <row r="64" spans="1:35" s="12" customFormat="1" ht="30" x14ac:dyDescent="0.25">
      <c r="A64" s="180">
        <v>63</v>
      </c>
      <c r="B64" s="168"/>
      <c r="C64" s="43" t="s">
        <v>132</v>
      </c>
      <c r="D64" s="21" t="s">
        <v>481</v>
      </c>
      <c r="E64" s="22" t="s">
        <v>133</v>
      </c>
      <c r="F64" s="44" t="s">
        <v>15</v>
      </c>
      <c r="G64" s="45">
        <v>1000</v>
      </c>
      <c r="H64" s="45">
        <v>163</v>
      </c>
      <c r="I64" s="45">
        <v>182</v>
      </c>
      <c r="J64" s="45">
        <v>35.700000000000003</v>
      </c>
      <c r="K64" s="46">
        <v>812</v>
      </c>
      <c r="L64" s="46">
        <v>676.66666666666674</v>
      </c>
      <c r="M64" s="162">
        <v>50</v>
      </c>
      <c r="N64" s="25">
        <v>406</v>
      </c>
      <c r="O64" s="25">
        <f t="shared" si="1"/>
        <v>338.33333333333337</v>
      </c>
    </row>
    <row r="65" spans="1:35" s="12" customFormat="1" x14ac:dyDescent="0.25">
      <c r="A65" s="180">
        <v>64</v>
      </c>
      <c r="B65" s="173" t="s">
        <v>98</v>
      </c>
      <c r="C65" s="43" t="s">
        <v>134</v>
      </c>
      <c r="D65" s="32" t="s">
        <v>481</v>
      </c>
      <c r="E65" s="48" t="s">
        <v>135</v>
      </c>
      <c r="F65" s="49" t="s">
        <v>15</v>
      </c>
      <c r="G65" s="43">
        <v>1000</v>
      </c>
      <c r="H65" s="43">
        <v>163</v>
      </c>
      <c r="I65" s="50">
        <v>187</v>
      </c>
      <c r="J65" s="43">
        <v>36.299999999999997</v>
      </c>
      <c r="K65" s="51">
        <v>828</v>
      </c>
      <c r="L65" s="52">
        <v>690</v>
      </c>
      <c r="M65" s="162">
        <v>50</v>
      </c>
      <c r="N65" s="25">
        <v>414</v>
      </c>
      <c r="O65" s="25">
        <f t="shared" si="1"/>
        <v>345</v>
      </c>
    </row>
    <row r="66" spans="1:35" s="12" customFormat="1" x14ac:dyDescent="0.25">
      <c r="A66" s="180">
        <v>65</v>
      </c>
      <c r="B66" s="173" t="s">
        <v>98</v>
      </c>
      <c r="C66" s="43" t="s">
        <v>136</v>
      </c>
      <c r="D66" s="32" t="s">
        <v>481</v>
      </c>
      <c r="E66" s="48" t="s">
        <v>137</v>
      </c>
      <c r="F66" s="49" t="s">
        <v>15</v>
      </c>
      <c r="G66" s="43">
        <v>1000</v>
      </c>
      <c r="H66" s="43">
        <v>163</v>
      </c>
      <c r="I66" s="50">
        <v>192</v>
      </c>
      <c r="J66" s="43">
        <v>36.9</v>
      </c>
      <c r="K66" s="51">
        <v>828</v>
      </c>
      <c r="L66" s="52">
        <v>690</v>
      </c>
      <c r="M66" s="162">
        <v>50</v>
      </c>
      <c r="N66" s="25">
        <v>414</v>
      </c>
      <c r="O66" s="25">
        <f t="shared" ref="O66:O97" si="2">N66/1.2</f>
        <v>345</v>
      </c>
    </row>
    <row r="67" spans="1:35" s="12" customFormat="1" x14ac:dyDescent="0.25">
      <c r="A67" s="180">
        <v>66</v>
      </c>
      <c r="B67" s="173" t="s">
        <v>98</v>
      </c>
      <c r="C67" s="43" t="s">
        <v>138</v>
      </c>
      <c r="D67" s="32" t="s">
        <v>481</v>
      </c>
      <c r="E67" s="48" t="s">
        <v>139</v>
      </c>
      <c r="F67" s="49" t="s">
        <v>15</v>
      </c>
      <c r="G67" s="43">
        <v>1000</v>
      </c>
      <c r="H67" s="43">
        <v>163</v>
      </c>
      <c r="I67" s="50">
        <v>197</v>
      </c>
      <c r="J67" s="43">
        <v>37.5</v>
      </c>
      <c r="K67" s="51">
        <v>828</v>
      </c>
      <c r="L67" s="52">
        <v>690</v>
      </c>
      <c r="M67" s="162">
        <v>50</v>
      </c>
      <c r="N67" s="25">
        <v>414</v>
      </c>
      <c r="O67" s="25">
        <f t="shared" si="2"/>
        <v>345</v>
      </c>
    </row>
    <row r="68" spans="1:35" s="12" customFormat="1" x14ac:dyDescent="0.25">
      <c r="A68" s="180">
        <v>67</v>
      </c>
      <c r="B68" s="173" t="s">
        <v>98</v>
      </c>
      <c r="C68" s="43" t="s">
        <v>140</v>
      </c>
      <c r="D68" s="32" t="s">
        <v>481</v>
      </c>
      <c r="E68" s="48" t="s">
        <v>141</v>
      </c>
      <c r="F68" s="49" t="s">
        <v>15</v>
      </c>
      <c r="G68" s="43">
        <v>1000</v>
      </c>
      <c r="H68" s="43">
        <v>163</v>
      </c>
      <c r="I68" s="50">
        <v>202</v>
      </c>
      <c r="J68" s="43">
        <v>38.1</v>
      </c>
      <c r="K68" s="51">
        <v>828</v>
      </c>
      <c r="L68" s="52">
        <v>690</v>
      </c>
      <c r="M68" s="162">
        <v>50</v>
      </c>
      <c r="N68" s="25">
        <v>414</v>
      </c>
      <c r="O68" s="25">
        <f t="shared" si="2"/>
        <v>345</v>
      </c>
    </row>
    <row r="69" spans="1:35" s="12" customFormat="1" x14ac:dyDescent="0.25">
      <c r="A69" s="180">
        <v>68</v>
      </c>
      <c r="B69" s="173" t="s">
        <v>98</v>
      </c>
      <c r="C69" s="43" t="s">
        <v>142</v>
      </c>
      <c r="D69" s="32" t="s">
        <v>481</v>
      </c>
      <c r="E69" s="48" t="s">
        <v>143</v>
      </c>
      <c r="F69" s="49" t="s">
        <v>15</v>
      </c>
      <c r="G69" s="43">
        <v>1000</v>
      </c>
      <c r="H69" s="43">
        <v>163</v>
      </c>
      <c r="I69" s="50">
        <v>207</v>
      </c>
      <c r="J69" s="43">
        <v>38.700000000000003</v>
      </c>
      <c r="K69" s="51">
        <v>828</v>
      </c>
      <c r="L69" s="52">
        <v>690</v>
      </c>
      <c r="M69" s="162">
        <v>50</v>
      </c>
      <c r="N69" s="25">
        <v>414</v>
      </c>
      <c r="O69" s="25">
        <f t="shared" si="2"/>
        <v>345</v>
      </c>
    </row>
    <row r="70" spans="1:35" s="13" customFormat="1" x14ac:dyDescent="0.25">
      <c r="A70" s="180">
        <v>69</v>
      </c>
      <c r="B70" s="174" t="s">
        <v>154</v>
      </c>
      <c r="C70" s="58">
        <v>10110000</v>
      </c>
      <c r="D70" s="59" t="s">
        <v>481</v>
      </c>
      <c r="E70" s="60" t="s">
        <v>155</v>
      </c>
      <c r="F70" s="61" t="s">
        <v>15</v>
      </c>
      <c r="G70" s="59">
        <v>1000</v>
      </c>
      <c r="H70" s="59">
        <v>126</v>
      </c>
      <c r="I70" s="59">
        <v>55</v>
      </c>
      <c r="J70" s="59">
        <v>7.7</v>
      </c>
      <c r="K70" s="62">
        <v>1369.97</v>
      </c>
      <c r="L70" s="62">
        <v>1141.6416666666667</v>
      </c>
      <c r="M70" s="163">
        <v>25</v>
      </c>
      <c r="N70" s="62">
        <v>1027.4775</v>
      </c>
      <c r="O70" s="62">
        <f t="shared" si="2"/>
        <v>856.23125000000005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</row>
    <row r="71" spans="1:35" s="13" customFormat="1" x14ac:dyDescent="0.25">
      <c r="A71" s="180">
        <v>70</v>
      </c>
      <c r="B71" s="174" t="s">
        <v>154</v>
      </c>
      <c r="C71" s="58">
        <v>10311000</v>
      </c>
      <c r="D71" s="59" t="s">
        <v>481</v>
      </c>
      <c r="E71" s="60" t="s">
        <v>156</v>
      </c>
      <c r="F71" s="61" t="s">
        <v>15</v>
      </c>
      <c r="G71" s="59">
        <v>1000</v>
      </c>
      <c r="H71" s="59">
        <v>126</v>
      </c>
      <c r="I71" s="59">
        <v>115</v>
      </c>
      <c r="J71" s="59">
        <v>10.7</v>
      </c>
      <c r="K71" s="62">
        <v>1645.98</v>
      </c>
      <c r="L71" s="62">
        <v>1371.65</v>
      </c>
      <c r="M71" s="163">
        <v>25</v>
      </c>
      <c r="N71" s="62">
        <v>1234.4850000000001</v>
      </c>
      <c r="O71" s="62">
        <f t="shared" si="2"/>
        <v>1028.7375000000002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</row>
    <row r="72" spans="1:35" s="13" customFormat="1" x14ac:dyDescent="0.25">
      <c r="A72" s="180">
        <v>71</v>
      </c>
      <c r="B72" s="174" t="s">
        <v>154</v>
      </c>
      <c r="C72" s="58">
        <v>10311061</v>
      </c>
      <c r="D72" s="59" t="s">
        <v>481</v>
      </c>
      <c r="E72" s="60" t="s">
        <v>157</v>
      </c>
      <c r="F72" s="61" t="s">
        <v>15</v>
      </c>
      <c r="G72" s="59">
        <v>1000</v>
      </c>
      <c r="H72" s="59">
        <v>126</v>
      </c>
      <c r="I72" s="59">
        <v>140</v>
      </c>
      <c r="J72" s="59">
        <v>13.4</v>
      </c>
      <c r="K72" s="62">
        <v>2135.21</v>
      </c>
      <c r="L72" s="62">
        <v>1779.3416666666667</v>
      </c>
      <c r="M72" s="163">
        <v>25</v>
      </c>
      <c r="N72" s="62">
        <v>1601.4075</v>
      </c>
      <c r="O72" s="62">
        <f t="shared" si="2"/>
        <v>1334.5062500000001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</row>
    <row r="73" spans="1:35" s="13" customFormat="1" x14ac:dyDescent="0.25">
      <c r="A73" s="180">
        <v>72</v>
      </c>
      <c r="B73" s="174" t="s">
        <v>154</v>
      </c>
      <c r="C73" s="58">
        <v>10311062</v>
      </c>
      <c r="D73" s="59" t="s">
        <v>481</v>
      </c>
      <c r="E73" s="60" t="s">
        <v>158</v>
      </c>
      <c r="F73" s="61" t="s">
        <v>15</v>
      </c>
      <c r="G73" s="59">
        <v>1000</v>
      </c>
      <c r="H73" s="59">
        <v>126</v>
      </c>
      <c r="I73" s="59">
        <v>165</v>
      </c>
      <c r="J73" s="59">
        <v>16</v>
      </c>
      <c r="K73" s="62">
        <v>2528.44</v>
      </c>
      <c r="L73" s="62">
        <v>2107.0333333333333</v>
      </c>
      <c r="M73" s="163">
        <v>25</v>
      </c>
      <c r="N73" s="62">
        <v>1896.33</v>
      </c>
      <c r="O73" s="62">
        <f t="shared" si="2"/>
        <v>1580.2750000000001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</row>
    <row r="74" spans="1:35" s="13" customFormat="1" x14ac:dyDescent="0.25">
      <c r="A74" s="180">
        <v>73</v>
      </c>
      <c r="B74" s="175" t="s">
        <v>154</v>
      </c>
      <c r="C74" s="58">
        <v>12515000</v>
      </c>
      <c r="D74" s="66" t="s">
        <v>163</v>
      </c>
      <c r="E74" s="67" t="s">
        <v>164</v>
      </c>
      <c r="F74" s="68" t="s">
        <v>165</v>
      </c>
      <c r="G74" s="66">
        <v>1000</v>
      </c>
      <c r="H74" s="66">
        <v>150</v>
      </c>
      <c r="I74" s="66">
        <v>50</v>
      </c>
      <c r="J74" s="66">
        <v>12.1</v>
      </c>
      <c r="K74" s="62">
        <v>2150.0039999999999</v>
      </c>
      <c r="L74" s="69">
        <v>1791.67</v>
      </c>
      <c r="M74" s="163">
        <v>25</v>
      </c>
      <c r="N74" s="62">
        <v>1612.5029999999999</v>
      </c>
      <c r="O74" s="62">
        <f t="shared" si="2"/>
        <v>1343.7525000000001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</row>
    <row r="75" spans="1:35" s="13" customFormat="1" x14ac:dyDescent="0.25">
      <c r="A75" s="180">
        <v>74</v>
      </c>
      <c r="B75" s="175" t="s">
        <v>154</v>
      </c>
      <c r="C75" s="58">
        <v>12515070</v>
      </c>
      <c r="D75" s="66" t="s">
        <v>163</v>
      </c>
      <c r="E75" s="67" t="s">
        <v>166</v>
      </c>
      <c r="F75" s="68" t="s">
        <v>165</v>
      </c>
      <c r="G75" s="66">
        <v>1000</v>
      </c>
      <c r="H75" s="66">
        <v>150</v>
      </c>
      <c r="I75" s="66">
        <v>50</v>
      </c>
      <c r="J75" s="66">
        <v>11.8</v>
      </c>
      <c r="K75" s="62">
        <v>2379.9959999999996</v>
      </c>
      <c r="L75" s="69">
        <v>1983.33</v>
      </c>
      <c r="M75" s="163">
        <v>25</v>
      </c>
      <c r="N75" s="62">
        <v>1784.9969999999998</v>
      </c>
      <c r="O75" s="62">
        <f t="shared" si="2"/>
        <v>1487.4974999999999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</row>
    <row r="76" spans="1:35" s="13" customFormat="1" x14ac:dyDescent="0.25">
      <c r="A76" s="180">
        <v>75</v>
      </c>
      <c r="B76" s="175" t="s">
        <v>154</v>
      </c>
      <c r="C76" s="58">
        <v>12530000</v>
      </c>
      <c r="D76" s="66" t="s">
        <v>163</v>
      </c>
      <c r="E76" s="67" t="s">
        <v>171</v>
      </c>
      <c r="F76" s="68" t="s">
        <v>47</v>
      </c>
      <c r="G76" s="66">
        <v>1000</v>
      </c>
      <c r="H76" s="66">
        <v>300</v>
      </c>
      <c r="I76" s="66">
        <v>50</v>
      </c>
      <c r="J76" s="66">
        <v>25.3</v>
      </c>
      <c r="K76" s="62">
        <v>3750</v>
      </c>
      <c r="L76" s="69">
        <v>3125</v>
      </c>
      <c r="M76" s="163">
        <v>25</v>
      </c>
      <c r="N76" s="62">
        <v>2812.5</v>
      </c>
      <c r="O76" s="62">
        <f t="shared" si="2"/>
        <v>2343.75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</row>
    <row r="77" spans="1:35" s="12" customFormat="1" x14ac:dyDescent="0.25">
      <c r="A77" s="180">
        <v>76</v>
      </c>
      <c r="B77" s="176"/>
      <c r="C77" s="43">
        <v>705</v>
      </c>
      <c r="D77" s="21" t="s">
        <v>481</v>
      </c>
      <c r="E77" s="71" t="s">
        <v>172</v>
      </c>
      <c r="F77" s="23" t="s">
        <v>15</v>
      </c>
      <c r="G77" s="21">
        <v>1000</v>
      </c>
      <c r="H77" s="21">
        <v>140</v>
      </c>
      <c r="I77" s="21">
        <v>125</v>
      </c>
      <c r="J77" s="21">
        <v>10.5</v>
      </c>
      <c r="K77" s="25">
        <v>545</v>
      </c>
      <c r="L77" s="25">
        <v>454.16666666666669</v>
      </c>
      <c r="M77" s="162">
        <v>45</v>
      </c>
      <c r="N77" s="25">
        <v>299.75</v>
      </c>
      <c r="O77" s="25">
        <f t="shared" si="2"/>
        <v>249.79166666666669</v>
      </c>
    </row>
    <row r="78" spans="1:35" s="12" customFormat="1" x14ac:dyDescent="0.25">
      <c r="A78" s="180">
        <v>77</v>
      </c>
      <c r="B78" s="176"/>
      <c r="C78" s="43">
        <v>703</v>
      </c>
      <c r="D78" s="21" t="s">
        <v>481</v>
      </c>
      <c r="E78" s="71" t="s">
        <v>173</v>
      </c>
      <c r="F78" s="23" t="s">
        <v>15</v>
      </c>
      <c r="G78" s="21">
        <v>1000</v>
      </c>
      <c r="H78" s="21">
        <v>140</v>
      </c>
      <c r="I78" s="21">
        <v>65</v>
      </c>
      <c r="J78" s="21">
        <v>6</v>
      </c>
      <c r="K78" s="25">
        <v>492</v>
      </c>
      <c r="L78" s="25">
        <v>410</v>
      </c>
      <c r="M78" s="162">
        <v>45</v>
      </c>
      <c r="N78" s="25">
        <v>270.60000000000002</v>
      </c>
      <c r="O78" s="25">
        <f t="shared" si="2"/>
        <v>225.50000000000003</v>
      </c>
    </row>
    <row r="79" spans="1:35" s="13" customFormat="1" ht="30" x14ac:dyDescent="0.25">
      <c r="A79" s="180">
        <v>78</v>
      </c>
      <c r="B79" s="177" t="s">
        <v>191</v>
      </c>
      <c r="C79" s="78" t="s">
        <v>192</v>
      </c>
      <c r="D79" s="79" t="s">
        <v>479</v>
      </c>
      <c r="E79" s="80" t="s">
        <v>193</v>
      </c>
      <c r="F79" s="81" t="s">
        <v>15</v>
      </c>
      <c r="G79" s="79">
        <v>1000</v>
      </c>
      <c r="H79" s="79">
        <v>146</v>
      </c>
      <c r="I79" s="79">
        <v>84</v>
      </c>
      <c r="J79" s="79" t="s">
        <v>194</v>
      </c>
      <c r="K79" s="82">
        <v>2168</v>
      </c>
      <c r="L79" s="82">
        <v>1806.6666666666667</v>
      </c>
      <c r="M79" s="164">
        <v>0</v>
      </c>
      <c r="N79" s="82">
        <v>2168</v>
      </c>
      <c r="O79" s="82">
        <f t="shared" si="2"/>
        <v>1806.6666666666667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</row>
    <row r="80" spans="1:35" s="76" customFormat="1" ht="30" x14ac:dyDescent="0.25">
      <c r="A80" s="180">
        <v>79</v>
      </c>
      <c r="B80" s="177" t="s">
        <v>191</v>
      </c>
      <c r="C80" s="78" t="s">
        <v>195</v>
      </c>
      <c r="D80" s="79" t="s">
        <v>479</v>
      </c>
      <c r="E80" s="84" t="s">
        <v>196</v>
      </c>
      <c r="F80" s="81" t="s">
        <v>15</v>
      </c>
      <c r="G80" s="79">
        <v>1000</v>
      </c>
      <c r="H80" s="79">
        <v>146</v>
      </c>
      <c r="I80" s="79">
        <v>104</v>
      </c>
      <c r="J80" s="79" t="s">
        <v>197</v>
      </c>
      <c r="K80" s="82">
        <v>2189</v>
      </c>
      <c r="L80" s="82">
        <v>1824.1666666666667</v>
      </c>
      <c r="M80" s="164">
        <v>0</v>
      </c>
      <c r="N80" s="82">
        <v>2189</v>
      </c>
      <c r="O80" s="82">
        <f t="shared" si="2"/>
        <v>1824.1666666666667</v>
      </c>
    </row>
    <row r="81" spans="1:35" s="13" customFormat="1" ht="30" x14ac:dyDescent="0.25">
      <c r="A81" s="180">
        <v>80</v>
      </c>
      <c r="B81" s="177" t="s">
        <v>191</v>
      </c>
      <c r="C81" s="78" t="s">
        <v>198</v>
      </c>
      <c r="D81" s="79" t="s">
        <v>479</v>
      </c>
      <c r="E81" s="80" t="s">
        <v>199</v>
      </c>
      <c r="F81" s="81" t="s">
        <v>15</v>
      </c>
      <c r="G81" s="79">
        <v>1000</v>
      </c>
      <c r="H81" s="79">
        <v>146</v>
      </c>
      <c r="I81" s="79">
        <v>124</v>
      </c>
      <c r="J81" s="79" t="s">
        <v>200</v>
      </c>
      <c r="K81" s="82">
        <v>2222</v>
      </c>
      <c r="L81" s="82">
        <v>1851.6666666666667</v>
      </c>
      <c r="M81" s="164">
        <v>0</v>
      </c>
      <c r="N81" s="82">
        <v>2222</v>
      </c>
      <c r="O81" s="82">
        <f t="shared" si="2"/>
        <v>1851.6666666666667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</row>
    <row r="82" spans="1:35" s="12" customFormat="1" ht="30" x14ac:dyDescent="0.25">
      <c r="A82" s="180">
        <v>81</v>
      </c>
      <c r="B82" s="177" t="s">
        <v>191</v>
      </c>
      <c r="C82" s="78" t="s">
        <v>201</v>
      </c>
      <c r="D82" s="79" t="s">
        <v>479</v>
      </c>
      <c r="E82" s="85" t="s">
        <v>202</v>
      </c>
      <c r="F82" s="81" t="s">
        <v>15</v>
      </c>
      <c r="G82" s="79">
        <v>1000</v>
      </c>
      <c r="H82" s="79">
        <v>146</v>
      </c>
      <c r="I82" s="79">
        <v>139</v>
      </c>
      <c r="J82" s="79" t="s">
        <v>203</v>
      </c>
      <c r="K82" s="82">
        <v>2280</v>
      </c>
      <c r="L82" s="82">
        <v>1900</v>
      </c>
      <c r="M82" s="164">
        <v>0</v>
      </c>
      <c r="N82" s="82">
        <v>2280</v>
      </c>
      <c r="O82" s="82">
        <f t="shared" si="2"/>
        <v>1900</v>
      </c>
    </row>
    <row r="83" spans="1:35" s="13" customFormat="1" ht="30" x14ac:dyDescent="0.25">
      <c r="A83" s="180">
        <v>82</v>
      </c>
      <c r="B83" s="177" t="s">
        <v>191</v>
      </c>
      <c r="C83" s="78" t="s">
        <v>204</v>
      </c>
      <c r="D83" s="79" t="s">
        <v>479</v>
      </c>
      <c r="E83" s="85" t="s">
        <v>205</v>
      </c>
      <c r="F83" s="81" t="s">
        <v>15</v>
      </c>
      <c r="G83" s="79">
        <v>1000</v>
      </c>
      <c r="H83" s="79">
        <v>146</v>
      </c>
      <c r="I83" s="79">
        <v>189</v>
      </c>
      <c r="J83" s="79" t="s">
        <v>206</v>
      </c>
      <c r="K83" s="82">
        <v>2366</v>
      </c>
      <c r="L83" s="82">
        <v>1971.6666666666667</v>
      </c>
      <c r="M83" s="164">
        <v>0</v>
      </c>
      <c r="N83" s="82">
        <v>2366</v>
      </c>
      <c r="O83" s="82">
        <f t="shared" si="2"/>
        <v>1971.6666666666667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</row>
    <row r="84" spans="1:35" s="72" customFormat="1" collapsed="1" x14ac:dyDescent="0.25">
      <c r="A84" s="180">
        <v>83</v>
      </c>
      <c r="B84" s="178"/>
      <c r="C84" s="32" t="s">
        <v>214</v>
      </c>
      <c r="D84" s="21" t="s">
        <v>481</v>
      </c>
      <c r="E84" s="22" t="s">
        <v>215</v>
      </c>
      <c r="F84" s="23" t="s">
        <v>15</v>
      </c>
      <c r="G84" s="21">
        <v>1000</v>
      </c>
      <c r="H84" s="21">
        <v>146</v>
      </c>
      <c r="I84" s="21">
        <v>80</v>
      </c>
      <c r="J84" s="21">
        <v>1.1000000000000001</v>
      </c>
      <c r="K84" s="25">
        <v>470</v>
      </c>
      <c r="L84" s="25">
        <v>391.66666666666669</v>
      </c>
      <c r="M84" s="162">
        <v>55.000000000000007</v>
      </c>
      <c r="N84" s="25">
        <v>211.5</v>
      </c>
      <c r="O84" s="25">
        <f t="shared" si="2"/>
        <v>176.25</v>
      </c>
    </row>
    <row r="85" spans="1:35" s="72" customFormat="1" collapsed="1" x14ac:dyDescent="0.25">
      <c r="A85" s="180">
        <v>84</v>
      </c>
      <c r="B85" s="178"/>
      <c r="C85" s="32" t="s">
        <v>216</v>
      </c>
      <c r="D85" s="21" t="s">
        <v>481</v>
      </c>
      <c r="E85" s="22" t="s">
        <v>217</v>
      </c>
      <c r="F85" s="23" t="s">
        <v>15</v>
      </c>
      <c r="G85" s="21">
        <v>1000</v>
      </c>
      <c r="H85" s="21">
        <v>146</v>
      </c>
      <c r="I85" s="21">
        <v>117</v>
      </c>
      <c r="J85" s="21">
        <v>1.4</v>
      </c>
      <c r="K85" s="25">
        <v>556</v>
      </c>
      <c r="L85" s="25">
        <v>463.33333333333337</v>
      </c>
      <c r="M85" s="162">
        <v>55.000000000000007</v>
      </c>
      <c r="N85" s="25">
        <v>250.2</v>
      </c>
      <c r="O85" s="25">
        <f t="shared" si="2"/>
        <v>208.5</v>
      </c>
    </row>
    <row r="86" spans="1:35" s="72" customFormat="1" collapsed="1" x14ac:dyDescent="0.25">
      <c r="A86" s="180">
        <v>85</v>
      </c>
      <c r="B86" s="178"/>
      <c r="C86" s="32" t="s">
        <v>218</v>
      </c>
      <c r="D86" s="21" t="s">
        <v>481</v>
      </c>
      <c r="E86" s="22" t="s">
        <v>219</v>
      </c>
      <c r="F86" s="23" t="s">
        <v>15</v>
      </c>
      <c r="G86" s="21">
        <v>1000</v>
      </c>
      <c r="H86" s="21">
        <v>146</v>
      </c>
      <c r="I86" s="21">
        <v>152</v>
      </c>
      <c r="J86" s="21">
        <v>1.7</v>
      </c>
      <c r="K86" s="25">
        <v>647</v>
      </c>
      <c r="L86" s="25">
        <v>539.16666666666674</v>
      </c>
      <c r="M86" s="162">
        <v>55.000000000000007</v>
      </c>
      <c r="N86" s="25">
        <v>291.14999999999998</v>
      </c>
      <c r="O86" s="25">
        <f t="shared" si="2"/>
        <v>242.625</v>
      </c>
    </row>
    <row r="87" spans="1:35" s="27" customFormat="1" x14ac:dyDescent="0.25">
      <c r="A87" s="180">
        <v>86</v>
      </c>
      <c r="B87" s="171"/>
      <c r="C87" s="32" t="s">
        <v>225</v>
      </c>
      <c r="D87" s="21" t="s">
        <v>482</v>
      </c>
      <c r="E87" s="22" t="s">
        <v>227</v>
      </c>
      <c r="F87" s="23" t="s">
        <v>15</v>
      </c>
      <c r="G87" s="21">
        <v>1000</v>
      </c>
      <c r="H87" s="21">
        <v>149</v>
      </c>
      <c r="I87" s="21">
        <v>81.5</v>
      </c>
      <c r="J87" s="21">
        <v>3</v>
      </c>
      <c r="K87" s="25">
        <v>1090</v>
      </c>
      <c r="L87" s="25">
        <v>908.33333333333337</v>
      </c>
      <c r="M87" s="162">
        <v>40</v>
      </c>
      <c r="N87" s="25">
        <v>654</v>
      </c>
      <c r="O87" s="25">
        <f t="shared" si="2"/>
        <v>545</v>
      </c>
    </row>
    <row r="88" spans="1:35" s="27" customFormat="1" x14ac:dyDescent="0.25">
      <c r="A88" s="180">
        <v>87</v>
      </c>
      <c r="B88" s="171"/>
      <c r="C88" s="20" t="s">
        <v>228</v>
      </c>
      <c r="D88" s="21" t="s">
        <v>482</v>
      </c>
      <c r="E88" s="22" t="s">
        <v>229</v>
      </c>
      <c r="F88" s="23" t="s">
        <v>15</v>
      </c>
      <c r="G88" s="21">
        <v>1000</v>
      </c>
      <c r="H88" s="21">
        <v>149</v>
      </c>
      <c r="I88" s="21">
        <v>98.5</v>
      </c>
      <c r="J88" s="21">
        <v>3.2</v>
      </c>
      <c r="K88" s="25">
        <v>1159</v>
      </c>
      <c r="L88" s="25">
        <v>965.83333333333337</v>
      </c>
      <c r="M88" s="162">
        <v>40</v>
      </c>
      <c r="N88" s="25">
        <v>695.4</v>
      </c>
      <c r="O88" s="25">
        <f t="shared" si="2"/>
        <v>579.5</v>
      </c>
    </row>
    <row r="89" spans="1:35" s="27" customFormat="1" x14ac:dyDescent="0.25">
      <c r="A89" s="180">
        <v>88</v>
      </c>
      <c r="B89" s="171"/>
      <c r="C89" s="20" t="s">
        <v>230</v>
      </c>
      <c r="D89" s="21" t="s">
        <v>482</v>
      </c>
      <c r="E89" s="22" t="s">
        <v>231</v>
      </c>
      <c r="F89" s="23" t="s">
        <v>15</v>
      </c>
      <c r="G89" s="21">
        <v>1000</v>
      </c>
      <c r="H89" s="21">
        <v>149</v>
      </c>
      <c r="I89" s="21">
        <v>118.5</v>
      </c>
      <c r="J89" s="21">
        <v>3.32</v>
      </c>
      <c r="K89" s="25">
        <v>1234</v>
      </c>
      <c r="L89" s="25">
        <v>1028.3333333333335</v>
      </c>
      <c r="M89" s="162">
        <v>40</v>
      </c>
      <c r="N89" s="25">
        <v>740.4</v>
      </c>
      <c r="O89" s="25">
        <f t="shared" si="2"/>
        <v>617</v>
      </c>
    </row>
    <row r="90" spans="1:35" s="27" customFormat="1" x14ac:dyDescent="0.25">
      <c r="A90" s="180">
        <v>89</v>
      </c>
      <c r="B90" s="171"/>
      <c r="C90" s="20" t="s">
        <v>232</v>
      </c>
      <c r="D90" s="21" t="s">
        <v>482</v>
      </c>
      <c r="E90" s="22" t="s">
        <v>233</v>
      </c>
      <c r="F90" s="23" t="s">
        <v>15</v>
      </c>
      <c r="G90" s="21">
        <v>1000</v>
      </c>
      <c r="H90" s="21">
        <v>149</v>
      </c>
      <c r="I90" s="21">
        <v>138.5</v>
      </c>
      <c r="J90" s="21">
        <v>3.46</v>
      </c>
      <c r="K90" s="25">
        <v>1303</v>
      </c>
      <c r="L90" s="25">
        <v>1085.8333333333335</v>
      </c>
      <c r="M90" s="162">
        <v>40</v>
      </c>
      <c r="N90" s="25">
        <v>781.8</v>
      </c>
      <c r="O90" s="25">
        <f t="shared" si="2"/>
        <v>651.5</v>
      </c>
    </row>
    <row r="91" spans="1:35" s="27" customFormat="1" x14ac:dyDescent="0.25">
      <c r="A91" s="180">
        <v>90</v>
      </c>
      <c r="B91" s="171"/>
      <c r="C91" s="20" t="s">
        <v>234</v>
      </c>
      <c r="D91" s="21" t="s">
        <v>482</v>
      </c>
      <c r="E91" s="22" t="s">
        <v>235</v>
      </c>
      <c r="F91" s="23" t="s">
        <v>15</v>
      </c>
      <c r="G91" s="21">
        <v>1000</v>
      </c>
      <c r="H91" s="21">
        <v>149</v>
      </c>
      <c r="I91" s="21">
        <v>153.5</v>
      </c>
      <c r="J91" s="21">
        <v>3.59</v>
      </c>
      <c r="K91" s="25">
        <v>1373</v>
      </c>
      <c r="L91" s="25">
        <v>1144.1666666666667</v>
      </c>
      <c r="M91" s="162">
        <v>45</v>
      </c>
      <c r="N91" s="25">
        <v>755.15</v>
      </c>
      <c r="O91" s="25">
        <f t="shared" si="2"/>
        <v>629.29166666666663</v>
      </c>
    </row>
    <row r="92" spans="1:35" s="27" customFormat="1" x14ac:dyDescent="0.25">
      <c r="A92" s="180">
        <v>91</v>
      </c>
      <c r="B92" s="171"/>
      <c r="C92" s="20" t="s">
        <v>236</v>
      </c>
      <c r="D92" s="21" t="s">
        <v>482</v>
      </c>
      <c r="E92" s="22" t="s">
        <v>237</v>
      </c>
      <c r="F92" s="23" t="s">
        <v>15</v>
      </c>
      <c r="G92" s="21">
        <v>1000</v>
      </c>
      <c r="H92" s="21">
        <v>149</v>
      </c>
      <c r="I92" s="21">
        <v>203.5</v>
      </c>
      <c r="J92" s="21">
        <v>4.07</v>
      </c>
      <c r="K92" s="25">
        <v>1458</v>
      </c>
      <c r="L92" s="25">
        <v>1215</v>
      </c>
      <c r="M92" s="162">
        <v>45</v>
      </c>
      <c r="N92" s="25">
        <v>801.9</v>
      </c>
      <c r="O92" s="25">
        <f t="shared" si="2"/>
        <v>668.25</v>
      </c>
    </row>
    <row r="93" spans="1:35" s="27" customFormat="1" x14ac:dyDescent="0.25">
      <c r="A93" s="180">
        <v>92</v>
      </c>
      <c r="B93" s="171"/>
      <c r="C93" s="32">
        <v>815</v>
      </c>
      <c r="D93" s="21" t="s">
        <v>481</v>
      </c>
      <c r="E93" s="22" t="s">
        <v>249</v>
      </c>
      <c r="F93" s="23" t="s">
        <v>165</v>
      </c>
      <c r="G93" s="24">
        <v>1000</v>
      </c>
      <c r="H93" s="21">
        <v>196</v>
      </c>
      <c r="I93" s="21">
        <v>100</v>
      </c>
      <c r="J93" s="21">
        <v>1.59</v>
      </c>
      <c r="K93" s="25">
        <v>796</v>
      </c>
      <c r="L93" s="25">
        <v>663.33333333333337</v>
      </c>
      <c r="M93" s="162">
        <v>55.000000000000007</v>
      </c>
      <c r="N93" s="25">
        <v>358.2</v>
      </c>
      <c r="O93" s="25">
        <f t="shared" si="2"/>
        <v>298.5</v>
      </c>
    </row>
    <row r="94" spans="1:35" s="91" customFormat="1" x14ac:dyDescent="0.25">
      <c r="A94" s="180">
        <v>93</v>
      </c>
      <c r="B94" s="171"/>
      <c r="C94" s="32">
        <v>816</v>
      </c>
      <c r="D94" s="21" t="s">
        <v>481</v>
      </c>
      <c r="E94" s="22" t="s">
        <v>250</v>
      </c>
      <c r="F94" s="23" t="s">
        <v>165</v>
      </c>
      <c r="G94" s="24">
        <v>1000</v>
      </c>
      <c r="H94" s="21">
        <v>196</v>
      </c>
      <c r="I94" s="21">
        <v>185</v>
      </c>
      <c r="J94" s="21">
        <v>2.41</v>
      </c>
      <c r="K94" s="25">
        <v>897</v>
      </c>
      <c r="L94" s="25">
        <v>747.5</v>
      </c>
      <c r="M94" s="162">
        <v>55.000000000000007</v>
      </c>
      <c r="N94" s="25">
        <v>403.65</v>
      </c>
      <c r="O94" s="25">
        <f t="shared" si="2"/>
        <v>336.375</v>
      </c>
    </row>
    <row r="95" spans="1:35" s="27" customFormat="1" ht="30" x14ac:dyDescent="0.25">
      <c r="A95" s="180">
        <v>94</v>
      </c>
      <c r="B95" s="171"/>
      <c r="C95" s="32">
        <v>8154</v>
      </c>
      <c r="D95" s="21" t="s">
        <v>481</v>
      </c>
      <c r="E95" s="22" t="s">
        <v>251</v>
      </c>
      <c r="F95" s="23" t="s">
        <v>165</v>
      </c>
      <c r="G95" s="24">
        <v>1000</v>
      </c>
      <c r="H95" s="21">
        <v>198</v>
      </c>
      <c r="I95" s="21">
        <v>102</v>
      </c>
      <c r="J95" s="21">
        <v>2.77</v>
      </c>
      <c r="K95" s="25">
        <v>1212</v>
      </c>
      <c r="L95" s="25">
        <v>1010</v>
      </c>
      <c r="M95" s="162">
        <v>55.000000000000007</v>
      </c>
      <c r="N95" s="25">
        <v>545.4</v>
      </c>
      <c r="O95" s="25">
        <f t="shared" si="2"/>
        <v>454.5</v>
      </c>
    </row>
    <row r="96" spans="1:35" s="27" customFormat="1" ht="30" x14ac:dyDescent="0.25">
      <c r="A96" s="180">
        <v>95</v>
      </c>
      <c r="B96" s="171"/>
      <c r="C96" s="32">
        <v>8164</v>
      </c>
      <c r="D96" s="21" t="s">
        <v>481</v>
      </c>
      <c r="E96" s="22" t="s">
        <v>252</v>
      </c>
      <c r="F96" s="23" t="s">
        <v>165</v>
      </c>
      <c r="G96" s="24">
        <v>1000</v>
      </c>
      <c r="H96" s="21">
        <v>198</v>
      </c>
      <c r="I96" s="21">
        <v>187</v>
      </c>
      <c r="J96" s="21">
        <v>3.6</v>
      </c>
      <c r="K96" s="25">
        <v>1314</v>
      </c>
      <c r="L96" s="25">
        <v>1095</v>
      </c>
      <c r="M96" s="162">
        <v>55.000000000000007</v>
      </c>
      <c r="N96" s="25">
        <v>591.29999999999995</v>
      </c>
      <c r="O96" s="25">
        <f t="shared" si="2"/>
        <v>492.75</v>
      </c>
    </row>
    <row r="97" spans="1:15" s="27" customFormat="1" collapsed="1" x14ac:dyDescent="0.25">
      <c r="A97" s="180">
        <v>96</v>
      </c>
      <c r="B97" s="171"/>
      <c r="C97" s="32" t="s">
        <v>264</v>
      </c>
      <c r="D97" s="21" t="s">
        <v>481</v>
      </c>
      <c r="E97" s="22" t="s">
        <v>265</v>
      </c>
      <c r="F97" s="23" t="s">
        <v>165</v>
      </c>
      <c r="G97" s="24">
        <v>1000</v>
      </c>
      <c r="H97" s="21">
        <v>196</v>
      </c>
      <c r="I97" s="21">
        <v>117</v>
      </c>
      <c r="J97" s="21">
        <v>1.86</v>
      </c>
      <c r="K97" s="25">
        <v>1052</v>
      </c>
      <c r="L97" s="25">
        <v>876.66666666666674</v>
      </c>
      <c r="M97" s="162">
        <v>55.000000000000007</v>
      </c>
      <c r="N97" s="25">
        <v>473.4</v>
      </c>
      <c r="O97" s="25">
        <f t="shared" si="2"/>
        <v>394.5</v>
      </c>
    </row>
    <row r="98" spans="1:15" s="27" customFormat="1" x14ac:dyDescent="0.25">
      <c r="A98" s="180">
        <v>97</v>
      </c>
      <c r="B98" s="171"/>
      <c r="C98" s="20" t="s">
        <v>270</v>
      </c>
      <c r="D98" s="21" t="s">
        <v>482</v>
      </c>
      <c r="E98" s="22" t="s">
        <v>271</v>
      </c>
      <c r="F98" s="23" t="s">
        <v>165</v>
      </c>
      <c r="G98" s="21">
        <v>1000</v>
      </c>
      <c r="H98" s="21">
        <v>199</v>
      </c>
      <c r="I98" s="21">
        <v>118.5</v>
      </c>
      <c r="J98" s="21">
        <v>3.8</v>
      </c>
      <c r="K98" s="25">
        <v>1677</v>
      </c>
      <c r="L98" s="25">
        <v>1397.5</v>
      </c>
      <c r="M98" s="162">
        <v>55.000000000000007</v>
      </c>
      <c r="N98" s="25">
        <v>754.65</v>
      </c>
      <c r="O98" s="25">
        <f t="shared" ref="O98:O116" si="3">N98/1.2</f>
        <v>628.875</v>
      </c>
    </row>
    <row r="99" spans="1:15" s="27" customFormat="1" x14ac:dyDescent="0.25">
      <c r="A99" s="180">
        <v>98</v>
      </c>
      <c r="B99" s="171"/>
      <c r="C99" s="20" t="s">
        <v>272</v>
      </c>
      <c r="D99" s="21" t="s">
        <v>482</v>
      </c>
      <c r="E99" s="22" t="s">
        <v>273</v>
      </c>
      <c r="F99" s="23" t="s">
        <v>165</v>
      </c>
      <c r="G99" s="21">
        <v>1000</v>
      </c>
      <c r="H99" s="21">
        <v>199</v>
      </c>
      <c r="I99" s="21">
        <v>203.5</v>
      </c>
      <c r="J99" s="21">
        <v>4.5</v>
      </c>
      <c r="K99" s="25">
        <v>1949</v>
      </c>
      <c r="L99" s="25">
        <v>1624.1666666666667</v>
      </c>
      <c r="M99" s="162">
        <v>55.000000000000007</v>
      </c>
      <c r="N99" s="25">
        <v>877.05</v>
      </c>
      <c r="O99" s="25">
        <f t="shared" si="3"/>
        <v>730.875</v>
      </c>
    </row>
    <row r="100" spans="1:15" s="27" customFormat="1" ht="30" x14ac:dyDescent="0.25">
      <c r="A100" s="180">
        <v>99</v>
      </c>
      <c r="B100" s="171"/>
      <c r="C100" s="32">
        <v>8214</v>
      </c>
      <c r="D100" s="21" t="s">
        <v>481</v>
      </c>
      <c r="E100" s="22" t="s">
        <v>286</v>
      </c>
      <c r="F100" s="23" t="s">
        <v>280</v>
      </c>
      <c r="G100" s="24">
        <v>1000</v>
      </c>
      <c r="H100" s="21">
        <v>248</v>
      </c>
      <c r="I100" s="21">
        <v>102</v>
      </c>
      <c r="J100" s="21">
        <v>2.9</v>
      </c>
      <c r="K100" s="25">
        <v>1389</v>
      </c>
      <c r="L100" s="25">
        <v>1157.5</v>
      </c>
      <c r="M100" s="162">
        <v>55.000000000000007</v>
      </c>
      <c r="N100" s="25">
        <v>625.04999999999995</v>
      </c>
      <c r="O100" s="25">
        <f t="shared" si="3"/>
        <v>520.875</v>
      </c>
    </row>
    <row r="101" spans="1:15" s="27" customFormat="1" ht="30" x14ac:dyDescent="0.25">
      <c r="A101" s="180">
        <v>100</v>
      </c>
      <c r="B101" s="171"/>
      <c r="C101" s="32">
        <v>8204</v>
      </c>
      <c r="D101" s="21" t="s">
        <v>481</v>
      </c>
      <c r="E101" s="22" t="s">
        <v>287</v>
      </c>
      <c r="F101" s="23" t="s">
        <v>280</v>
      </c>
      <c r="G101" s="24">
        <v>1000</v>
      </c>
      <c r="H101" s="21">
        <v>248</v>
      </c>
      <c r="I101" s="21">
        <v>188</v>
      </c>
      <c r="J101" s="21">
        <v>3.65</v>
      </c>
      <c r="K101" s="25">
        <v>1506</v>
      </c>
      <c r="L101" s="25">
        <v>1255</v>
      </c>
      <c r="M101" s="162">
        <v>55.000000000000007</v>
      </c>
      <c r="N101" s="25">
        <v>677.69999999999993</v>
      </c>
      <c r="O101" s="25">
        <f t="shared" si="3"/>
        <v>564.75</v>
      </c>
    </row>
    <row r="102" spans="1:15" s="27" customFormat="1" ht="30" x14ac:dyDescent="0.25">
      <c r="A102" s="180">
        <v>101</v>
      </c>
      <c r="B102" s="171"/>
      <c r="C102" s="32">
        <v>8224</v>
      </c>
      <c r="D102" s="21" t="s">
        <v>481</v>
      </c>
      <c r="E102" s="22" t="s">
        <v>288</v>
      </c>
      <c r="F102" s="23" t="s">
        <v>280</v>
      </c>
      <c r="G102" s="24">
        <v>1000</v>
      </c>
      <c r="H102" s="21">
        <v>248</v>
      </c>
      <c r="I102" s="21">
        <v>238</v>
      </c>
      <c r="J102" s="21">
        <v>4.05</v>
      </c>
      <c r="K102" s="25">
        <v>1592</v>
      </c>
      <c r="L102" s="25">
        <v>1326.6666666666667</v>
      </c>
      <c r="M102" s="162">
        <v>55.000000000000007</v>
      </c>
      <c r="N102" s="25">
        <v>716.4</v>
      </c>
      <c r="O102" s="25">
        <f t="shared" si="3"/>
        <v>597</v>
      </c>
    </row>
    <row r="103" spans="1:15" s="27" customFormat="1" x14ac:dyDescent="0.25">
      <c r="A103" s="180">
        <v>102</v>
      </c>
      <c r="B103" s="171"/>
      <c r="C103" s="32">
        <v>821</v>
      </c>
      <c r="D103" s="21" t="s">
        <v>481</v>
      </c>
      <c r="E103" s="22" t="s">
        <v>279</v>
      </c>
      <c r="F103" s="23" t="s">
        <v>280</v>
      </c>
      <c r="G103" s="24">
        <v>1000</v>
      </c>
      <c r="H103" s="21">
        <v>246</v>
      </c>
      <c r="I103" s="21">
        <v>100</v>
      </c>
      <c r="J103" s="21">
        <v>1.9</v>
      </c>
      <c r="K103" s="25">
        <v>972</v>
      </c>
      <c r="L103" s="25">
        <v>810</v>
      </c>
      <c r="M103" s="162">
        <v>55.000000000000007</v>
      </c>
      <c r="N103" s="25">
        <v>437.4</v>
      </c>
      <c r="O103" s="25">
        <f t="shared" si="3"/>
        <v>364.5</v>
      </c>
    </row>
    <row r="104" spans="1:15" s="27" customFormat="1" x14ac:dyDescent="0.25">
      <c r="A104" s="180">
        <v>103</v>
      </c>
      <c r="B104" s="171"/>
      <c r="C104" s="32">
        <v>820</v>
      </c>
      <c r="D104" s="21" t="s">
        <v>481</v>
      </c>
      <c r="E104" s="22" t="s">
        <v>281</v>
      </c>
      <c r="F104" s="23" t="s">
        <v>280</v>
      </c>
      <c r="G104" s="24">
        <v>1000</v>
      </c>
      <c r="H104" s="21">
        <v>246</v>
      </c>
      <c r="I104" s="21">
        <v>185</v>
      </c>
      <c r="J104" s="21">
        <v>2.65</v>
      </c>
      <c r="K104" s="25">
        <v>1090</v>
      </c>
      <c r="L104" s="25">
        <v>908.33333333333337</v>
      </c>
      <c r="M104" s="162">
        <v>55.000000000000007</v>
      </c>
      <c r="N104" s="25">
        <v>490.5</v>
      </c>
      <c r="O104" s="25">
        <f t="shared" si="3"/>
        <v>408.75</v>
      </c>
    </row>
    <row r="105" spans="1:15" s="27" customFormat="1" x14ac:dyDescent="0.25">
      <c r="A105" s="180">
        <v>104</v>
      </c>
      <c r="B105" s="171"/>
      <c r="C105" s="32">
        <v>822</v>
      </c>
      <c r="D105" s="21" t="s">
        <v>481</v>
      </c>
      <c r="E105" s="22" t="s">
        <v>282</v>
      </c>
      <c r="F105" s="23" t="s">
        <v>280</v>
      </c>
      <c r="G105" s="24">
        <v>1000</v>
      </c>
      <c r="H105" s="21">
        <v>246</v>
      </c>
      <c r="I105" s="21">
        <v>235</v>
      </c>
      <c r="J105" s="21">
        <v>3.05</v>
      </c>
      <c r="K105" s="25">
        <v>1175</v>
      </c>
      <c r="L105" s="25">
        <v>979.16666666666674</v>
      </c>
      <c r="M105" s="162">
        <v>55.000000000000007</v>
      </c>
      <c r="N105" s="25">
        <v>528.75</v>
      </c>
      <c r="O105" s="25">
        <f t="shared" si="3"/>
        <v>440.625</v>
      </c>
    </row>
    <row r="106" spans="1:15" s="27" customFormat="1" x14ac:dyDescent="0.25">
      <c r="A106" s="180">
        <v>105</v>
      </c>
      <c r="B106" s="179"/>
      <c r="C106" s="20" t="s">
        <v>302</v>
      </c>
      <c r="D106" s="21" t="s">
        <v>482</v>
      </c>
      <c r="E106" s="22" t="s">
        <v>303</v>
      </c>
      <c r="F106" s="23" t="s">
        <v>280</v>
      </c>
      <c r="G106" s="21">
        <v>1000</v>
      </c>
      <c r="H106" s="21">
        <v>249</v>
      </c>
      <c r="I106" s="21">
        <v>118.5</v>
      </c>
      <c r="J106" s="21">
        <v>2.92</v>
      </c>
      <c r="K106" s="25">
        <v>2761</v>
      </c>
      <c r="L106" s="25">
        <v>2300.8333333333335</v>
      </c>
      <c r="M106" s="162">
        <v>55.000000000000007</v>
      </c>
      <c r="N106" s="25">
        <v>1242.4499999999998</v>
      </c>
      <c r="O106" s="25">
        <f t="shared" si="3"/>
        <v>1035.375</v>
      </c>
    </row>
    <row r="107" spans="1:15" s="27" customFormat="1" x14ac:dyDescent="0.25">
      <c r="A107" s="180">
        <v>106</v>
      </c>
      <c r="B107" s="179"/>
      <c r="C107" s="20" t="s">
        <v>304</v>
      </c>
      <c r="D107" s="21" t="s">
        <v>482</v>
      </c>
      <c r="E107" s="22" t="s">
        <v>305</v>
      </c>
      <c r="F107" s="23" t="s">
        <v>280</v>
      </c>
      <c r="G107" s="21">
        <v>1000</v>
      </c>
      <c r="H107" s="21">
        <v>249</v>
      </c>
      <c r="I107" s="21">
        <v>203.5</v>
      </c>
      <c r="J107" s="21">
        <v>4.74</v>
      </c>
      <c r="K107" s="25">
        <v>2916</v>
      </c>
      <c r="L107" s="25">
        <v>2430</v>
      </c>
      <c r="M107" s="162">
        <v>55.000000000000007</v>
      </c>
      <c r="N107" s="25">
        <v>1312.1999999999998</v>
      </c>
      <c r="O107" s="25">
        <f t="shared" si="3"/>
        <v>1093.5</v>
      </c>
    </row>
    <row r="108" spans="1:15" s="27" customFormat="1" x14ac:dyDescent="0.25">
      <c r="A108" s="180">
        <v>107</v>
      </c>
      <c r="B108" s="179"/>
      <c r="C108" s="20" t="s">
        <v>306</v>
      </c>
      <c r="D108" s="21" t="s">
        <v>482</v>
      </c>
      <c r="E108" s="22" t="s">
        <v>307</v>
      </c>
      <c r="F108" s="23" t="s">
        <v>280</v>
      </c>
      <c r="G108" s="21">
        <v>1000</v>
      </c>
      <c r="H108" s="21">
        <v>249</v>
      </c>
      <c r="I108" s="21">
        <v>253</v>
      </c>
      <c r="J108" s="21">
        <v>5.35</v>
      </c>
      <c r="K108" s="25">
        <v>2996</v>
      </c>
      <c r="L108" s="25">
        <v>2496.666666666667</v>
      </c>
      <c r="M108" s="162">
        <v>55.000000000000007</v>
      </c>
      <c r="N108" s="25">
        <v>1348.1999999999998</v>
      </c>
      <c r="O108" s="25">
        <f t="shared" si="3"/>
        <v>1123.5</v>
      </c>
    </row>
    <row r="109" spans="1:15" s="27" customFormat="1" x14ac:dyDescent="0.25">
      <c r="A109" s="180">
        <v>108</v>
      </c>
      <c r="B109" s="171"/>
      <c r="C109" s="32">
        <v>832</v>
      </c>
      <c r="D109" s="21" t="s">
        <v>481</v>
      </c>
      <c r="E109" s="22" t="s">
        <v>321</v>
      </c>
      <c r="F109" s="23" t="s">
        <v>47</v>
      </c>
      <c r="G109" s="24">
        <v>1000</v>
      </c>
      <c r="H109" s="21">
        <v>380</v>
      </c>
      <c r="I109" s="21">
        <v>280</v>
      </c>
      <c r="J109" s="21">
        <v>7.05</v>
      </c>
      <c r="K109" s="25">
        <v>4133</v>
      </c>
      <c r="L109" s="25">
        <v>3444.166666666667</v>
      </c>
      <c r="M109" s="162">
        <v>55.000000000000007</v>
      </c>
      <c r="N109" s="25">
        <v>1859.85</v>
      </c>
      <c r="O109" s="25">
        <f t="shared" si="3"/>
        <v>1549.875</v>
      </c>
    </row>
    <row r="110" spans="1:15" s="27" customFormat="1" x14ac:dyDescent="0.25">
      <c r="A110" s="180">
        <v>109</v>
      </c>
      <c r="B110" s="171"/>
      <c r="C110" s="32">
        <v>830</v>
      </c>
      <c r="D110" s="21" t="s">
        <v>481</v>
      </c>
      <c r="E110" s="22" t="s">
        <v>322</v>
      </c>
      <c r="F110" s="23" t="s">
        <v>47</v>
      </c>
      <c r="G110" s="24">
        <v>1000</v>
      </c>
      <c r="H110" s="21">
        <v>380</v>
      </c>
      <c r="I110" s="21">
        <v>380</v>
      </c>
      <c r="J110" s="21">
        <v>7.6</v>
      </c>
      <c r="K110" s="25">
        <v>4261</v>
      </c>
      <c r="L110" s="25">
        <v>3550.8333333333335</v>
      </c>
      <c r="M110" s="162">
        <v>55.000000000000007</v>
      </c>
      <c r="N110" s="25">
        <v>1917.4499999999998</v>
      </c>
      <c r="O110" s="25">
        <f t="shared" si="3"/>
        <v>1597.875</v>
      </c>
    </row>
    <row r="111" spans="1:15" s="27" customFormat="1" x14ac:dyDescent="0.25">
      <c r="A111" s="180">
        <v>110</v>
      </c>
      <c r="B111" s="171"/>
      <c r="C111" s="32">
        <v>834</v>
      </c>
      <c r="D111" s="21" t="s">
        <v>481</v>
      </c>
      <c r="E111" s="22" t="s">
        <v>323</v>
      </c>
      <c r="F111" s="23" t="s">
        <v>47</v>
      </c>
      <c r="G111" s="24">
        <v>1000</v>
      </c>
      <c r="H111" s="21">
        <v>380</v>
      </c>
      <c r="I111" s="21">
        <v>480</v>
      </c>
      <c r="J111" s="21">
        <v>9.6</v>
      </c>
      <c r="K111" s="25">
        <v>5040</v>
      </c>
      <c r="L111" s="25">
        <v>4200</v>
      </c>
      <c r="M111" s="162">
        <v>55.000000000000007</v>
      </c>
      <c r="N111" s="25">
        <v>2268</v>
      </c>
      <c r="O111" s="25">
        <f t="shared" si="3"/>
        <v>1890</v>
      </c>
    </row>
    <row r="112" spans="1:15" s="27" customFormat="1" collapsed="1" x14ac:dyDescent="0.25">
      <c r="A112" s="180">
        <v>111</v>
      </c>
      <c r="B112" s="171"/>
      <c r="C112" s="32" t="s">
        <v>331</v>
      </c>
      <c r="D112" s="21" t="s">
        <v>481</v>
      </c>
      <c r="E112" s="22" t="s">
        <v>332</v>
      </c>
      <c r="F112" s="23" t="s">
        <v>47</v>
      </c>
      <c r="G112" s="24">
        <v>1000</v>
      </c>
      <c r="H112" s="21">
        <v>380</v>
      </c>
      <c r="I112" s="21">
        <v>294</v>
      </c>
      <c r="J112" s="21">
        <v>7.35</v>
      </c>
      <c r="K112" s="25">
        <v>4443</v>
      </c>
      <c r="L112" s="25">
        <v>3702.5</v>
      </c>
      <c r="M112" s="162">
        <v>55.000000000000007</v>
      </c>
      <c r="N112" s="25">
        <v>1999.35</v>
      </c>
      <c r="O112" s="25">
        <f t="shared" si="3"/>
        <v>1666.125</v>
      </c>
    </row>
    <row r="113" spans="1:15" s="27" customFormat="1" x14ac:dyDescent="0.25">
      <c r="A113" s="180">
        <v>112</v>
      </c>
      <c r="B113" s="171"/>
      <c r="C113" s="32" t="s">
        <v>333</v>
      </c>
      <c r="D113" s="21" t="s">
        <v>481</v>
      </c>
      <c r="E113" s="22" t="s">
        <v>334</v>
      </c>
      <c r="F113" s="23" t="s">
        <v>47</v>
      </c>
      <c r="G113" s="24">
        <v>1000</v>
      </c>
      <c r="H113" s="21">
        <v>380</v>
      </c>
      <c r="I113" s="21">
        <v>494</v>
      </c>
      <c r="J113" s="21">
        <v>10.32</v>
      </c>
      <c r="K113" s="25">
        <v>5307</v>
      </c>
      <c r="L113" s="25">
        <v>4422.5</v>
      </c>
      <c r="M113" s="162">
        <v>55.000000000000007</v>
      </c>
      <c r="N113" s="25">
        <v>2388.1499999999996</v>
      </c>
      <c r="O113" s="25">
        <f t="shared" si="3"/>
        <v>1990.1249999999998</v>
      </c>
    </row>
    <row r="114" spans="1:15" s="27" customFormat="1" x14ac:dyDescent="0.25">
      <c r="A114" s="180">
        <v>113</v>
      </c>
      <c r="B114" s="171"/>
      <c r="C114" s="20" t="s">
        <v>338</v>
      </c>
      <c r="D114" s="21" t="s">
        <v>482</v>
      </c>
      <c r="E114" s="22" t="s">
        <v>339</v>
      </c>
      <c r="F114" s="23" t="s">
        <v>47</v>
      </c>
      <c r="G114" s="24">
        <v>1000</v>
      </c>
      <c r="H114" s="21">
        <v>383</v>
      </c>
      <c r="I114" s="21">
        <v>295.5</v>
      </c>
      <c r="J114" s="21">
        <v>9.0500000000000007</v>
      </c>
      <c r="K114" s="25">
        <v>5767</v>
      </c>
      <c r="L114" s="25">
        <v>4805.8333333333339</v>
      </c>
      <c r="M114" s="162">
        <v>55.000000000000007</v>
      </c>
      <c r="N114" s="25">
        <v>2595.1499999999996</v>
      </c>
      <c r="O114" s="25">
        <f t="shared" si="3"/>
        <v>2162.625</v>
      </c>
    </row>
    <row r="115" spans="1:15" s="27" customFormat="1" x14ac:dyDescent="0.25">
      <c r="A115" s="180">
        <v>114</v>
      </c>
      <c r="B115" s="179"/>
      <c r="C115" s="20" t="s">
        <v>340</v>
      </c>
      <c r="D115" s="21" t="s">
        <v>482</v>
      </c>
      <c r="E115" s="22" t="s">
        <v>341</v>
      </c>
      <c r="F115" s="23" t="s">
        <v>47</v>
      </c>
      <c r="G115" s="21">
        <v>1000</v>
      </c>
      <c r="H115" s="21">
        <v>383</v>
      </c>
      <c r="I115" s="21">
        <v>395.5</v>
      </c>
      <c r="J115" s="21">
        <v>9.6</v>
      </c>
      <c r="K115" s="25">
        <v>6140</v>
      </c>
      <c r="L115" s="25">
        <v>5116.666666666667</v>
      </c>
      <c r="M115" s="162">
        <v>55.000000000000007</v>
      </c>
      <c r="N115" s="25">
        <v>2762.9999999999995</v>
      </c>
      <c r="O115" s="25">
        <f t="shared" si="3"/>
        <v>2302.4999999999995</v>
      </c>
    </row>
    <row r="116" spans="1:15" s="27" customFormat="1" x14ac:dyDescent="0.25">
      <c r="A116" s="180">
        <v>115</v>
      </c>
      <c r="B116" s="171"/>
      <c r="C116" s="20" t="s">
        <v>342</v>
      </c>
      <c r="D116" s="21" t="s">
        <v>482</v>
      </c>
      <c r="E116" s="22" t="s">
        <v>343</v>
      </c>
      <c r="F116" s="23" t="s">
        <v>47</v>
      </c>
      <c r="G116" s="24">
        <v>1000</v>
      </c>
      <c r="H116" s="21">
        <v>383</v>
      </c>
      <c r="I116" s="21">
        <v>495.5</v>
      </c>
      <c r="J116" s="21">
        <v>11.6</v>
      </c>
      <c r="K116" s="25">
        <v>6599</v>
      </c>
      <c r="L116" s="25">
        <v>5499.166666666667</v>
      </c>
      <c r="M116" s="162">
        <v>55.000000000000007</v>
      </c>
      <c r="N116" s="25">
        <v>2969.5499999999997</v>
      </c>
      <c r="O116" s="25">
        <f t="shared" si="3"/>
        <v>2474.625</v>
      </c>
    </row>
    <row r="292" spans="1:15" s="159" customFormat="1" x14ac:dyDescent="0.25">
      <c r="A292" s="181"/>
      <c r="B292" s="1"/>
      <c r="C292" s="2"/>
      <c r="D292" s="2"/>
      <c r="E292" s="3"/>
      <c r="F292" s="2"/>
      <c r="G292" s="2"/>
      <c r="H292" s="2"/>
      <c r="I292" s="2"/>
      <c r="J292" s="2"/>
      <c r="K292" s="4"/>
      <c r="L292" s="4"/>
      <c r="M292" s="165"/>
      <c r="N292" s="5"/>
      <c r="O292" s="6"/>
    </row>
    <row r="293" spans="1:15" s="159" customFormat="1" x14ac:dyDescent="0.25">
      <c r="A293" s="181"/>
      <c r="B293" s="1"/>
      <c r="C293" s="2"/>
      <c r="D293" s="2"/>
      <c r="E293" s="3"/>
      <c r="F293" s="2"/>
      <c r="G293" s="2"/>
      <c r="H293" s="2"/>
      <c r="I293" s="2"/>
      <c r="J293" s="2"/>
      <c r="K293" s="160"/>
      <c r="L293" s="160"/>
      <c r="M293" s="165"/>
      <c r="N293" s="5"/>
      <c r="O293" s="6"/>
    </row>
    <row r="294" spans="1:15" s="159" customFormat="1" x14ac:dyDescent="0.25">
      <c r="A294" s="181"/>
      <c r="B294" s="1"/>
      <c r="C294" s="2"/>
      <c r="D294" s="2"/>
      <c r="E294" s="3"/>
      <c r="F294" s="2"/>
      <c r="G294" s="2"/>
      <c r="H294" s="2"/>
      <c r="I294" s="2"/>
      <c r="J294" s="2"/>
      <c r="K294" s="160"/>
      <c r="L294" s="160"/>
      <c r="M294" s="165"/>
      <c r="N294" s="5"/>
      <c r="O294" s="6"/>
    </row>
    <row r="295" spans="1:15" s="159" customFormat="1" x14ac:dyDescent="0.25">
      <c r="A295" s="181"/>
      <c r="B295" s="1"/>
      <c r="C295" s="2"/>
      <c r="D295" s="2"/>
      <c r="E295" s="3"/>
      <c r="F295" s="2"/>
      <c r="G295" s="2"/>
      <c r="H295" s="2"/>
      <c r="I295" s="2"/>
      <c r="J295" s="2"/>
      <c r="K295" s="160"/>
      <c r="L295" s="160"/>
      <c r="M295" s="165"/>
      <c r="N295" s="5"/>
      <c r="O295" s="6"/>
    </row>
    <row r="296" spans="1:15" s="159" customFormat="1" x14ac:dyDescent="0.25">
      <c r="A296" s="181"/>
      <c r="B296" s="1"/>
      <c r="C296" s="2"/>
      <c r="D296" s="2"/>
      <c r="E296" s="3"/>
      <c r="F296" s="2"/>
      <c r="G296" s="2"/>
      <c r="H296" s="2"/>
      <c r="I296" s="2"/>
      <c r="J296" s="2"/>
      <c r="K296" s="160"/>
      <c r="L296" s="160"/>
      <c r="M296" s="165"/>
      <c r="N296" s="5"/>
      <c r="O296" s="6"/>
    </row>
    <row r="297" spans="1:15" s="159" customFormat="1" x14ac:dyDescent="0.25">
      <c r="A297" s="181"/>
      <c r="B297" s="1"/>
      <c r="C297" s="2"/>
      <c r="D297" s="2"/>
      <c r="E297" s="3"/>
      <c r="F297" s="2"/>
      <c r="G297" s="2"/>
      <c r="H297" s="2"/>
      <c r="I297" s="2"/>
      <c r="J297" s="2"/>
      <c r="K297" s="160"/>
      <c r="L297" s="160"/>
      <c r="M297" s="165"/>
      <c r="N297" s="5"/>
      <c r="O297" s="6"/>
    </row>
    <row r="298" spans="1:15" s="159" customFormat="1" x14ac:dyDescent="0.25">
      <c r="A298" s="181"/>
      <c r="B298" s="1"/>
      <c r="C298" s="2"/>
      <c r="D298" s="2"/>
      <c r="E298" s="3"/>
      <c r="F298" s="2"/>
      <c r="G298" s="2"/>
      <c r="H298" s="2"/>
      <c r="I298" s="2"/>
      <c r="J298" s="2"/>
      <c r="K298" s="160"/>
      <c r="L298" s="160"/>
      <c r="M298" s="165"/>
      <c r="N298" s="5"/>
      <c r="O298" s="6"/>
    </row>
    <row r="299" spans="1:15" s="159" customFormat="1" x14ac:dyDescent="0.25">
      <c r="A299" s="181"/>
      <c r="B299" s="1"/>
      <c r="C299" s="2"/>
      <c r="D299" s="2"/>
      <c r="E299" s="3"/>
      <c r="F299" s="2"/>
      <c r="G299" s="2"/>
      <c r="H299" s="2"/>
      <c r="I299" s="2"/>
      <c r="J299" s="2"/>
      <c r="K299" s="160"/>
      <c r="L299" s="160"/>
      <c r="M299" s="165"/>
      <c r="N299" s="5"/>
      <c r="O299" s="6"/>
    </row>
    <row r="300" spans="1:15" s="159" customFormat="1" x14ac:dyDescent="0.25">
      <c r="A300" s="181"/>
      <c r="B300" s="1"/>
      <c r="C300" s="2"/>
      <c r="D300" s="2"/>
      <c r="E300" s="3"/>
      <c r="F300" s="2"/>
      <c r="G300" s="2"/>
      <c r="H300" s="2"/>
      <c r="I300" s="2"/>
      <c r="J300" s="2"/>
      <c r="K300" s="160"/>
      <c r="L300" s="160"/>
      <c r="M300" s="165"/>
      <c r="N300" s="5"/>
      <c r="O300" s="6"/>
    </row>
    <row r="301" spans="1:15" s="159" customFormat="1" x14ac:dyDescent="0.25">
      <c r="A301" s="181"/>
      <c r="B301" s="1"/>
      <c r="C301" s="2"/>
      <c r="D301" s="2"/>
      <c r="E301" s="3"/>
      <c r="F301" s="2"/>
      <c r="G301" s="2"/>
      <c r="H301" s="2"/>
      <c r="I301" s="2"/>
      <c r="J301" s="2"/>
      <c r="K301" s="160"/>
      <c r="L301" s="160"/>
      <c r="M301" s="165"/>
      <c r="N301" s="5"/>
      <c r="O301" s="6"/>
    </row>
    <row r="302" spans="1:15" s="159" customFormat="1" x14ac:dyDescent="0.25">
      <c r="A302" s="181"/>
      <c r="B302" s="1"/>
      <c r="C302" s="2"/>
      <c r="D302" s="2"/>
      <c r="E302" s="3"/>
      <c r="F302" s="2"/>
      <c r="G302" s="2"/>
      <c r="H302" s="2"/>
      <c r="I302" s="2"/>
      <c r="J302" s="2"/>
      <c r="K302" s="160"/>
      <c r="L302" s="160"/>
      <c r="M302" s="165"/>
      <c r="N302" s="5"/>
      <c r="O302" s="6"/>
    </row>
    <row r="303" spans="1:15" s="159" customFormat="1" x14ac:dyDescent="0.25">
      <c r="A303" s="181"/>
      <c r="B303" s="1"/>
      <c r="C303" s="2"/>
      <c r="D303" s="2"/>
      <c r="E303" s="3"/>
      <c r="F303" s="2"/>
      <c r="G303" s="2"/>
      <c r="H303" s="2"/>
      <c r="I303" s="2"/>
      <c r="J303" s="2"/>
      <c r="K303" s="160"/>
      <c r="L303" s="160"/>
      <c r="M303" s="165"/>
      <c r="N303" s="5"/>
      <c r="O303" s="6"/>
    </row>
    <row r="304" spans="1:15" s="159" customFormat="1" x14ac:dyDescent="0.25">
      <c r="A304" s="181"/>
      <c r="B304" s="1"/>
      <c r="C304" s="2"/>
      <c r="D304" s="2"/>
      <c r="E304" s="3"/>
      <c r="F304" s="2"/>
      <c r="G304" s="2"/>
      <c r="H304" s="2"/>
      <c r="I304" s="2"/>
      <c r="J304" s="2"/>
      <c r="K304" s="160"/>
      <c r="L304" s="160"/>
      <c r="M304" s="165"/>
      <c r="N304" s="5"/>
      <c r="O304" s="6"/>
    </row>
    <row r="305" spans="1:15" s="159" customFormat="1" x14ac:dyDescent="0.25">
      <c r="A305" s="181"/>
      <c r="B305" s="1"/>
      <c r="C305" s="2"/>
      <c r="D305" s="2"/>
      <c r="E305" s="3"/>
      <c r="F305" s="2"/>
      <c r="G305" s="2"/>
      <c r="H305" s="2"/>
      <c r="I305" s="2"/>
      <c r="J305" s="2"/>
      <c r="K305" s="160"/>
      <c r="L305" s="160"/>
      <c r="M305" s="165"/>
      <c r="N305" s="5"/>
      <c r="O305" s="6"/>
    </row>
    <row r="306" spans="1:15" s="159" customFormat="1" x14ac:dyDescent="0.25">
      <c r="A306" s="181"/>
      <c r="B306" s="1"/>
      <c r="C306" s="2"/>
      <c r="D306" s="2"/>
      <c r="E306" s="3"/>
      <c r="F306" s="2"/>
      <c r="G306" s="2"/>
      <c r="H306" s="2"/>
      <c r="I306" s="2"/>
      <c r="J306" s="2"/>
      <c r="K306" s="160"/>
      <c r="L306" s="160"/>
      <c r="M306" s="165"/>
      <c r="N306" s="5"/>
      <c r="O306" s="6"/>
    </row>
    <row r="307" spans="1:15" s="159" customFormat="1" x14ac:dyDescent="0.25">
      <c r="A307" s="181"/>
      <c r="B307" s="1"/>
      <c r="C307" s="2"/>
      <c r="D307" s="2"/>
      <c r="E307" s="3"/>
      <c r="F307" s="2"/>
      <c r="G307" s="2"/>
      <c r="H307" s="2"/>
      <c r="I307" s="2"/>
      <c r="J307" s="2"/>
      <c r="K307" s="160"/>
      <c r="L307" s="160"/>
      <c r="M307" s="165"/>
      <c r="N307" s="5"/>
      <c r="O307" s="6"/>
    </row>
    <row r="308" spans="1:15" s="159" customFormat="1" x14ac:dyDescent="0.25">
      <c r="A308" s="181"/>
      <c r="B308" s="1"/>
      <c r="C308" s="2"/>
      <c r="D308" s="2"/>
      <c r="E308" s="3"/>
      <c r="F308" s="2"/>
      <c r="G308" s="2"/>
      <c r="H308" s="2"/>
      <c r="I308" s="2"/>
      <c r="J308" s="2"/>
      <c r="K308" s="160"/>
      <c r="L308" s="160"/>
      <c r="M308" s="165"/>
      <c r="N308" s="5"/>
      <c r="O308" s="6"/>
    </row>
    <row r="309" spans="1:15" s="159" customFormat="1" x14ac:dyDescent="0.25">
      <c r="A309" s="181"/>
      <c r="B309" s="1"/>
      <c r="C309" s="2"/>
      <c r="D309" s="2"/>
      <c r="E309" s="3"/>
      <c r="F309" s="2"/>
      <c r="G309" s="2"/>
      <c r="H309" s="2"/>
      <c r="I309" s="2"/>
      <c r="J309" s="2"/>
      <c r="K309" s="4"/>
      <c r="L309" s="4"/>
      <c r="M309" s="165"/>
      <c r="N309" s="5"/>
      <c r="O309" s="6"/>
    </row>
    <row r="310" spans="1:15" s="159" customFormat="1" x14ac:dyDescent="0.25">
      <c r="A310" s="181"/>
      <c r="B310" s="1"/>
      <c r="C310" s="2"/>
      <c r="D310" s="2"/>
      <c r="E310" s="3"/>
      <c r="F310" s="2"/>
      <c r="G310" s="2"/>
      <c r="H310" s="2"/>
      <c r="I310" s="2"/>
      <c r="J310" s="2"/>
      <c r="K310" s="4"/>
      <c r="L310" s="4"/>
      <c r="M310" s="165"/>
      <c r="N310" s="5"/>
      <c r="O310" s="6"/>
    </row>
    <row r="311" spans="1:15" s="159" customFormat="1" x14ac:dyDescent="0.25">
      <c r="A311" s="181"/>
      <c r="B311" s="1"/>
      <c r="C311" s="2"/>
      <c r="D311" s="2"/>
      <c r="E311" s="3"/>
      <c r="F311" s="2"/>
      <c r="G311" s="2"/>
      <c r="H311" s="2"/>
      <c r="I311" s="2"/>
      <c r="J311" s="2"/>
      <c r="K311" s="4"/>
      <c r="L311" s="4"/>
      <c r="M311" s="165"/>
      <c r="N311" s="5"/>
      <c r="O311" s="6"/>
    </row>
    <row r="312" spans="1:15" s="159" customFormat="1" x14ac:dyDescent="0.25">
      <c r="A312" s="181"/>
      <c r="B312" s="1"/>
      <c r="C312" s="2"/>
      <c r="D312" s="2"/>
      <c r="E312" s="3"/>
      <c r="F312" s="2"/>
      <c r="G312" s="2"/>
      <c r="H312" s="2"/>
      <c r="I312" s="2"/>
      <c r="J312" s="2"/>
      <c r="K312" s="4"/>
      <c r="L312" s="4"/>
      <c r="M312" s="165"/>
      <c r="N312" s="5"/>
      <c r="O312" s="6"/>
    </row>
    <row r="313" spans="1:15" s="159" customFormat="1" x14ac:dyDescent="0.25">
      <c r="A313" s="181"/>
      <c r="B313" s="1"/>
      <c r="C313" s="2"/>
      <c r="D313" s="2"/>
      <c r="E313" s="3"/>
      <c r="F313" s="2"/>
      <c r="G313" s="2"/>
      <c r="H313" s="2"/>
      <c r="I313" s="2"/>
      <c r="J313" s="2"/>
      <c r="K313" s="4"/>
      <c r="L313" s="4"/>
      <c r="M313" s="165"/>
      <c r="N313" s="5"/>
      <c r="O313" s="6"/>
    </row>
    <row r="314" spans="1:15" s="159" customFormat="1" x14ac:dyDescent="0.25">
      <c r="A314" s="181"/>
      <c r="B314" s="1"/>
      <c r="C314" s="2"/>
      <c r="D314" s="2"/>
      <c r="E314" s="3"/>
      <c r="F314" s="2"/>
      <c r="G314" s="2"/>
      <c r="H314" s="2"/>
      <c r="I314" s="2"/>
      <c r="J314" s="2"/>
      <c r="K314" s="4"/>
      <c r="L314" s="4"/>
      <c r="M314" s="165"/>
      <c r="N314" s="5"/>
      <c r="O314" s="6"/>
    </row>
    <row r="315" spans="1:15" s="159" customFormat="1" x14ac:dyDescent="0.25">
      <c r="A315" s="181"/>
      <c r="B315" s="1"/>
      <c r="C315" s="2"/>
      <c r="D315" s="2"/>
      <c r="E315" s="3"/>
      <c r="F315" s="2"/>
      <c r="G315" s="2"/>
      <c r="H315" s="2"/>
      <c r="I315" s="2"/>
      <c r="J315" s="2"/>
      <c r="K315" s="4"/>
      <c r="L315" s="4"/>
      <c r="M315" s="165"/>
      <c r="N315" s="5"/>
      <c r="O315" s="6"/>
    </row>
    <row r="316" spans="1:15" s="159" customFormat="1" x14ac:dyDescent="0.25">
      <c r="A316" s="181"/>
      <c r="B316" s="1"/>
      <c r="C316" s="2"/>
      <c r="D316" s="2"/>
      <c r="E316" s="3"/>
      <c r="F316" s="2"/>
      <c r="G316" s="2"/>
      <c r="H316" s="2"/>
      <c r="I316" s="2"/>
      <c r="J316" s="2"/>
      <c r="K316" s="4"/>
      <c r="L316" s="4"/>
      <c r="M316" s="165"/>
      <c r="N316" s="5"/>
      <c r="O316" s="6"/>
    </row>
    <row r="317" spans="1:15" s="159" customFormat="1" x14ac:dyDescent="0.25">
      <c r="A317" s="181"/>
      <c r="B317" s="1"/>
      <c r="C317" s="2"/>
      <c r="D317" s="2"/>
      <c r="E317" s="3"/>
      <c r="F317" s="2"/>
      <c r="G317" s="2"/>
      <c r="H317" s="2"/>
      <c r="I317" s="2"/>
      <c r="J317" s="2"/>
      <c r="K317" s="4"/>
      <c r="L317" s="4"/>
      <c r="M317" s="165"/>
      <c r="N317" s="5"/>
      <c r="O317" s="6"/>
    </row>
    <row r="318" spans="1:15" s="159" customFormat="1" x14ac:dyDescent="0.25">
      <c r="A318" s="181"/>
      <c r="B318" s="1"/>
      <c r="C318" s="2"/>
      <c r="D318" s="2"/>
      <c r="E318" s="3"/>
      <c r="F318" s="2"/>
      <c r="G318" s="2"/>
      <c r="H318" s="2"/>
      <c r="I318" s="2"/>
      <c r="J318" s="2"/>
      <c r="K318" s="4"/>
      <c r="L318" s="4"/>
      <c r="M318" s="165"/>
      <c r="N318" s="5"/>
      <c r="O318" s="6"/>
    </row>
    <row r="319" spans="1:15" s="159" customFormat="1" x14ac:dyDescent="0.25">
      <c r="A319" s="181"/>
      <c r="B319" s="1"/>
      <c r="C319" s="2"/>
      <c r="D319" s="2"/>
      <c r="E319" s="3"/>
      <c r="F319" s="2"/>
      <c r="G319" s="2"/>
      <c r="H319" s="2"/>
      <c r="I319" s="2"/>
      <c r="J319" s="2"/>
      <c r="K319" s="4"/>
      <c r="L319" s="4"/>
      <c r="M319" s="165"/>
      <c r="N319" s="5"/>
      <c r="O319" s="6"/>
    </row>
    <row r="320" spans="1:15" s="159" customFormat="1" x14ac:dyDescent="0.25">
      <c r="A320" s="181"/>
      <c r="B320" s="1"/>
      <c r="C320" s="2"/>
      <c r="D320" s="2"/>
      <c r="E320" s="3"/>
      <c r="F320" s="2"/>
      <c r="G320" s="2"/>
      <c r="H320" s="2"/>
      <c r="I320" s="2"/>
      <c r="J320" s="2"/>
      <c r="K320" s="4"/>
      <c r="L320" s="4"/>
      <c r="M320" s="165"/>
      <c r="N320" s="5"/>
      <c r="O320" s="6"/>
    </row>
    <row r="321" spans="1:15" s="159" customFormat="1" x14ac:dyDescent="0.25">
      <c r="A321" s="181"/>
      <c r="B321" s="1"/>
      <c r="C321" s="2"/>
      <c r="D321" s="2"/>
      <c r="E321" s="3"/>
      <c r="F321" s="2"/>
      <c r="G321" s="2"/>
      <c r="H321" s="2"/>
      <c r="I321" s="2"/>
      <c r="J321" s="2"/>
      <c r="K321" s="4"/>
      <c r="L321" s="4"/>
      <c r="M321" s="165"/>
      <c r="N321" s="5"/>
      <c r="O321" s="6"/>
    </row>
    <row r="322" spans="1:15" s="159" customFormat="1" x14ac:dyDescent="0.25">
      <c r="A322" s="181"/>
      <c r="B322" s="1"/>
      <c r="C322" s="2"/>
      <c r="D322" s="2"/>
      <c r="E322" s="3"/>
      <c r="F322" s="2"/>
      <c r="G322" s="2"/>
      <c r="H322" s="2"/>
      <c r="I322" s="2"/>
      <c r="J322" s="2"/>
      <c r="K322" s="4"/>
      <c r="L322" s="4"/>
      <c r="M322" s="165"/>
      <c r="N322" s="5"/>
      <c r="O322" s="6"/>
    </row>
    <row r="323" spans="1:15" s="159" customFormat="1" x14ac:dyDescent="0.25">
      <c r="A323" s="181"/>
      <c r="B323" s="1"/>
      <c r="C323" s="2"/>
      <c r="D323" s="2"/>
      <c r="E323" s="3"/>
      <c r="F323" s="2"/>
      <c r="G323" s="2"/>
      <c r="H323" s="2"/>
      <c r="I323" s="2"/>
      <c r="J323" s="2"/>
      <c r="K323" s="4"/>
      <c r="L323" s="4"/>
      <c r="M323" s="165"/>
      <c r="N323" s="5"/>
      <c r="O323" s="6"/>
    </row>
    <row r="324" spans="1:15" s="159" customFormat="1" x14ac:dyDescent="0.25">
      <c r="A324" s="181"/>
      <c r="B324" s="1"/>
      <c r="C324" s="2"/>
      <c r="D324" s="2"/>
      <c r="E324" s="3"/>
      <c r="F324" s="2"/>
      <c r="G324" s="2"/>
      <c r="H324" s="2"/>
      <c r="I324" s="2"/>
      <c r="J324" s="2"/>
      <c r="K324" s="4"/>
      <c r="L324" s="4"/>
      <c r="M324" s="165"/>
      <c r="N324" s="5"/>
      <c r="O324" s="6"/>
    </row>
    <row r="325" spans="1:15" s="159" customFormat="1" x14ac:dyDescent="0.25">
      <c r="A325" s="181"/>
      <c r="B325" s="1"/>
      <c r="C325" s="2"/>
      <c r="D325" s="2"/>
      <c r="E325" s="3"/>
      <c r="F325" s="2"/>
      <c r="G325" s="2"/>
      <c r="H325" s="2"/>
      <c r="I325" s="2"/>
      <c r="J325" s="2"/>
      <c r="K325" s="4"/>
      <c r="L325" s="4"/>
      <c r="M325" s="165"/>
      <c r="N325" s="5"/>
      <c r="O325" s="6"/>
    </row>
    <row r="326" spans="1:15" s="159" customFormat="1" x14ac:dyDescent="0.25">
      <c r="A326" s="181"/>
      <c r="B326" s="1"/>
      <c r="C326" s="2"/>
      <c r="D326" s="2"/>
      <c r="E326" s="3"/>
      <c r="F326" s="2"/>
      <c r="G326" s="2"/>
      <c r="H326" s="2"/>
      <c r="I326" s="2"/>
      <c r="J326" s="2"/>
      <c r="K326" s="4"/>
      <c r="L326" s="4"/>
      <c r="M326" s="165"/>
      <c r="N326" s="5"/>
      <c r="O326" s="6"/>
    </row>
    <row r="327" spans="1:15" s="159" customFormat="1" x14ac:dyDescent="0.25">
      <c r="A327" s="181"/>
      <c r="B327" s="1"/>
      <c r="C327" s="2"/>
      <c r="D327" s="2"/>
      <c r="E327" s="3"/>
      <c r="F327" s="2"/>
      <c r="G327" s="2"/>
      <c r="H327" s="2"/>
      <c r="I327" s="2"/>
      <c r="J327" s="2"/>
      <c r="K327" s="4"/>
      <c r="L327" s="4"/>
      <c r="M327" s="165"/>
      <c r="N327" s="5"/>
      <c r="O327" s="6"/>
    </row>
    <row r="328" spans="1:15" s="159" customFormat="1" x14ac:dyDescent="0.25">
      <c r="A328" s="181"/>
      <c r="B328" s="1"/>
      <c r="C328" s="2"/>
      <c r="D328" s="2"/>
      <c r="E328" s="3"/>
      <c r="F328" s="2"/>
      <c r="G328" s="2"/>
      <c r="H328" s="2"/>
      <c r="I328" s="2"/>
      <c r="J328" s="2"/>
      <c r="K328" s="4"/>
      <c r="L328" s="4"/>
      <c r="M328" s="165"/>
      <c r="N328" s="5"/>
      <c r="O328" s="6"/>
    </row>
    <row r="329" spans="1:15" s="159" customFormat="1" x14ac:dyDescent="0.25">
      <c r="A329" s="181"/>
      <c r="B329" s="1"/>
      <c r="C329" s="2"/>
      <c r="D329" s="2"/>
      <c r="E329" s="3"/>
      <c r="F329" s="2"/>
      <c r="G329" s="2"/>
      <c r="H329" s="2"/>
      <c r="I329" s="2"/>
      <c r="J329" s="2"/>
      <c r="K329" s="4"/>
      <c r="L329" s="4"/>
      <c r="M329" s="165"/>
      <c r="N329" s="5"/>
      <c r="O329" s="6"/>
    </row>
    <row r="330" spans="1:15" s="159" customFormat="1" x14ac:dyDescent="0.25">
      <c r="A330" s="181"/>
      <c r="B330" s="1"/>
      <c r="C330" s="2"/>
      <c r="D330" s="2"/>
      <c r="E330" s="3"/>
      <c r="F330" s="2"/>
      <c r="G330" s="2"/>
      <c r="H330" s="2"/>
      <c r="I330" s="2"/>
      <c r="J330" s="2"/>
      <c r="K330" s="4"/>
      <c r="L330" s="4"/>
      <c r="M330" s="165"/>
      <c r="N330" s="5"/>
      <c r="O330" s="6"/>
    </row>
    <row r="331" spans="1:15" s="159" customFormat="1" x14ac:dyDescent="0.25">
      <c r="A331" s="181"/>
      <c r="B331" s="1"/>
      <c r="C331" s="2"/>
      <c r="D331" s="2"/>
      <c r="E331" s="3"/>
      <c r="F331" s="2"/>
      <c r="G331" s="2"/>
      <c r="H331" s="2"/>
      <c r="I331" s="2"/>
      <c r="J331" s="2"/>
      <c r="K331" s="4"/>
      <c r="L331" s="4"/>
      <c r="M331" s="165"/>
      <c r="N331" s="5"/>
      <c r="O331" s="6"/>
    </row>
    <row r="332" spans="1:15" s="159" customFormat="1" x14ac:dyDescent="0.25">
      <c r="A332" s="181"/>
      <c r="B332" s="1"/>
      <c r="C332" s="2"/>
      <c r="D332" s="2"/>
      <c r="E332" s="3"/>
      <c r="F332" s="2"/>
      <c r="G332" s="2"/>
      <c r="H332" s="2"/>
      <c r="I332" s="2"/>
      <c r="J332" s="2"/>
      <c r="K332" s="4"/>
      <c r="L332" s="4"/>
      <c r="M332" s="165"/>
      <c r="N332" s="5"/>
      <c r="O332" s="6"/>
    </row>
    <row r="333" spans="1:15" s="159" customFormat="1" x14ac:dyDescent="0.25">
      <c r="A333" s="181"/>
      <c r="B333" s="1"/>
      <c r="C333" s="2"/>
      <c r="D333" s="2"/>
      <c r="E333" s="3"/>
      <c r="F333" s="2"/>
      <c r="G333" s="2"/>
      <c r="H333" s="2"/>
      <c r="I333" s="2"/>
      <c r="J333" s="2"/>
      <c r="K333" s="4"/>
      <c r="L333" s="4"/>
      <c r="M333" s="165"/>
      <c r="N333" s="5"/>
      <c r="O333" s="6"/>
    </row>
    <row r="334" spans="1:15" s="159" customFormat="1" x14ac:dyDescent="0.25">
      <c r="A334" s="181"/>
      <c r="B334" s="1"/>
      <c r="C334" s="2"/>
      <c r="D334" s="2"/>
      <c r="E334" s="3"/>
      <c r="F334" s="2"/>
      <c r="G334" s="2"/>
      <c r="H334" s="2"/>
      <c r="I334" s="2"/>
      <c r="J334" s="2"/>
      <c r="K334" s="4"/>
      <c r="L334" s="4"/>
      <c r="M334" s="165"/>
      <c r="N334" s="5"/>
      <c r="O334" s="6"/>
    </row>
    <row r="335" spans="1:15" s="159" customFormat="1" x14ac:dyDescent="0.25">
      <c r="A335" s="181"/>
      <c r="B335" s="1"/>
      <c r="C335" s="2"/>
      <c r="D335" s="2"/>
      <c r="E335" s="3"/>
      <c r="F335" s="2"/>
      <c r="G335" s="2"/>
      <c r="H335" s="2"/>
      <c r="I335" s="2"/>
      <c r="J335" s="2"/>
      <c r="K335" s="4"/>
      <c r="L335" s="4"/>
      <c r="M335" s="165"/>
      <c r="N335" s="5"/>
      <c r="O335" s="6"/>
    </row>
    <row r="336" spans="1:15" s="159" customFormat="1" x14ac:dyDescent="0.25">
      <c r="A336" s="181"/>
      <c r="B336" s="1"/>
      <c r="C336" s="2"/>
      <c r="D336" s="2"/>
      <c r="E336" s="3"/>
      <c r="F336" s="2"/>
      <c r="G336" s="2"/>
      <c r="H336" s="2"/>
      <c r="I336" s="2"/>
      <c r="J336" s="2"/>
      <c r="K336" s="4"/>
      <c r="L336" s="4"/>
      <c r="M336" s="165"/>
      <c r="N336" s="5"/>
      <c r="O336" s="6"/>
    </row>
    <row r="337" spans="1:15" s="159" customFormat="1" x14ac:dyDescent="0.25">
      <c r="A337" s="181"/>
      <c r="B337" s="1"/>
      <c r="C337" s="2"/>
      <c r="D337" s="2"/>
      <c r="E337" s="3"/>
      <c r="F337" s="2"/>
      <c r="G337" s="2"/>
      <c r="H337" s="2"/>
      <c r="I337" s="2"/>
      <c r="J337" s="2"/>
      <c r="K337" s="4"/>
      <c r="L337" s="4"/>
      <c r="M337" s="165"/>
      <c r="N337" s="5"/>
      <c r="O337" s="6"/>
    </row>
    <row r="338" spans="1:15" s="159" customFormat="1" x14ac:dyDescent="0.25">
      <c r="A338" s="181"/>
      <c r="B338" s="1"/>
      <c r="C338" s="2"/>
      <c r="D338" s="2"/>
      <c r="E338" s="3"/>
      <c r="F338" s="2"/>
      <c r="G338" s="2"/>
      <c r="H338" s="2"/>
      <c r="I338" s="2"/>
      <c r="J338" s="2"/>
      <c r="K338" s="4"/>
      <c r="L338" s="4"/>
      <c r="M338" s="165"/>
      <c r="N338" s="5"/>
      <c r="O338" s="6"/>
    </row>
    <row r="339" spans="1:15" s="159" customFormat="1" x14ac:dyDescent="0.25">
      <c r="A339" s="181"/>
      <c r="B339" s="1"/>
      <c r="C339" s="2"/>
      <c r="D339" s="2"/>
      <c r="E339" s="3"/>
      <c r="F339" s="2"/>
      <c r="G339" s="2"/>
      <c r="H339" s="2"/>
      <c r="I339" s="2"/>
      <c r="J339" s="2"/>
      <c r="K339" s="4"/>
      <c r="L339" s="4"/>
      <c r="M339" s="165"/>
      <c r="N339" s="5"/>
      <c r="O339" s="6"/>
    </row>
    <row r="340" spans="1:15" s="159" customFormat="1" x14ac:dyDescent="0.25">
      <c r="A340" s="181"/>
      <c r="B340" s="1"/>
      <c r="C340" s="2"/>
      <c r="D340" s="2"/>
      <c r="E340" s="3"/>
      <c r="F340" s="2"/>
      <c r="G340" s="2"/>
      <c r="H340" s="2"/>
      <c r="I340" s="2"/>
      <c r="J340" s="2"/>
      <c r="K340" s="4"/>
      <c r="L340" s="4"/>
      <c r="M340" s="165"/>
      <c r="N340" s="5"/>
      <c r="O340" s="6"/>
    </row>
    <row r="341" spans="1:15" s="159" customFormat="1" x14ac:dyDescent="0.25">
      <c r="A341" s="181"/>
      <c r="B341" s="1"/>
      <c r="C341" s="2"/>
      <c r="D341" s="2"/>
      <c r="E341" s="3"/>
      <c r="F341" s="2"/>
      <c r="G341" s="2"/>
      <c r="H341" s="2"/>
      <c r="I341" s="2"/>
      <c r="J341" s="2"/>
      <c r="K341" s="4"/>
      <c r="L341" s="4"/>
      <c r="M341" s="165"/>
      <c r="N341" s="5"/>
      <c r="O341" s="6"/>
    </row>
    <row r="342" spans="1:15" s="159" customFormat="1" x14ac:dyDescent="0.25">
      <c r="A342" s="181"/>
      <c r="B342" s="1"/>
      <c r="C342" s="2"/>
      <c r="D342" s="2"/>
      <c r="E342" s="3"/>
      <c r="F342" s="2"/>
      <c r="G342" s="2"/>
      <c r="H342" s="2"/>
      <c r="I342" s="2"/>
      <c r="J342" s="2"/>
      <c r="K342" s="4"/>
      <c r="L342" s="4"/>
      <c r="M342" s="165"/>
      <c r="N342" s="5"/>
      <c r="O342" s="6"/>
    </row>
    <row r="343" spans="1:15" s="159" customFormat="1" x14ac:dyDescent="0.25">
      <c r="A343" s="181"/>
      <c r="B343" s="1"/>
      <c r="C343" s="2"/>
      <c r="D343" s="2"/>
      <c r="E343" s="3"/>
      <c r="F343" s="2"/>
      <c r="G343" s="2"/>
      <c r="H343" s="2"/>
      <c r="I343" s="2"/>
      <c r="J343" s="2"/>
      <c r="K343" s="4"/>
      <c r="L343" s="4"/>
      <c r="M343" s="165"/>
      <c r="N343" s="5"/>
      <c r="O343" s="6"/>
    </row>
    <row r="344" spans="1:15" s="159" customFormat="1" x14ac:dyDescent="0.25">
      <c r="A344" s="181"/>
      <c r="B344" s="1"/>
      <c r="C344" s="2"/>
      <c r="D344" s="2"/>
      <c r="E344" s="3"/>
      <c r="F344" s="2"/>
      <c r="G344" s="2"/>
      <c r="H344" s="2"/>
      <c r="I344" s="2"/>
      <c r="J344" s="2"/>
      <c r="K344" s="4"/>
      <c r="L344" s="4"/>
      <c r="M344" s="165"/>
      <c r="N344" s="5"/>
      <c r="O344" s="6"/>
    </row>
    <row r="345" spans="1:15" s="159" customFormat="1" x14ac:dyDescent="0.25">
      <c r="A345" s="181"/>
      <c r="B345" s="1"/>
      <c r="C345" s="2"/>
      <c r="D345" s="2"/>
      <c r="E345" s="3"/>
      <c r="F345" s="2"/>
      <c r="G345" s="2"/>
      <c r="H345" s="2"/>
      <c r="I345" s="2"/>
      <c r="J345" s="2"/>
      <c r="K345" s="4"/>
      <c r="L345" s="4"/>
      <c r="M345" s="165"/>
      <c r="N345" s="5"/>
      <c r="O345" s="6"/>
    </row>
    <row r="346" spans="1:15" s="159" customFormat="1" x14ac:dyDescent="0.25">
      <c r="A346" s="181"/>
      <c r="B346" s="1"/>
      <c r="C346" s="2"/>
      <c r="D346" s="2"/>
      <c r="E346" s="3"/>
      <c r="F346" s="2"/>
      <c r="G346" s="2"/>
      <c r="H346" s="2"/>
      <c r="I346" s="2"/>
      <c r="J346" s="2"/>
      <c r="K346" s="4"/>
      <c r="L346" s="4"/>
      <c r="M346" s="165"/>
      <c r="N346" s="5"/>
      <c r="O346" s="6"/>
    </row>
    <row r="347" spans="1:15" s="159" customFormat="1" x14ac:dyDescent="0.25">
      <c r="A347" s="181"/>
      <c r="B347" s="1"/>
      <c r="C347" s="2"/>
      <c r="D347" s="2"/>
      <c r="E347" s="3"/>
      <c r="F347" s="2"/>
      <c r="G347" s="2"/>
      <c r="H347" s="2"/>
      <c r="I347" s="2"/>
      <c r="J347" s="2"/>
      <c r="K347" s="4"/>
      <c r="L347" s="4"/>
      <c r="M347" s="165"/>
      <c r="N347" s="5"/>
      <c r="O347" s="6"/>
    </row>
    <row r="348" spans="1:15" s="159" customFormat="1" x14ac:dyDescent="0.25">
      <c r="A348" s="181"/>
      <c r="B348" s="1"/>
      <c r="C348" s="2"/>
      <c r="D348" s="2"/>
      <c r="E348" s="3"/>
      <c r="F348" s="2"/>
      <c r="G348" s="2"/>
      <c r="H348" s="2"/>
      <c r="I348" s="2"/>
      <c r="J348" s="2"/>
      <c r="K348" s="4"/>
      <c r="L348" s="4"/>
      <c r="M348" s="165"/>
      <c r="N348" s="5"/>
      <c r="O348" s="6"/>
    </row>
  </sheetData>
  <autoFilter ref="B1:B356"/>
  <conditionalFormatting sqref="B84 B70:B73">
    <cfRule type="cellIs" dxfId="54" priority="48" operator="equal">
      <formula>"новинка!"</formula>
    </cfRule>
  </conditionalFormatting>
  <conditionalFormatting sqref="B49:B52 B292:B1048576 B55:B64 B70:B73 B16:B46 B103:B116 B77:B92 B1:B13">
    <cfRule type="cellIs" dxfId="53" priority="46" operator="equal">
      <formula>"новинка!"</formula>
    </cfRule>
    <cfRule type="cellIs" dxfId="52" priority="47" operator="equal">
      <formula>"новинка!"</formula>
    </cfRule>
  </conditionalFormatting>
  <conditionalFormatting sqref="B14">
    <cfRule type="cellIs" dxfId="51" priority="44" operator="equal">
      <formula>"новинка!"</formula>
    </cfRule>
    <cfRule type="cellIs" dxfId="50" priority="45" operator="equal">
      <formula>"новинка!"</formula>
    </cfRule>
  </conditionalFormatting>
  <conditionalFormatting sqref="B15">
    <cfRule type="cellIs" dxfId="49" priority="40" operator="equal">
      <formula>"новинка!"</formula>
    </cfRule>
    <cfRule type="cellIs" dxfId="48" priority="41" operator="equal">
      <formula>"новинка!"</formula>
    </cfRule>
  </conditionalFormatting>
  <conditionalFormatting sqref="B47:B48">
    <cfRule type="cellIs" dxfId="47" priority="36" operator="equal">
      <formula>"новинка!"</formula>
    </cfRule>
    <cfRule type="cellIs" dxfId="46" priority="37" operator="equal">
      <formula>"новинка!"</formula>
    </cfRule>
  </conditionalFormatting>
  <conditionalFormatting sqref="B53:B54">
    <cfRule type="cellIs" dxfId="45" priority="34" operator="equal">
      <formula>"новинка!"</formula>
    </cfRule>
    <cfRule type="cellIs" dxfId="44" priority="35" operator="equal">
      <formula>"новинка!"</formula>
    </cfRule>
  </conditionalFormatting>
  <conditionalFormatting sqref="B65:B69">
    <cfRule type="cellIs" dxfId="43" priority="32" operator="equal">
      <formula>"новинка!"</formula>
    </cfRule>
    <cfRule type="cellIs" dxfId="42" priority="33" operator="equal">
      <formula>"новинка!"</formula>
    </cfRule>
  </conditionalFormatting>
  <conditionalFormatting sqref="B74:B76">
    <cfRule type="cellIs" dxfId="41" priority="26" operator="equal">
      <formula>"новинка!"</formula>
    </cfRule>
    <cfRule type="cellIs" dxfId="40" priority="27" operator="equal">
      <formula>"новинка!"</formula>
    </cfRule>
  </conditionalFormatting>
  <conditionalFormatting sqref="B74:B76">
    <cfRule type="cellIs" dxfId="39" priority="28" operator="equal">
      <formula>"новинка!"</formula>
    </cfRule>
  </conditionalFormatting>
  <conditionalFormatting sqref="B93:B94">
    <cfRule type="cellIs" dxfId="38" priority="21" operator="equal">
      <formula>"новинка!"</formula>
    </cfRule>
    <cfRule type="cellIs" dxfId="37" priority="22" operator="equal">
      <formula>"новинка!"</formula>
    </cfRule>
  </conditionalFormatting>
  <conditionalFormatting sqref="B95:B96">
    <cfRule type="cellIs" dxfId="36" priority="19" operator="equal">
      <formula>"новинка!"</formula>
    </cfRule>
    <cfRule type="cellIs" dxfId="35" priority="20" operator="equal">
      <formula>"новинка!"</formula>
    </cfRule>
  </conditionalFormatting>
  <conditionalFormatting sqref="B97">
    <cfRule type="cellIs" dxfId="34" priority="17" operator="equal">
      <formula>"новинка!"</formula>
    </cfRule>
    <cfRule type="cellIs" dxfId="33" priority="18" operator="equal">
      <formula>"новинка!"</formula>
    </cfRule>
  </conditionalFormatting>
  <conditionalFormatting sqref="B98:B99">
    <cfRule type="cellIs" dxfId="32" priority="15" operator="equal">
      <formula>"новинка!"</formula>
    </cfRule>
    <cfRule type="cellIs" dxfId="31" priority="16" operator="equal">
      <formula>"новинка!"</formula>
    </cfRule>
  </conditionalFormatting>
  <conditionalFormatting sqref="B100:B102">
    <cfRule type="cellIs" dxfId="30" priority="13" operator="equal">
      <formula>"новинка!"</formula>
    </cfRule>
    <cfRule type="cellIs" dxfId="29" priority="14" operator="equal">
      <formula>"новинка!"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AI225"/>
  <sheetViews>
    <sheetView topLeftCell="A193" workbookViewId="0">
      <selection activeCell="A221" sqref="A221:XFD225"/>
    </sheetView>
  </sheetViews>
  <sheetFormatPr defaultRowHeight="15" x14ac:dyDescent="0.25"/>
  <cols>
    <col min="4" max="4" width="95.140625" customWidth="1"/>
  </cols>
  <sheetData>
    <row r="1" spans="1:35" s="12" customFormat="1" x14ac:dyDescent="0.25">
      <c r="A1" s="19"/>
      <c r="B1" s="32">
        <v>18061</v>
      </c>
      <c r="C1" s="21" t="s">
        <v>61</v>
      </c>
      <c r="D1" s="22" t="s">
        <v>62</v>
      </c>
      <c r="E1" s="23" t="s">
        <v>15</v>
      </c>
      <c r="F1" s="21">
        <v>100</v>
      </c>
      <c r="G1" s="21">
        <v>2.7</v>
      </c>
      <c r="H1" s="21">
        <v>68</v>
      </c>
      <c r="I1" s="21">
        <v>0.04</v>
      </c>
      <c r="J1" s="25">
        <v>112</v>
      </c>
      <c r="K1" s="25">
        <v>93.333333333333343</v>
      </c>
      <c r="L1" s="26">
        <v>0.55000000000000004</v>
      </c>
      <c r="M1" s="25">
        <v>50.399999999999991</v>
      </c>
      <c r="N1" s="25">
        <f t="shared" ref="N1:N37" si="0">M1/1.2</f>
        <v>41.999999999999993</v>
      </c>
    </row>
    <row r="2" spans="1:35" s="12" customFormat="1" x14ac:dyDescent="0.25">
      <c r="A2" s="19"/>
      <c r="B2" s="32">
        <v>18062</v>
      </c>
      <c r="C2" s="21" t="s">
        <v>61</v>
      </c>
      <c r="D2" s="22" t="s">
        <v>63</v>
      </c>
      <c r="E2" s="23" t="s">
        <v>64</v>
      </c>
      <c r="F2" s="21">
        <v>109</v>
      </c>
      <c r="G2" s="21">
        <v>109</v>
      </c>
      <c r="H2" s="21">
        <v>52.5</v>
      </c>
      <c r="I2" s="21">
        <v>0.1</v>
      </c>
      <c r="J2" s="25">
        <v>166</v>
      </c>
      <c r="K2" s="25">
        <v>138.33333333333334</v>
      </c>
      <c r="L2" s="26">
        <v>0.55000000000000004</v>
      </c>
      <c r="M2" s="25">
        <v>74.699999999999989</v>
      </c>
      <c r="N2" s="25">
        <f t="shared" si="0"/>
        <v>62.249999999999993</v>
      </c>
    </row>
    <row r="3" spans="1:35" s="27" customFormat="1" x14ac:dyDescent="0.25">
      <c r="A3" s="41"/>
      <c r="B3" s="32">
        <v>8084</v>
      </c>
      <c r="C3" s="21" t="s">
        <v>65</v>
      </c>
      <c r="D3" s="22" t="s">
        <v>79</v>
      </c>
      <c r="E3" s="23" t="s">
        <v>15</v>
      </c>
      <c r="F3" s="24">
        <v>500</v>
      </c>
      <c r="G3" s="21">
        <v>160</v>
      </c>
      <c r="H3" s="21">
        <v>423</v>
      </c>
      <c r="I3" s="21">
        <v>3</v>
      </c>
      <c r="J3" s="25">
        <v>2088</v>
      </c>
      <c r="K3" s="25">
        <v>1740</v>
      </c>
      <c r="L3" s="26">
        <v>0.55000000000000004</v>
      </c>
      <c r="M3" s="25">
        <v>939.59999999999991</v>
      </c>
      <c r="N3" s="25">
        <f t="shared" si="0"/>
        <v>783</v>
      </c>
    </row>
    <row r="4" spans="1:35" s="12" customFormat="1" ht="30" x14ac:dyDescent="0.25">
      <c r="A4" s="19"/>
      <c r="B4" s="32">
        <v>18101</v>
      </c>
      <c r="C4" s="21" t="s">
        <v>61</v>
      </c>
      <c r="D4" s="22" t="s">
        <v>80</v>
      </c>
      <c r="E4" s="23" t="s">
        <v>15</v>
      </c>
      <c r="F4" s="24">
        <v>152</v>
      </c>
      <c r="G4" s="21">
        <v>4</v>
      </c>
      <c r="H4" s="21">
        <v>185</v>
      </c>
      <c r="I4" s="21">
        <v>0.15</v>
      </c>
      <c r="J4" s="25">
        <v>156</v>
      </c>
      <c r="K4" s="25">
        <v>130</v>
      </c>
      <c r="L4" s="26">
        <v>0.55000000000000004</v>
      </c>
      <c r="M4" s="25">
        <v>70.199999999999989</v>
      </c>
      <c r="N4" s="25">
        <f t="shared" si="0"/>
        <v>58.499999999999993</v>
      </c>
    </row>
    <row r="5" spans="1:35" s="13" customFormat="1" x14ac:dyDescent="0.25">
      <c r="A5" s="19"/>
      <c r="B5" s="32">
        <v>108</v>
      </c>
      <c r="C5" s="21" t="s">
        <v>61</v>
      </c>
      <c r="D5" s="22" t="s">
        <v>81</v>
      </c>
      <c r="E5" s="23" t="s">
        <v>15</v>
      </c>
      <c r="F5" s="21">
        <v>119</v>
      </c>
      <c r="G5" s="21">
        <v>28</v>
      </c>
      <c r="H5" s="21">
        <v>14</v>
      </c>
      <c r="I5" s="21">
        <v>0.05</v>
      </c>
      <c r="J5" s="25">
        <v>89</v>
      </c>
      <c r="K5" s="25">
        <v>74.166666666666671</v>
      </c>
      <c r="L5" s="26">
        <v>0.5</v>
      </c>
      <c r="M5" s="25">
        <v>44.5</v>
      </c>
      <c r="N5" s="25">
        <f t="shared" si="0"/>
        <v>37.083333333333336</v>
      </c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</row>
    <row r="6" spans="1:35" s="13" customFormat="1" x14ac:dyDescent="0.25">
      <c r="A6" s="19"/>
      <c r="B6" s="32" t="s">
        <v>82</v>
      </c>
      <c r="C6" s="21"/>
      <c r="D6" s="22" t="s">
        <v>83</v>
      </c>
      <c r="E6" s="23" t="s">
        <v>15</v>
      </c>
      <c r="F6" s="21">
        <v>119</v>
      </c>
      <c r="G6" s="21">
        <v>28</v>
      </c>
      <c r="H6" s="21">
        <v>14</v>
      </c>
      <c r="I6" s="21">
        <v>0.1</v>
      </c>
      <c r="J6" s="25">
        <v>121</v>
      </c>
      <c r="K6" s="25">
        <v>100.83333333333334</v>
      </c>
      <c r="L6" s="26">
        <v>0.5</v>
      </c>
      <c r="M6" s="25">
        <v>60.5</v>
      </c>
      <c r="N6" s="25">
        <f t="shared" si="0"/>
        <v>50.416666666666671</v>
      </c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</row>
    <row r="7" spans="1:35" s="12" customFormat="1" x14ac:dyDescent="0.25">
      <c r="A7" s="19"/>
      <c r="B7" s="32" t="s">
        <v>84</v>
      </c>
      <c r="C7" s="21" t="s">
        <v>61</v>
      </c>
      <c r="D7" s="22" t="s">
        <v>85</v>
      </c>
      <c r="E7" s="23" t="s">
        <v>15</v>
      </c>
      <c r="F7" s="21">
        <v>119</v>
      </c>
      <c r="G7" s="21">
        <v>28</v>
      </c>
      <c r="H7" s="21">
        <v>14</v>
      </c>
      <c r="I7" s="21">
        <v>0.05</v>
      </c>
      <c r="J7" s="25">
        <v>89</v>
      </c>
      <c r="K7" s="25">
        <v>74.166666666666671</v>
      </c>
      <c r="L7" s="26">
        <v>0.5</v>
      </c>
      <c r="M7" s="25">
        <v>44.5</v>
      </c>
      <c r="N7" s="25">
        <f t="shared" si="0"/>
        <v>37.083333333333336</v>
      </c>
    </row>
    <row r="8" spans="1:35" s="12" customFormat="1" ht="30" x14ac:dyDescent="0.25">
      <c r="A8" s="19"/>
      <c r="B8" s="43">
        <v>13804</v>
      </c>
      <c r="C8" s="21" t="s">
        <v>65</v>
      </c>
      <c r="D8" s="22" t="s">
        <v>144</v>
      </c>
      <c r="E8" s="44" t="s">
        <v>15</v>
      </c>
      <c r="F8" s="45">
        <v>500</v>
      </c>
      <c r="G8" s="45">
        <v>140</v>
      </c>
      <c r="H8" s="45">
        <v>385</v>
      </c>
      <c r="I8" s="45">
        <v>26.5</v>
      </c>
      <c r="J8" s="46">
        <v>3348</v>
      </c>
      <c r="K8" s="46">
        <v>2790</v>
      </c>
      <c r="L8" s="26">
        <v>0.3</v>
      </c>
      <c r="M8" s="25">
        <v>2343.6</v>
      </c>
      <c r="N8" s="25">
        <f t="shared" si="0"/>
        <v>1953</v>
      </c>
    </row>
    <row r="9" spans="1:35" s="13" customFormat="1" x14ac:dyDescent="0.25">
      <c r="A9" s="19"/>
      <c r="B9" s="43" t="s">
        <v>145</v>
      </c>
      <c r="C9" s="21" t="s">
        <v>65</v>
      </c>
      <c r="D9" s="22" t="s">
        <v>146</v>
      </c>
      <c r="E9" s="44" t="s">
        <v>15</v>
      </c>
      <c r="F9" s="45">
        <v>500</v>
      </c>
      <c r="G9" s="45">
        <v>160</v>
      </c>
      <c r="H9" s="45">
        <v>500</v>
      </c>
      <c r="I9" s="45">
        <v>45</v>
      </c>
      <c r="J9" s="46">
        <v>3407</v>
      </c>
      <c r="K9" s="46">
        <v>2839.166666666667</v>
      </c>
      <c r="L9" s="26">
        <v>0.3</v>
      </c>
      <c r="M9" s="25">
        <v>2384.9</v>
      </c>
      <c r="N9" s="25">
        <f t="shared" si="0"/>
        <v>1987.4166666666667</v>
      </c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</row>
    <row r="10" spans="1:35" s="12" customFormat="1" x14ac:dyDescent="0.25">
      <c r="A10" s="19"/>
      <c r="B10" s="53" t="s">
        <v>147</v>
      </c>
      <c r="C10" s="54"/>
      <c r="D10" s="22" t="s">
        <v>148</v>
      </c>
      <c r="E10" s="44"/>
      <c r="F10" s="45">
        <v>400</v>
      </c>
      <c r="G10" s="45">
        <v>80</v>
      </c>
      <c r="H10" s="45">
        <v>163.5</v>
      </c>
      <c r="I10" s="45">
        <v>1.4</v>
      </c>
      <c r="J10" s="46">
        <v>1944</v>
      </c>
      <c r="K10" s="46">
        <v>1620</v>
      </c>
      <c r="L10" s="26">
        <v>0.4</v>
      </c>
      <c r="M10" s="25">
        <v>1166.4000000000001</v>
      </c>
      <c r="N10" s="25">
        <f t="shared" si="0"/>
        <v>972.00000000000011</v>
      </c>
    </row>
    <row r="11" spans="1:35" s="13" customFormat="1" x14ac:dyDescent="0.25">
      <c r="A11" s="55"/>
      <c r="B11" s="43">
        <v>104</v>
      </c>
      <c r="C11" s="45"/>
      <c r="D11" s="22" t="s">
        <v>149</v>
      </c>
      <c r="E11" s="44" t="s">
        <v>15</v>
      </c>
      <c r="F11" s="45">
        <v>95</v>
      </c>
      <c r="G11" s="45">
        <v>30</v>
      </c>
      <c r="H11" s="45">
        <v>27</v>
      </c>
      <c r="I11" s="45">
        <v>0.15</v>
      </c>
      <c r="J11" s="46">
        <v>97</v>
      </c>
      <c r="K11" s="46">
        <v>80.833333333333343</v>
      </c>
      <c r="L11" s="26">
        <v>0.45</v>
      </c>
      <c r="M11" s="25">
        <v>53.35</v>
      </c>
      <c r="N11" s="25">
        <f t="shared" si="0"/>
        <v>44.458333333333336</v>
      </c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</row>
    <row r="12" spans="1:35" s="12" customFormat="1" x14ac:dyDescent="0.25">
      <c r="A12" s="56"/>
      <c r="B12" s="43">
        <v>22222</v>
      </c>
      <c r="C12" s="45"/>
      <c r="D12" s="22" t="s">
        <v>150</v>
      </c>
      <c r="E12" s="44" t="s">
        <v>15</v>
      </c>
      <c r="F12" s="45">
        <v>1.25</v>
      </c>
      <c r="G12" s="45">
        <v>160</v>
      </c>
      <c r="H12" s="45">
        <v>80</v>
      </c>
      <c r="I12" s="45">
        <v>0.2</v>
      </c>
      <c r="J12" s="46">
        <v>283</v>
      </c>
      <c r="K12" s="46">
        <v>235.83333333333334</v>
      </c>
      <c r="L12" s="26">
        <v>0.3</v>
      </c>
      <c r="M12" s="25">
        <v>198.10000000000002</v>
      </c>
      <c r="N12" s="25">
        <f t="shared" si="0"/>
        <v>165.08333333333337</v>
      </c>
    </row>
    <row r="13" spans="1:35" s="13" customFormat="1" x14ac:dyDescent="0.25">
      <c r="A13" s="56"/>
      <c r="B13" s="43">
        <v>22220</v>
      </c>
      <c r="C13" s="45"/>
      <c r="D13" s="22" t="s">
        <v>151</v>
      </c>
      <c r="E13" s="44" t="s">
        <v>15</v>
      </c>
      <c r="F13" s="45">
        <v>1.2</v>
      </c>
      <c r="G13" s="45">
        <v>156</v>
      </c>
      <c r="H13" s="45">
        <v>243</v>
      </c>
      <c r="I13" s="45">
        <v>0.4</v>
      </c>
      <c r="J13" s="46">
        <v>454</v>
      </c>
      <c r="K13" s="46">
        <v>378.33333333333337</v>
      </c>
      <c r="L13" s="26">
        <v>0.3</v>
      </c>
      <c r="M13" s="25">
        <v>317.8</v>
      </c>
      <c r="N13" s="25">
        <f t="shared" si="0"/>
        <v>264.83333333333337</v>
      </c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</row>
    <row r="14" spans="1:35" s="12" customFormat="1" x14ac:dyDescent="0.25">
      <c r="A14" s="56"/>
      <c r="B14" s="43">
        <v>22221</v>
      </c>
      <c r="C14" s="45"/>
      <c r="D14" s="22" t="s">
        <v>152</v>
      </c>
      <c r="E14" s="44" t="s">
        <v>15</v>
      </c>
      <c r="F14" s="45">
        <v>1.2</v>
      </c>
      <c r="G14" s="45">
        <v>156</v>
      </c>
      <c r="H14" s="45">
        <v>250</v>
      </c>
      <c r="I14" s="45">
        <v>0.5</v>
      </c>
      <c r="J14" s="46">
        <v>1314</v>
      </c>
      <c r="K14" s="46">
        <v>1095</v>
      </c>
      <c r="L14" s="26">
        <v>0.3</v>
      </c>
      <c r="M14" s="25">
        <v>919.8</v>
      </c>
      <c r="N14" s="25">
        <f t="shared" si="0"/>
        <v>766.5</v>
      </c>
    </row>
    <row r="15" spans="1:35" s="13" customFormat="1" x14ac:dyDescent="0.25">
      <c r="A15" s="55"/>
      <c r="B15" s="43">
        <v>1400</v>
      </c>
      <c r="C15" s="45"/>
      <c r="D15" s="22" t="s">
        <v>153</v>
      </c>
      <c r="E15" s="23"/>
      <c r="F15" s="21">
        <v>1000</v>
      </c>
      <c r="G15" s="21">
        <v>23</v>
      </c>
      <c r="H15" s="21">
        <v>27</v>
      </c>
      <c r="I15" s="21">
        <v>0.5</v>
      </c>
      <c r="J15" s="46">
        <v>166</v>
      </c>
      <c r="K15" s="46">
        <v>138.33333333333334</v>
      </c>
      <c r="L15" s="26">
        <v>0.3</v>
      </c>
      <c r="M15" s="25">
        <v>116.2</v>
      </c>
      <c r="N15" s="25">
        <f t="shared" si="0"/>
        <v>96.833333333333343</v>
      </c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</row>
    <row r="16" spans="1:35" s="27" customFormat="1" ht="30" x14ac:dyDescent="0.25">
      <c r="A16" s="41"/>
      <c r="B16" s="32">
        <v>500</v>
      </c>
      <c r="C16" s="21" t="s">
        <v>13</v>
      </c>
      <c r="D16" s="22" t="s">
        <v>174</v>
      </c>
      <c r="E16" s="23" t="s">
        <v>15</v>
      </c>
      <c r="F16" s="21">
        <v>500</v>
      </c>
      <c r="G16" s="21">
        <v>136</v>
      </c>
      <c r="H16" s="21">
        <v>20</v>
      </c>
      <c r="I16" s="21">
        <v>0.8</v>
      </c>
      <c r="J16" s="25">
        <v>281</v>
      </c>
      <c r="K16" s="25">
        <v>234.16666666666669</v>
      </c>
      <c r="L16" s="26">
        <v>0.5</v>
      </c>
      <c r="M16" s="25">
        <v>140.5</v>
      </c>
      <c r="N16" s="25">
        <f t="shared" si="0"/>
        <v>117.08333333333334</v>
      </c>
    </row>
    <row r="17" spans="1:35" s="27" customFormat="1" ht="30" x14ac:dyDescent="0.25">
      <c r="A17" s="41"/>
      <c r="B17" s="32">
        <v>508</v>
      </c>
      <c r="C17" s="21" t="s">
        <v>13</v>
      </c>
      <c r="D17" s="22" t="s">
        <v>175</v>
      </c>
      <c r="E17" s="23" t="s">
        <v>15</v>
      </c>
      <c r="F17" s="21">
        <v>1000</v>
      </c>
      <c r="G17" s="21">
        <v>136</v>
      </c>
      <c r="H17" s="21">
        <v>20</v>
      </c>
      <c r="I17" s="21">
        <v>1.6</v>
      </c>
      <c r="J17" s="25">
        <v>561</v>
      </c>
      <c r="K17" s="25">
        <v>467.5</v>
      </c>
      <c r="L17" s="26">
        <v>0.45</v>
      </c>
      <c r="M17" s="25">
        <v>308.54999999999995</v>
      </c>
      <c r="N17" s="25">
        <f t="shared" si="0"/>
        <v>257.125</v>
      </c>
    </row>
    <row r="18" spans="1:35" s="72" customFormat="1" ht="30" x14ac:dyDescent="0.25">
      <c r="A18" s="41"/>
      <c r="B18" s="32" t="s">
        <v>176</v>
      </c>
      <c r="C18" s="21" t="s">
        <v>13</v>
      </c>
      <c r="D18" s="22" t="s">
        <v>177</v>
      </c>
      <c r="E18" s="23" t="s">
        <v>15</v>
      </c>
      <c r="F18" s="21">
        <v>1000</v>
      </c>
      <c r="G18" s="21">
        <v>136</v>
      </c>
      <c r="H18" s="21">
        <v>20</v>
      </c>
      <c r="I18" s="21">
        <v>1.6</v>
      </c>
      <c r="J18" s="25">
        <v>561</v>
      </c>
      <c r="K18" s="25">
        <v>467.5</v>
      </c>
      <c r="L18" s="26">
        <v>0.45</v>
      </c>
      <c r="M18" s="25">
        <v>308.54999999999995</v>
      </c>
      <c r="N18" s="25">
        <f t="shared" si="0"/>
        <v>257.125</v>
      </c>
    </row>
    <row r="19" spans="1:35" s="12" customFormat="1" x14ac:dyDescent="0.25">
      <c r="A19" s="19"/>
      <c r="B19" s="32">
        <v>502</v>
      </c>
      <c r="C19" s="21" t="s">
        <v>13</v>
      </c>
      <c r="D19" s="22" t="s">
        <v>178</v>
      </c>
      <c r="E19" s="23" t="s">
        <v>15</v>
      </c>
      <c r="F19" s="21">
        <v>1000</v>
      </c>
      <c r="G19" s="21">
        <v>136</v>
      </c>
      <c r="H19" s="21">
        <v>20</v>
      </c>
      <c r="I19" s="21">
        <v>1.6</v>
      </c>
      <c r="J19" s="25">
        <v>3932</v>
      </c>
      <c r="K19" s="25">
        <v>3276.666666666667</v>
      </c>
      <c r="L19" s="26">
        <v>0.55000000000000004</v>
      </c>
      <c r="M19" s="25">
        <v>1769.3999999999996</v>
      </c>
      <c r="N19" s="25">
        <f t="shared" si="0"/>
        <v>1474.4999999999998</v>
      </c>
    </row>
    <row r="20" spans="1:35" s="12" customFormat="1" ht="30" x14ac:dyDescent="0.25">
      <c r="A20" s="42"/>
      <c r="B20" s="32">
        <v>503</v>
      </c>
      <c r="C20" s="21" t="s">
        <v>13</v>
      </c>
      <c r="D20" s="22" t="s">
        <v>179</v>
      </c>
      <c r="E20" s="23" t="s">
        <v>15</v>
      </c>
      <c r="F20" s="21">
        <v>1000</v>
      </c>
      <c r="G20" s="21">
        <v>136</v>
      </c>
      <c r="H20" s="21">
        <v>20</v>
      </c>
      <c r="I20" s="21">
        <v>1.6</v>
      </c>
      <c r="J20" s="25">
        <v>1835</v>
      </c>
      <c r="K20" s="25">
        <v>1529.1666666666667</v>
      </c>
      <c r="L20" s="26">
        <v>0.5</v>
      </c>
      <c r="M20" s="25">
        <v>917.5</v>
      </c>
      <c r="N20" s="25">
        <f t="shared" si="0"/>
        <v>764.58333333333337</v>
      </c>
    </row>
    <row r="21" spans="1:35" s="27" customFormat="1" x14ac:dyDescent="0.25">
      <c r="A21" s="41"/>
      <c r="B21" s="32">
        <v>504</v>
      </c>
      <c r="C21" s="21" t="s">
        <v>13</v>
      </c>
      <c r="D21" s="22" t="s">
        <v>180</v>
      </c>
      <c r="E21" s="23" t="s">
        <v>15</v>
      </c>
      <c r="F21" s="21">
        <v>500</v>
      </c>
      <c r="G21" s="21">
        <v>137.80000000000001</v>
      </c>
      <c r="H21" s="21">
        <v>16.5</v>
      </c>
      <c r="I21" s="21">
        <v>0.42</v>
      </c>
      <c r="J21" s="25">
        <v>225</v>
      </c>
      <c r="K21" s="25">
        <v>187.5</v>
      </c>
      <c r="L21" s="26">
        <v>0.55000000000000004</v>
      </c>
      <c r="M21" s="25">
        <v>101.24999999999999</v>
      </c>
      <c r="N21" s="25">
        <f t="shared" si="0"/>
        <v>84.374999999999986</v>
      </c>
    </row>
    <row r="22" spans="1:35" s="27" customFormat="1" x14ac:dyDescent="0.25">
      <c r="A22" s="41"/>
      <c r="B22" s="32">
        <v>501</v>
      </c>
      <c r="C22" s="21" t="s">
        <v>21</v>
      </c>
      <c r="D22" s="22" t="s">
        <v>181</v>
      </c>
      <c r="E22" s="23" t="s">
        <v>15</v>
      </c>
      <c r="F22" s="21">
        <v>1000</v>
      </c>
      <c r="G22" s="21">
        <v>136</v>
      </c>
      <c r="H22" s="21">
        <v>20</v>
      </c>
      <c r="I22" s="21">
        <v>3.3</v>
      </c>
      <c r="J22" s="25">
        <v>1516</v>
      </c>
      <c r="K22" s="25">
        <v>1263.3333333333335</v>
      </c>
      <c r="L22" s="26">
        <v>0.45</v>
      </c>
      <c r="M22" s="25">
        <v>833.8</v>
      </c>
      <c r="N22" s="25">
        <f t="shared" si="0"/>
        <v>694.83333333333337</v>
      </c>
    </row>
    <row r="23" spans="1:35" s="27" customFormat="1" x14ac:dyDescent="0.25">
      <c r="A23" s="41"/>
      <c r="B23" s="32">
        <v>506</v>
      </c>
      <c r="C23" s="21" t="s">
        <v>65</v>
      </c>
      <c r="D23" s="22" t="s">
        <v>182</v>
      </c>
      <c r="E23" s="23" t="s">
        <v>15</v>
      </c>
      <c r="F23" s="21">
        <v>500</v>
      </c>
      <c r="G23" s="21">
        <v>136</v>
      </c>
      <c r="H23" s="21">
        <v>13</v>
      </c>
      <c r="I23" s="21">
        <v>2.1</v>
      </c>
      <c r="J23" s="25">
        <v>756</v>
      </c>
      <c r="K23" s="25">
        <v>630</v>
      </c>
      <c r="L23" s="26">
        <v>0.55000000000000004</v>
      </c>
      <c r="M23" s="25">
        <v>340.2</v>
      </c>
      <c r="N23" s="25">
        <f t="shared" si="0"/>
        <v>283.5</v>
      </c>
    </row>
    <row r="24" spans="1:35" s="27" customFormat="1" ht="30" x14ac:dyDescent="0.25">
      <c r="A24" s="41"/>
      <c r="B24" s="73">
        <v>5065</v>
      </c>
      <c r="C24" s="21" t="s">
        <v>65</v>
      </c>
      <c r="D24" s="22" t="s">
        <v>183</v>
      </c>
      <c r="E24" s="23" t="s">
        <v>15</v>
      </c>
      <c r="F24" s="24">
        <v>500</v>
      </c>
      <c r="G24" s="21">
        <v>136</v>
      </c>
      <c r="H24" s="21">
        <v>13</v>
      </c>
      <c r="I24" s="21">
        <v>2.2000000000000002</v>
      </c>
      <c r="J24" s="25">
        <v>1063</v>
      </c>
      <c r="K24" s="25">
        <v>885.83333333333337</v>
      </c>
      <c r="L24" s="26">
        <v>0.55000000000000004</v>
      </c>
      <c r="M24" s="25">
        <v>478.34999999999991</v>
      </c>
      <c r="N24" s="25">
        <f t="shared" si="0"/>
        <v>398.62499999999994</v>
      </c>
    </row>
    <row r="25" spans="1:35" s="74" customFormat="1" x14ac:dyDescent="0.25">
      <c r="A25" s="41"/>
      <c r="B25" s="32">
        <v>507</v>
      </c>
      <c r="C25" s="21" t="s">
        <v>65</v>
      </c>
      <c r="D25" s="22" t="s">
        <v>184</v>
      </c>
      <c r="E25" s="23" t="s">
        <v>15</v>
      </c>
      <c r="F25" s="21">
        <v>500</v>
      </c>
      <c r="G25" s="21">
        <v>136</v>
      </c>
      <c r="H25" s="21">
        <v>13.5</v>
      </c>
      <c r="I25" s="21">
        <v>2.7</v>
      </c>
      <c r="J25" s="25">
        <v>756</v>
      </c>
      <c r="K25" s="25">
        <v>630</v>
      </c>
      <c r="L25" s="26">
        <v>0.55000000000000004</v>
      </c>
      <c r="M25" s="25">
        <v>340.2</v>
      </c>
      <c r="N25" s="25">
        <f t="shared" si="0"/>
        <v>283.5</v>
      </c>
    </row>
    <row r="26" spans="1:35" s="74" customFormat="1" ht="30" x14ac:dyDescent="0.25">
      <c r="A26" s="41"/>
      <c r="B26" s="73">
        <v>5075</v>
      </c>
      <c r="C26" s="21" t="s">
        <v>65</v>
      </c>
      <c r="D26" s="22" t="s">
        <v>185</v>
      </c>
      <c r="E26" s="23" t="s">
        <v>15</v>
      </c>
      <c r="F26" s="24">
        <v>500</v>
      </c>
      <c r="G26" s="21">
        <v>136</v>
      </c>
      <c r="H26" s="21">
        <v>13.5</v>
      </c>
      <c r="I26" s="21">
        <v>2.8</v>
      </c>
      <c r="J26" s="25">
        <v>1063</v>
      </c>
      <c r="K26" s="25">
        <v>885.83333333333337</v>
      </c>
      <c r="L26" s="26">
        <v>0.5</v>
      </c>
      <c r="M26" s="25">
        <v>531.5</v>
      </c>
      <c r="N26" s="25">
        <f t="shared" si="0"/>
        <v>442.91666666666669</v>
      </c>
    </row>
    <row r="27" spans="1:35" s="74" customFormat="1" ht="30" x14ac:dyDescent="0.25">
      <c r="A27" s="41"/>
      <c r="B27" s="73" t="s">
        <v>186</v>
      </c>
      <c r="C27" s="21" t="s">
        <v>65</v>
      </c>
      <c r="D27" s="22" t="s">
        <v>187</v>
      </c>
      <c r="E27" s="23" t="s">
        <v>15</v>
      </c>
      <c r="F27" s="24">
        <v>500</v>
      </c>
      <c r="G27" s="21">
        <v>155</v>
      </c>
      <c r="H27" s="21">
        <v>17</v>
      </c>
      <c r="I27" s="21">
        <v>3.6</v>
      </c>
      <c r="J27" s="25">
        <v>1063</v>
      </c>
      <c r="K27" s="25">
        <v>885.83333333333337</v>
      </c>
      <c r="L27" s="26">
        <v>0.45</v>
      </c>
      <c r="M27" s="25">
        <v>584.65</v>
      </c>
      <c r="N27" s="25">
        <f t="shared" si="0"/>
        <v>487.20833333333331</v>
      </c>
    </row>
    <row r="28" spans="1:35" s="74" customFormat="1" x14ac:dyDescent="0.25">
      <c r="A28" s="41"/>
      <c r="B28" s="20" t="s">
        <v>188</v>
      </c>
      <c r="C28" s="21" t="s">
        <v>65</v>
      </c>
      <c r="D28" s="22" t="s">
        <v>182</v>
      </c>
      <c r="E28" s="23" t="s">
        <v>15</v>
      </c>
      <c r="F28" s="21">
        <v>500</v>
      </c>
      <c r="G28" s="21">
        <v>136</v>
      </c>
      <c r="H28" s="21">
        <v>13</v>
      </c>
      <c r="I28" s="75">
        <v>2.1</v>
      </c>
      <c r="J28" s="25">
        <v>680</v>
      </c>
      <c r="K28" s="25">
        <v>566.66666666666674</v>
      </c>
      <c r="L28" s="26">
        <v>0.55000000000000004</v>
      </c>
      <c r="M28" s="25">
        <v>305.99999999999994</v>
      </c>
      <c r="N28" s="25">
        <f t="shared" si="0"/>
        <v>254.99999999999997</v>
      </c>
    </row>
    <row r="29" spans="1:35" s="74" customFormat="1" x14ac:dyDescent="0.25">
      <c r="A29" s="41"/>
      <c r="B29" s="20" t="s">
        <v>189</v>
      </c>
      <c r="C29" s="21" t="s">
        <v>65</v>
      </c>
      <c r="D29" s="22" t="s">
        <v>182</v>
      </c>
      <c r="E29" s="23" t="s">
        <v>15</v>
      </c>
      <c r="F29" s="21">
        <v>500</v>
      </c>
      <c r="G29" s="21">
        <v>136</v>
      </c>
      <c r="H29" s="21">
        <v>13</v>
      </c>
      <c r="I29" s="75">
        <v>2.1</v>
      </c>
      <c r="J29" s="25">
        <v>680</v>
      </c>
      <c r="K29" s="25">
        <v>566.66666666666674</v>
      </c>
      <c r="L29" s="26">
        <v>0.55000000000000004</v>
      </c>
      <c r="M29" s="25">
        <v>305.99999999999994</v>
      </c>
      <c r="N29" s="25">
        <f t="shared" si="0"/>
        <v>254.99999999999997</v>
      </c>
    </row>
    <row r="30" spans="1:35" s="13" customFormat="1" x14ac:dyDescent="0.25">
      <c r="A30" s="57" t="s">
        <v>154</v>
      </c>
      <c r="B30" s="58">
        <v>10310093</v>
      </c>
      <c r="C30" s="59" t="s">
        <v>65</v>
      </c>
      <c r="D30" s="60" t="s">
        <v>159</v>
      </c>
      <c r="E30" s="61" t="s">
        <v>15</v>
      </c>
      <c r="F30" s="59">
        <v>500</v>
      </c>
      <c r="G30" s="59">
        <v>140</v>
      </c>
      <c r="H30" s="59">
        <v>500</v>
      </c>
      <c r="I30" s="59">
        <v>24.9</v>
      </c>
      <c r="J30" s="62">
        <v>7059</v>
      </c>
      <c r="K30" s="62">
        <v>5882.5</v>
      </c>
      <c r="L30" s="63">
        <v>0.25</v>
      </c>
      <c r="M30" s="62">
        <v>5294.25</v>
      </c>
      <c r="N30" s="62">
        <f t="shared" si="0"/>
        <v>4411.875</v>
      </c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</row>
    <row r="31" spans="1:35" s="13" customFormat="1" x14ac:dyDescent="0.25">
      <c r="A31" s="65" t="s">
        <v>154</v>
      </c>
      <c r="B31" s="58">
        <v>22515</v>
      </c>
      <c r="C31" s="66"/>
      <c r="D31" s="67" t="s">
        <v>160</v>
      </c>
      <c r="E31" s="68"/>
      <c r="F31" s="66">
        <v>400</v>
      </c>
      <c r="G31" s="66">
        <v>92</v>
      </c>
      <c r="H31" s="66">
        <v>120</v>
      </c>
      <c r="I31" s="66">
        <v>0.17</v>
      </c>
      <c r="J31" s="69">
        <v>2580</v>
      </c>
      <c r="K31" s="62">
        <v>2150</v>
      </c>
      <c r="L31" s="63">
        <v>0.25</v>
      </c>
      <c r="M31" s="62">
        <v>1935</v>
      </c>
      <c r="N31" s="62">
        <f t="shared" si="0"/>
        <v>1612.5</v>
      </c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</row>
    <row r="32" spans="1:35" s="13" customFormat="1" x14ac:dyDescent="0.25">
      <c r="A32" s="57" t="s">
        <v>154</v>
      </c>
      <c r="B32" s="58">
        <v>17010100</v>
      </c>
      <c r="C32" s="59" t="s">
        <v>65</v>
      </c>
      <c r="D32" s="60" t="s">
        <v>161</v>
      </c>
      <c r="E32" s="61" t="s">
        <v>15</v>
      </c>
      <c r="F32" s="59">
        <v>500</v>
      </c>
      <c r="G32" s="59">
        <v>124</v>
      </c>
      <c r="H32" s="59">
        <v>5</v>
      </c>
      <c r="I32" s="59">
        <v>2.2000000000000002</v>
      </c>
      <c r="J32" s="62">
        <v>811.58</v>
      </c>
      <c r="K32" s="62">
        <v>676.31666666666672</v>
      </c>
      <c r="L32" s="63">
        <v>0.25</v>
      </c>
      <c r="M32" s="62">
        <v>608.68500000000006</v>
      </c>
      <c r="N32" s="62">
        <f t="shared" si="0"/>
        <v>507.23750000000007</v>
      </c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</row>
    <row r="33" spans="1:35" s="13" customFormat="1" x14ac:dyDescent="0.25">
      <c r="A33" s="57" t="s">
        <v>154</v>
      </c>
      <c r="B33" s="58">
        <v>17010200</v>
      </c>
      <c r="C33" s="59" t="s">
        <v>13</v>
      </c>
      <c r="D33" s="60" t="s">
        <v>162</v>
      </c>
      <c r="E33" s="61" t="s">
        <v>15</v>
      </c>
      <c r="F33" s="59">
        <v>1000</v>
      </c>
      <c r="G33" s="59">
        <v>124</v>
      </c>
      <c r="H33" s="59">
        <v>2</v>
      </c>
      <c r="I33" s="59">
        <v>1.6</v>
      </c>
      <c r="J33" s="62">
        <v>737.82</v>
      </c>
      <c r="K33" s="62">
        <v>614.85</v>
      </c>
      <c r="L33" s="63">
        <v>0.25</v>
      </c>
      <c r="M33" s="62">
        <v>553.36500000000001</v>
      </c>
      <c r="N33" s="62">
        <f t="shared" si="0"/>
        <v>461.13750000000005</v>
      </c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</row>
    <row r="34" spans="1:35" s="13" customFormat="1" x14ac:dyDescent="0.25">
      <c r="A34" s="65" t="s">
        <v>154</v>
      </c>
      <c r="B34" s="58">
        <v>12515381</v>
      </c>
      <c r="C34" s="66"/>
      <c r="D34" s="67" t="s">
        <v>167</v>
      </c>
      <c r="E34" s="68"/>
      <c r="F34" s="66"/>
      <c r="G34" s="66"/>
      <c r="H34" s="66"/>
      <c r="I34" s="66">
        <v>0.05</v>
      </c>
      <c r="J34" s="62">
        <v>4400.0039999999999</v>
      </c>
      <c r="K34" s="69">
        <v>3666.67</v>
      </c>
      <c r="L34" s="63">
        <v>0.25</v>
      </c>
      <c r="M34" s="62">
        <v>3300.0029999999997</v>
      </c>
      <c r="N34" s="62">
        <f t="shared" si="0"/>
        <v>2750.0025000000001</v>
      </c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</row>
    <row r="35" spans="1:35" s="13" customFormat="1" ht="30" x14ac:dyDescent="0.25">
      <c r="A35" s="65" t="s">
        <v>154</v>
      </c>
      <c r="B35" s="58">
        <v>12515380</v>
      </c>
      <c r="C35" s="66"/>
      <c r="D35" s="67" t="s">
        <v>168</v>
      </c>
      <c r="E35" s="68"/>
      <c r="F35" s="66">
        <v>174</v>
      </c>
      <c r="G35" s="66">
        <v>154</v>
      </c>
      <c r="H35" s="66">
        <v>50</v>
      </c>
      <c r="I35" s="66">
        <v>1.1200000000000001</v>
      </c>
      <c r="J35" s="62">
        <v>13400.003999999999</v>
      </c>
      <c r="K35" s="69">
        <v>11166.67</v>
      </c>
      <c r="L35" s="63">
        <v>0.25</v>
      </c>
      <c r="M35" s="62">
        <v>10050.002999999999</v>
      </c>
      <c r="N35" s="62">
        <f t="shared" si="0"/>
        <v>8375.0024999999987</v>
      </c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</row>
    <row r="36" spans="1:35" s="13" customFormat="1" x14ac:dyDescent="0.25">
      <c r="A36" s="65" t="s">
        <v>154</v>
      </c>
      <c r="B36" s="58">
        <v>12515382</v>
      </c>
      <c r="C36" s="66"/>
      <c r="D36" s="67" t="s">
        <v>169</v>
      </c>
      <c r="E36" s="68"/>
      <c r="F36" s="66"/>
      <c r="G36" s="66"/>
      <c r="H36" s="66"/>
      <c r="I36" s="66">
        <v>0.04</v>
      </c>
      <c r="J36" s="62">
        <v>834.99599999999998</v>
      </c>
      <c r="K36" s="69">
        <v>695.83</v>
      </c>
      <c r="L36" s="63">
        <v>0.25</v>
      </c>
      <c r="M36" s="62">
        <v>626.24699999999996</v>
      </c>
      <c r="N36" s="62">
        <f t="shared" si="0"/>
        <v>521.87249999999995</v>
      </c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</row>
    <row r="37" spans="1:35" s="13" customFormat="1" x14ac:dyDescent="0.25">
      <c r="A37" s="65" t="s">
        <v>154</v>
      </c>
      <c r="B37" s="58">
        <v>12515390</v>
      </c>
      <c r="C37" s="66"/>
      <c r="D37" s="67" t="s">
        <v>170</v>
      </c>
      <c r="E37" s="68"/>
      <c r="F37" s="66"/>
      <c r="G37" s="66"/>
      <c r="H37" s="66"/>
      <c r="I37" s="66">
        <v>0.25</v>
      </c>
      <c r="J37" s="62">
        <v>15500.003999999999</v>
      </c>
      <c r="K37" s="69">
        <v>12916.67</v>
      </c>
      <c r="L37" s="63">
        <v>0.25</v>
      </c>
      <c r="M37" s="62">
        <v>11625.002999999999</v>
      </c>
      <c r="N37" s="62">
        <f t="shared" si="0"/>
        <v>9687.5024999999987</v>
      </c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</row>
    <row r="38" spans="1:35" s="12" customFormat="1" x14ac:dyDescent="0.25">
      <c r="A38" s="17" t="s">
        <v>238</v>
      </c>
      <c r="B38" s="33"/>
      <c r="C38" s="17"/>
      <c r="D38" s="34"/>
      <c r="E38" s="17"/>
      <c r="F38" s="17"/>
      <c r="G38" s="17"/>
      <c r="H38" s="17"/>
      <c r="I38" s="17"/>
      <c r="J38" s="18"/>
      <c r="K38" s="18"/>
      <c r="L38" s="35"/>
      <c r="M38" s="16"/>
      <c r="N38" s="36"/>
    </row>
    <row r="39" spans="1:35" s="13" customFormat="1" x14ac:dyDescent="0.25">
      <c r="A39" s="19"/>
      <c r="B39" s="20" t="s">
        <v>239</v>
      </c>
      <c r="C39" s="21" t="s">
        <v>226</v>
      </c>
      <c r="D39" s="22" t="s">
        <v>240</v>
      </c>
      <c r="E39" s="23" t="s">
        <v>15</v>
      </c>
      <c r="F39" s="21">
        <v>500</v>
      </c>
      <c r="G39" s="21">
        <v>160</v>
      </c>
      <c r="H39" s="21">
        <v>438</v>
      </c>
      <c r="I39" s="21">
        <v>3.75</v>
      </c>
      <c r="J39" s="25">
        <v>2878</v>
      </c>
      <c r="K39" s="25">
        <v>2398.3333333333335</v>
      </c>
      <c r="L39" s="26">
        <v>0.5</v>
      </c>
      <c r="M39" s="25">
        <v>1439</v>
      </c>
      <c r="N39" s="25">
        <f>M39/1.2</f>
        <v>1199.1666666666667</v>
      </c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</row>
    <row r="40" spans="1:35" s="12" customFormat="1" x14ac:dyDescent="0.25">
      <c r="A40" s="17" t="s">
        <v>241</v>
      </c>
      <c r="B40" s="33"/>
      <c r="C40" s="17"/>
      <c r="D40" s="34"/>
      <c r="E40" s="17"/>
      <c r="F40" s="17"/>
      <c r="G40" s="17"/>
      <c r="H40" s="17"/>
      <c r="I40" s="17"/>
      <c r="J40" s="18"/>
      <c r="K40" s="18"/>
      <c r="L40" s="35"/>
      <c r="M40" s="16"/>
      <c r="N40" s="36"/>
    </row>
    <row r="41" spans="1:35" s="27" customFormat="1" x14ac:dyDescent="0.25">
      <c r="A41" s="41"/>
      <c r="B41" s="32">
        <v>509</v>
      </c>
      <c r="C41" s="21" t="s">
        <v>65</v>
      </c>
      <c r="D41" s="22" t="s">
        <v>221</v>
      </c>
      <c r="E41" s="23" t="s">
        <v>15</v>
      </c>
      <c r="F41" s="21">
        <v>500</v>
      </c>
      <c r="G41" s="21">
        <v>138</v>
      </c>
      <c r="H41" s="21">
        <v>21</v>
      </c>
      <c r="I41" s="21">
        <v>1.24</v>
      </c>
      <c r="J41" s="25">
        <v>577</v>
      </c>
      <c r="K41" s="25">
        <v>480.83333333333337</v>
      </c>
      <c r="L41" s="26">
        <v>0.55000000000000004</v>
      </c>
      <c r="M41" s="25">
        <v>259.64999999999998</v>
      </c>
      <c r="N41" s="25">
        <f>M41/1.2</f>
        <v>216.375</v>
      </c>
    </row>
    <row r="42" spans="1:35" s="27" customFormat="1" x14ac:dyDescent="0.25">
      <c r="A42" s="41"/>
      <c r="B42" s="32" t="s">
        <v>242</v>
      </c>
      <c r="C42" s="21" t="s">
        <v>243</v>
      </c>
      <c r="D42" s="22" t="s">
        <v>244</v>
      </c>
      <c r="E42" s="23" t="s">
        <v>15</v>
      </c>
      <c r="F42" s="21">
        <v>500</v>
      </c>
      <c r="G42" s="21">
        <v>140</v>
      </c>
      <c r="H42" s="21">
        <v>21</v>
      </c>
      <c r="I42" s="21">
        <v>4.45</v>
      </c>
      <c r="J42" s="25">
        <v>1063</v>
      </c>
      <c r="K42" s="25">
        <v>885.83333333333337</v>
      </c>
      <c r="L42" s="26">
        <v>0.5</v>
      </c>
      <c r="M42" s="25">
        <v>531.5</v>
      </c>
      <c r="N42" s="25">
        <f>M42/1.2</f>
        <v>442.91666666666669</v>
      </c>
    </row>
    <row r="43" spans="1:35" s="27" customFormat="1" x14ac:dyDescent="0.25">
      <c r="A43" s="41"/>
      <c r="B43" s="32" t="s">
        <v>245</v>
      </c>
      <c r="C43" s="21" t="s">
        <v>226</v>
      </c>
      <c r="D43" s="22" t="s">
        <v>246</v>
      </c>
      <c r="E43" s="23" t="s">
        <v>15</v>
      </c>
      <c r="F43" s="21">
        <v>500</v>
      </c>
      <c r="G43" s="21">
        <v>140</v>
      </c>
      <c r="H43" s="21">
        <v>21</v>
      </c>
      <c r="I43" s="21">
        <v>4.4000000000000004</v>
      </c>
      <c r="J43" s="25">
        <v>1343</v>
      </c>
      <c r="K43" s="25">
        <v>1119.1666666666667</v>
      </c>
      <c r="L43" s="26">
        <v>0.5</v>
      </c>
      <c r="M43" s="25">
        <v>671.5</v>
      </c>
      <c r="N43" s="25">
        <f>M43/1.2</f>
        <v>559.58333333333337</v>
      </c>
    </row>
    <row r="44" spans="1:35" s="12" customFormat="1" x14ac:dyDescent="0.25">
      <c r="A44" s="38" t="s">
        <v>247</v>
      </c>
      <c r="B44" s="39"/>
      <c r="C44" s="38"/>
      <c r="D44" s="40"/>
      <c r="E44" s="38"/>
      <c r="F44" s="38"/>
      <c r="G44" s="38"/>
      <c r="H44" s="38"/>
      <c r="I44" s="38"/>
      <c r="J44" s="18"/>
      <c r="K44" s="18"/>
      <c r="L44" s="35"/>
      <c r="M44" s="16"/>
      <c r="N44" s="36"/>
    </row>
    <row r="45" spans="1:35" s="13" customFormat="1" x14ac:dyDescent="0.25">
      <c r="A45" s="55"/>
      <c r="B45" s="32">
        <v>106</v>
      </c>
      <c r="C45" s="21" t="s">
        <v>61</v>
      </c>
      <c r="D45" s="22" t="s">
        <v>223</v>
      </c>
      <c r="E45" s="23" t="s">
        <v>64</v>
      </c>
      <c r="F45" s="21"/>
      <c r="G45" s="21"/>
      <c r="H45" s="21"/>
      <c r="I45" s="21"/>
      <c r="J45" s="25">
        <v>42</v>
      </c>
      <c r="K45" s="25">
        <v>35</v>
      </c>
      <c r="L45" s="26">
        <v>0.3</v>
      </c>
      <c r="M45" s="25">
        <v>29.4</v>
      </c>
      <c r="N45" s="25">
        <f>M45/1.2</f>
        <v>24.5</v>
      </c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</row>
    <row r="46" spans="1:35" s="12" customFormat="1" x14ac:dyDescent="0.25">
      <c r="A46" s="17" t="s">
        <v>248</v>
      </c>
      <c r="B46" s="90"/>
      <c r="C46" s="15"/>
      <c r="D46" s="34"/>
      <c r="E46" s="15"/>
      <c r="F46" s="15"/>
      <c r="G46" s="15"/>
      <c r="H46" s="15"/>
      <c r="I46" s="15"/>
      <c r="J46" s="16"/>
      <c r="K46" s="16"/>
      <c r="L46" s="35"/>
      <c r="M46" s="16"/>
      <c r="N46" s="36"/>
    </row>
    <row r="47" spans="1:35" s="12" customFormat="1" x14ac:dyDescent="0.25">
      <c r="A47" s="38" t="s">
        <v>253</v>
      </c>
      <c r="B47" s="39"/>
      <c r="C47" s="38"/>
      <c r="D47" s="40"/>
      <c r="E47" s="38"/>
      <c r="F47" s="38"/>
      <c r="G47" s="38"/>
      <c r="H47" s="38"/>
      <c r="I47" s="38"/>
      <c r="J47" s="18"/>
      <c r="K47" s="18"/>
      <c r="L47" s="35"/>
      <c r="M47" s="16"/>
      <c r="N47" s="36"/>
    </row>
    <row r="48" spans="1:35" s="12" customFormat="1" x14ac:dyDescent="0.25">
      <c r="A48" s="93"/>
      <c r="B48" s="32">
        <v>118</v>
      </c>
      <c r="C48" s="21" t="s">
        <v>61</v>
      </c>
      <c r="D48" s="22" t="s">
        <v>254</v>
      </c>
      <c r="E48" s="23" t="s">
        <v>165</v>
      </c>
      <c r="F48" s="21">
        <v>176</v>
      </c>
      <c r="G48" s="21">
        <v>28</v>
      </c>
      <c r="H48" s="21">
        <v>15</v>
      </c>
      <c r="I48" s="21">
        <v>0.06</v>
      </c>
      <c r="J48" s="25">
        <v>107</v>
      </c>
      <c r="K48" s="25">
        <v>89.166666666666671</v>
      </c>
      <c r="L48" s="26">
        <v>0.55000000000000004</v>
      </c>
      <c r="M48" s="25">
        <v>48.15</v>
      </c>
      <c r="N48" s="25">
        <f>M48/1.2</f>
        <v>40.125</v>
      </c>
    </row>
    <row r="49" spans="1:35" s="13" customFormat="1" x14ac:dyDescent="0.25">
      <c r="A49" s="19"/>
      <c r="B49" s="32" t="s">
        <v>255</v>
      </c>
      <c r="C49" s="21"/>
      <c r="D49" s="22" t="s">
        <v>256</v>
      </c>
      <c r="E49" s="23" t="s">
        <v>165</v>
      </c>
      <c r="F49" s="21">
        <v>176</v>
      </c>
      <c r="G49" s="21">
        <v>28</v>
      </c>
      <c r="H49" s="21">
        <v>15</v>
      </c>
      <c r="I49" s="21">
        <v>0.12</v>
      </c>
      <c r="J49" s="25">
        <v>166.14</v>
      </c>
      <c r="K49" s="25">
        <v>138.44999999999999</v>
      </c>
      <c r="L49" s="26">
        <v>0.5</v>
      </c>
      <c r="M49" s="25">
        <v>83.07</v>
      </c>
      <c r="N49" s="25">
        <f>M49/1.2</f>
        <v>69.224999999999994</v>
      </c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</row>
    <row r="50" spans="1:35" s="12" customFormat="1" x14ac:dyDescent="0.25">
      <c r="A50" s="19"/>
      <c r="B50" s="32">
        <v>18151</v>
      </c>
      <c r="C50" s="21" t="s">
        <v>61</v>
      </c>
      <c r="D50" s="22" t="s">
        <v>257</v>
      </c>
      <c r="E50" s="23" t="s">
        <v>165</v>
      </c>
      <c r="F50" s="21">
        <v>202</v>
      </c>
      <c r="G50" s="21">
        <v>4</v>
      </c>
      <c r="H50" s="21">
        <v>235</v>
      </c>
      <c r="I50" s="21">
        <v>0.17</v>
      </c>
      <c r="J50" s="25">
        <v>177</v>
      </c>
      <c r="K50" s="25">
        <v>147.5</v>
      </c>
      <c r="L50" s="26">
        <v>0.55000000000000004</v>
      </c>
      <c r="M50" s="25">
        <v>79.649999999999991</v>
      </c>
      <c r="N50" s="25">
        <f>M50/1.2</f>
        <v>66.375</v>
      </c>
    </row>
    <row r="51" spans="1:35" s="12" customFormat="1" x14ac:dyDescent="0.25">
      <c r="A51" s="17" t="s">
        <v>258</v>
      </c>
      <c r="B51" s="33"/>
      <c r="C51" s="17"/>
      <c r="D51" s="34"/>
      <c r="E51" s="17"/>
      <c r="F51" s="17"/>
      <c r="G51" s="17"/>
      <c r="H51" s="17"/>
      <c r="I51" s="17"/>
      <c r="J51" s="18"/>
      <c r="K51" s="18"/>
      <c r="L51" s="35"/>
      <c r="M51" s="16"/>
      <c r="N51" s="36"/>
    </row>
    <row r="52" spans="1:35" s="27" customFormat="1" ht="30" x14ac:dyDescent="0.25">
      <c r="A52" s="41"/>
      <c r="B52" s="32">
        <v>518</v>
      </c>
      <c r="C52" s="21" t="s">
        <v>13</v>
      </c>
      <c r="D52" s="22" t="s">
        <v>259</v>
      </c>
      <c r="E52" s="23" t="s">
        <v>165</v>
      </c>
      <c r="F52" s="21">
        <v>1000</v>
      </c>
      <c r="G52" s="21">
        <v>186</v>
      </c>
      <c r="H52" s="21">
        <v>15</v>
      </c>
      <c r="I52" s="21">
        <v>2.9</v>
      </c>
      <c r="J52" s="25">
        <v>1049</v>
      </c>
      <c r="K52" s="25">
        <v>874.16666666666674</v>
      </c>
      <c r="L52" s="26">
        <v>0.45</v>
      </c>
      <c r="M52" s="25">
        <v>576.95000000000005</v>
      </c>
      <c r="N52" s="25">
        <f>M52/1.2</f>
        <v>480.79166666666674</v>
      </c>
    </row>
    <row r="53" spans="1:35" s="27" customFormat="1" x14ac:dyDescent="0.25">
      <c r="A53" s="41"/>
      <c r="B53" s="32">
        <v>511</v>
      </c>
      <c r="C53" s="21" t="s">
        <v>21</v>
      </c>
      <c r="D53" s="22" t="s">
        <v>260</v>
      </c>
      <c r="E53" s="23" t="s">
        <v>165</v>
      </c>
      <c r="F53" s="21">
        <v>1000</v>
      </c>
      <c r="G53" s="21">
        <v>187</v>
      </c>
      <c r="H53" s="21">
        <v>22</v>
      </c>
      <c r="I53" s="21">
        <v>4.8</v>
      </c>
      <c r="J53" s="25">
        <v>2307</v>
      </c>
      <c r="K53" s="25">
        <v>1922.5</v>
      </c>
      <c r="L53" s="26">
        <v>0.45</v>
      </c>
      <c r="M53" s="25">
        <v>1268.8499999999999</v>
      </c>
      <c r="N53" s="25">
        <f>M53/1.2</f>
        <v>1057.375</v>
      </c>
    </row>
    <row r="54" spans="1:35" s="27" customFormat="1" x14ac:dyDescent="0.25">
      <c r="A54" s="41"/>
      <c r="B54" s="32">
        <v>516</v>
      </c>
      <c r="C54" s="21" t="s">
        <v>65</v>
      </c>
      <c r="D54" s="22" t="s">
        <v>261</v>
      </c>
      <c r="E54" s="23" t="s">
        <v>165</v>
      </c>
      <c r="F54" s="21">
        <v>500</v>
      </c>
      <c r="G54" s="21">
        <v>186</v>
      </c>
      <c r="H54" s="21">
        <v>23</v>
      </c>
      <c r="I54" s="21">
        <v>3.54</v>
      </c>
      <c r="J54" s="25">
        <v>1388</v>
      </c>
      <c r="K54" s="25">
        <v>1156.6666666666667</v>
      </c>
      <c r="L54" s="26">
        <v>0.55000000000000004</v>
      </c>
      <c r="M54" s="25">
        <v>624.59999999999991</v>
      </c>
      <c r="N54" s="25">
        <f>M54/1.2</f>
        <v>520.5</v>
      </c>
    </row>
    <row r="55" spans="1:35" s="27" customFormat="1" x14ac:dyDescent="0.25">
      <c r="A55" s="41"/>
      <c r="B55" s="32">
        <v>517</v>
      </c>
      <c r="C55" s="21" t="s">
        <v>65</v>
      </c>
      <c r="D55" s="22" t="s">
        <v>262</v>
      </c>
      <c r="E55" s="23" t="s">
        <v>165</v>
      </c>
      <c r="F55" s="21">
        <v>500</v>
      </c>
      <c r="G55" s="21">
        <v>186</v>
      </c>
      <c r="H55" s="21">
        <v>23</v>
      </c>
      <c r="I55" s="21">
        <v>3.9</v>
      </c>
      <c r="J55" s="25">
        <v>1388</v>
      </c>
      <c r="K55" s="25">
        <v>1156.6666666666667</v>
      </c>
      <c r="L55" s="26">
        <v>0.55000000000000004</v>
      </c>
      <c r="M55" s="25">
        <v>624.59999999999991</v>
      </c>
      <c r="N55" s="25">
        <f>M55/1.2</f>
        <v>520.5</v>
      </c>
    </row>
    <row r="56" spans="1:35" s="12" customFormat="1" x14ac:dyDescent="0.25">
      <c r="A56" s="17" t="s">
        <v>263</v>
      </c>
      <c r="B56" s="33"/>
      <c r="C56" s="17"/>
      <c r="D56" s="34"/>
      <c r="E56" s="17"/>
      <c r="F56" s="17"/>
      <c r="G56" s="17"/>
      <c r="H56" s="17"/>
      <c r="I56" s="17"/>
      <c r="J56" s="18"/>
      <c r="K56" s="18"/>
      <c r="L56" s="35"/>
      <c r="M56" s="16"/>
      <c r="N56" s="36"/>
    </row>
    <row r="57" spans="1:35" s="12" customFormat="1" x14ac:dyDescent="0.25">
      <c r="A57" s="17" t="s">
        <v>266</v>
      </c>
      <c r="B57" s="33"/>
      <c r="C57" s="17"/>
      <c r="D57" s="34"/>
      <c r="E57" s="17"/>
      <c r="F57" s="17"/>
      <c r="G57" s="17"/>
      <c r="H57" s="17"/>
      <c r="I57" s="17"/>
      <c r="J57" s="18"/>
      <c r="K57" s="18"/>
      <c r="L57" s="35"/>
      <c r="M57" s="16"/>
      <c r="N57" s="36"/>
    </row>
    <row r="58" spans="1:35" s="27" customFormat="1" x14ac:dyDescent="0.25">
      <c r="A58" s="41"/>
      <c r="B58" s="32">
        <v>512</v>
      </c>
      <c r="C58" s="21" t="s">
        <v>65</v>
      </c>
      <c r="D58" s="22" t="s">
        <v>267</v>
      </c>
      <c r="E58" s="23" t="s">
        <v>165</v>
      </c>
      <c r="F58" s="21">
        <v>500</v>
      </c>
      <c r="G58" s="21">
        <v>188</v>
      </c>
      <c r="H58" s="21">
        <v>21</v>
      </c>
      <c r="I58" s="21">
        <v>2.0699999999999998</v>
      </c>
      <c r="J58" s="25">
        <v>919</v>
      </c>
      <c r="K58" s="25">
        <v>765.83333333333337</v>
      </c>
      <c r="L58" s="26">
        <v>0.55000000000000004</v>
      </c>
      <c r="M58" s="25">
        <v>413.54999999999995</v>
      </c>
      <c r="N58" s="25">
        <f>M58/1.2</f>
        <v>344.625</v>
      </c>
    </row>
    <row r="59" spans="1:35" s="13" customFormat="1" x14ac:dyDescent="0.25">
      <c r="A59" s="38" t="s">
        <v>268</v>
      </c>
      <c r="B59" s="39"/>
      <c r="C59" s="38"/>
      <c r="D59" s="40"/>
      <c r="E59" s="38"/>
      <c r="F59" s="38"/>
      <c r="G59" s="38"/>
      <c r="H59" s="38"/>
      <c r="I59" s="38"/>
      <c r="J59" s="18"/>
      <c r="K59" s="18"/>
      <c r="L59" s="35"/>
      <c r="M59" s="16"/>
      <c r="N59" s="36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</row>
    <row r="60" spans="1:35" s="12" customFormat="1" x14ac:dyDescent="0.25">
      <c r="A60" s="19"/>
      <c r="B60" s="32">
        <v>106</v>
      </c>
      <c r="C60" s="21" t="s">
        <v>61</v>
      </c>
      <c r="D60" s="22" t="s">
        <v>223</v>
      </c>
      <c r="E60" s="23" t="s">
        <v>64</v>
      </c>
      <c r="F60" s="21"/>
      <c r="G60" s="21"/>
      <c r="H60" s="21"/>
      <c r="I60" s="21"/>
      <c r="J60" s="25">
        <v>42</v>
      </c>
      <c r="K60" s="25">
        <v>35</v>
      </c>
      <c r="L60" s="26">
        <v>0.3</v>
      </c>
      <c r="M60" s="25">
        <v>29.4</v>
      </c>
      <c r="N60" s="25">
        <f>M60/1.2</f>
        <v>24.5</v>
      </c>
    </row>
    <row r="61" spans="1:35" s="12" customFormat="1" x14ac:dyDescent="0.25">
      <c r="A61" s="17" t="s">
        <v>269</v>
      </c>
      <c r="B61" s="33"/>
      <c r="C61" s="17"/>
      <c r="D61" s="34"/>
      <c r="E61" s="17"/>
      <c r="F61" s="17"/>
      <c r="G61" s="17"/>
      <c r="H61" s="17"/>
      <c r="I61" s="17"/>
      <c r="J61" s="18"/>
      <c r="K61" s="18"/>
      <c r="L61" s="35"/>
      <c r="M61" s="16"/>
      <c r="N61" s="36"/>
    </row>
    <row r="62" spans="1:35" s="12" customFormat="1" x14ac:dyDescent="0.25">
      <c r="A62" s="17" t="s">
        <v>274</v>
      </c>
      <c r="B62" s="33"/>
      <c r="C62" s="17"/>
      <c r="D62" s="34"/>
      <c r="E62" s="17"/>
      <c r="F62" s="17"/>
      <c r="G62" s="17"/>
      <c r="H62" s="17"/>
      <c r="I62" s="17"/>
      <c r="J62" s="18"/>
      <c r="K62" s="18"/>
      <c r="L62" s="35"/>
      <c r="M62" s="16"/>
      <c r="N62" s="36"/>
    </row>
    <row r="63" spans="1:35" s="27" customFormat="1" x14ac:dyDescent="0.25">
      <c r="A63" s="41"/>
      <c r="B63" s="32">
        <v>512</v>
      </c>
      <c r="C63" s="21" t="s">
        <v>65</v>
      </c>
      <c r="D63" s="22" t="s">
        <v>267</v>
      </c>
      <c r="E63" s="23" t="s">
        <v>165</v>
      </c>
      <c r="F63" s="21">
        <v>500</v>
      </c>
      <c r="G63" s="21">
        <v>188</v>
      </c>
      <c r="H63" s="21">
        <v>21</v>
      </c>
      <c r="I63" s="21">
        <v>2.0699999999999998</v>
      </c>
      <c r="J63" s="25">
        <v>919</v>
      </c>
      <c r="K63" s="25">
        <v>765.83333333333337</v>
      </c>
      <c r="L63" s="26">
        <v>0.55000000000000004</v>
      </c>
      <c r="M63" s="25">
        <v>413.54999999999995</v>
      </c>
      <c r="N63" s="25">
        <f>M63/1.2</f>
        <v>344.625</v>
      </c>
    </row>
    <row r="64" spans="1:35" s="27" customFormat="1" x14ac:dyDescent="0.25">
      <c r="A64" s="41"/>
      <c r="B64" s="32" t="s">
        <v>275</v>
      </c>
      <c r="C64" s="21" t="s">
        <v>243</v>
      </c>
      <c r="D64" s="22" t="s">
        <v>276</v>
      </c>
      <c r="E64" s="23" t="s">
        <v>165</v>
      </c>
      <c r="F64" s="21">
        <v>500</v>
      </c>
      <c r="G64" s="21">
        <v>190</v>
      </c>
      <c r="H64" s="21">
        <v>21</v>
      </c>
      <c r="I64" s="21">
        <v>6.4</v>
      </c>
      <c r="J64" s="25">
        <v>1790</v>
      </c>
      <c r="K64" s="25">
        <v>1491.6666666666667</v>
      </c>
      <c r="L64" s="26">
        <v>0.5</v>
      </c>
      <c r="M64" s="25">
        <v>895</v>
      </c>
      <c r="N64" s="25">
        <f>M64/1.2</f>
        <v>745.83333333333337</v>
      </c>
    </row>
    <row r="65" spans="1:35" s="27" customFormat="1" x14ac:dyDescent="0.25">
      <c r="A65" s="41"/>
      <c r="B65" s="32" t="s">
        <v>277</v>
      </c>
      <c r="C65" s="21" t="s">
        <v>226</v>
      </c>
      <c r="D65" s="22" t="s">
        <v>276</v>
      </c>
      <c r="E65" s="23" t="s">
        <v>165</v>
      </c>
      <c r="F65" s="21">
        <v>500</v>
      </c>
      <c r="G65" s="21">
        <v>190</v>
      </c>
      <c r="H65" s="21">
        <v>21</v>
      </c>
      <c r="I65" s="21">
        <v>7.2</v>
      </c>
      <c r="J65" s="25">
        <v>1958</v>
      </c>
      <c r="K65" s="25">
        <v>1631.6666666666667</v>
      </c>
      <c r="L65" s="26">
        <v>0.5</v>
      </c>
      <c r="M65" s="25">
        <v>979</v>
      </c>
      <c r="N65" s="25">
        <f>M65/1.2</f>
        <v>815.83333333333337</v>
      </c>
    </row>
    <row r="66" spans="1:35" s="12" customFormat="1" x14ac:dyDescent="0.25">
      <c r="A66" s="38" t="s">
        <v>278</v>
      </c>
      <c r="B66" s="39"/>
      <c r="C66" s="38"/>
      <c r="D66" s="40"/>
      <c r="E66" s="38"/>
      <c r="F66" s="38"/>
      <c r="G66" s="38"/>
      <c r="H66" s="38"/>
      <c r="I66" s="38"/>
      <c r="J66" s="18"/>
      <c r="K66" s="18"/>
      <c r="L66" s="35"/>
      <c r="M66" s="16"/>
      <c r="N66" s="36"/>
    </row>
    <row r="67" spans="1:35" s="12" customFormat="1" x14ac:dyDescent="0.25">
      <c r="A67" s="19"/>
      <c r="B67" s="32">
        <v>106</v>
      </c>
      <c r="C67" s="21" t="s">
        <v>61</v>
      </c>
      <c r="D67" s="22" t="s">
        <v>223</v>
      </c>
      <c r="E67" s="23" t="s">
        <v>64</v>
      </c>
      <c r="F67" s="21"/>
      <c r="G67" s="21"/>
      <c r="H67" s="21"/>
      <c r="I67" s="21"/>
      <c r="J67" s="25">
        <v>42</v>
      </c>
      <c r="K67" s="25">
        <v>35</v>
      </c>
      <c r="L67" s="26">
        <v>0.3</v>
      </c>
      <c r="M67" s="25">
        <v>29.4</v>
      </c>
      <c r="N67" s="25">
        <f>M67/1.2</f>
        <v>24.5</v>
      </c>
    </row>
    <row r="68" spans="1:35" s="74" customFormat="1" x14ac:dyDescent="0.25">
      <c r="A68" s="42"/>
      <c r="B68" s="32">
        <v>103</v>
      </c>
      <c r="C68" s="21"/>
      <c r="D68" s="22" t="s">
        <v>190</v>
      </c>
      <c r="E68" s="23" t="s">
        <v>15</v>
      </c>
      <c r="F68" s="21">
        <v>54</v>
      </c>
      <c r="G68" s="21">
        <v>20</v>
      </c>
      <c r="H68" s="21">
        <v>25</v>
      </c>
      <c r="I68" s="21">
        <v>0.1</v>
      </c>
      <c r="J68" s="25">
        <v>96</v>
      </c>
      <c r="K68" s="25">
        <v>80</v>
      </c>
      <c r="L68" s="26">
        <v>0.35</v>
      </c>
      <c r="M68" s="25">
        <v>62.400000000000006</v>
      </c>
      <c r="N68" s="25">
        <f>M68/1.2</f>
        <v>52.000000000000007</v>
      </c>
    </row>
    <row r="72" spans="1:35" s="12" customFormat="1" x14ac:dyDescent="0.25">
      <c r="A72" s="17" t="s">
        <v>283</v>
      </c>
      <c r="B72" s="33"/>
      <c r="C72" s="17"/>
      <c r="D72" s="34"/>
      <c r="E72" s="17"/>
      <c r="F72" s="17"/>
      <c r="G72" s="17"/>
      <c r="H72" s="17"/>
      <c r="I72" s="17"/>
      <c r="J72" s="18"/>
      <c r="K72" s="18"/>
      <c r="L72" s="35"/>
      <c r="M72" s="16"/>
      <c r="N72" s="36"/>
    </row>
    <row r="73" spans="1:35" s="13" customFormat="1" ht="30" x14ac:dyDescent="0.25">
      <c r="A73" s="19"/>
      <c r="B73" s="32">
        <v>828</v>
      </c>
      <c r="C73" s="21" t="s">
        <v>65</v>
      </c>
      <c r="D73" s="22" t="s">
        <v>284</v>
      </c>
      <c r="E73" s="23" t="s">
        <v>285</v>
      </c>
      <c r="F73" s="24">
        <v>500</v>
      </c>
      <c r="G73" s="21">
        <v>260</v>
      </c>
      <c r="H73" s="21">
        <v>460</v>
      </c>
      <c r="I73" s="21">
        <v>2.58</v>
      </c>
      <c r="J73" s="25">
        <v>3150</v>
      </c>
      <c r="K73" s="25">
        <v>2625</v>
      </c>
      <c r="L73" s="26">
        <v>0.55000000000000004</v>
      </c>
      <c r="M73" s="25">
        <v>1417.4999999999998</v>
      </c>
      <c r="N73" s="25">
        <f>M73/1.2</f>
        <v>1181.2499999999998</v>
      </c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</row>
    <row r="74" spans="1:35" s="13" customFormat="1" x14ac:dyDescent="0.25">
      <c r="A74" s="17" t="s">
        <v>289</v>
      </c>
      <c r="B74" s="33"/>
      <c r="C74" s="17"/>
      <c r="D74" s="34"/>
      <c r="E74" s="17"/>
      <c r="F74" s="17"/>
      <c r="G74" s="17"/>
      <c r="H74" s="17"/>
      <c r="I74" s="17"/>
      <c r="J74" s="18"/>
      <c r="K74" s="18"/>
      <c r="L74" s="35"/>
      <c r="M74" s="16"/>
      <c r="N74" s="36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</row>
    <row r="75" spans="1:35" s="12" customFormat="1" ht="30" x14ac:dyDescent="0.25">
      <c r="A75" s="19"/>
      <c r="B75" s="32">
        <v>8284</v>
      </c>
      <c r="C75" s="21" t="s">
        <v>65</v>
      </c>
      <c r="D75" s="22" t="s">
        <v>290</v>
      </c>
      <c r="E75" s="23" t="s">
        <v>285</v>
      </c>
      <c r="F75" s="24">
        <v>500</v>
      </c>
      <c r="G75" s="21">
        <v>260</v>
      </c>
      <c r="H75" s="21">
        <v>463</v>
      </c>
      <c r="I75" s="21">
        <v>3.18</v>
      </c>
      <c r="J75" s="25">
        <v>3332</v>
      </c>
      <c r="K75" s="25">
        <v>2776.666666666667</v>
      </c>
      <c r="L75" s="26">
        <v>0.55000000000000004</v>
      </c>
      <c r="M75" s="25">
        <v>1499.3999999999999</v>
      </c>
      <c r="N75" s="25">
        <f>M75/1.2</f>
        <v>1249.5</v>
      </c>
    </row>
    <row r="76" spans="1:35" s="12" customFormat="1" x14ac:dyDescent="0.25">
      <c r="A76" s="38" t="s">
        <v>291</v>
      </c>
      <c r="B76" s="89"/>
      <c r="C76" s="38"/>
      <c r="D76" s="40"/>
      <c r="E76" s="38"/>
      <c r="F76" s="38"/>
      <c r="G76" s="38"/>
      <c r="H76" s="38"/>
      <c r="I76" s="38"/>
      <c r="J76" s="18"/>
      <c r="K76" s="18"/>
      <c r="L76" s="35"/>
      <c r="M76" s="16"/>
      <c r="N76" s="36"/>
    </row>
    <row r="77" spans="1:35" s="12" customFormat="1" x14ac:dyDescent="0.25">
      <c r="A77" s="19"/>
      <c r="B77" s="32">
        <v>128</v>
      </c>
      <c r="C77" s="21" t="s">
        <v>61</v>
      </c>
      <c r="D77" s="22" t="s">
        <v>292</v>
      </c>
      <c r="E77" s="23" t="s">
        <v>280</v>
      </c>
      <c r="F77" s="21">
        <v>226</v>
      </c>
      <c r="G77" s="21">
        <v>40</v>
      </c>
      <c r="H77" s="21">
        <v>36</v>
      </c>
      <c r="I77" s="21">
        <v>0.25</v>
      </c>
      <c r="J77" s="25">
        <v>125</v>
      </c>
      <c r="K77" s="25">
        <v>104.16666666666667</v>
      </c>
      <c r="L77" s="26">
        <v>0.55000000000000004</v>
      </c>
      <c r="M77" s="25">
        <v>56.25</v>
      </c>
      <c r="N77" s="25">
        <f>M77/1.2</f>
        <v>46.875</v>
      </c>
    </row>
    <row r="78" spans="1:35" s="12" customFormat="1" x14ac:dyDescent="0.25">
      <c r="A78" s="19"/>
      <c r="B78" s="32" t="s">
        <v>293</v>
      </c>
      <c r="C78" s="21" t="s">
        <v>61</v>
      </c>
      <c r="D78" s="22" t="s">
        <v>294</v>
      </c>
      <c r="E78" s="23" t="s">
        <v>280</v>
      </c>
      <c r="F78" s="21">
        <v>226</v>
      </c>
      <c r="G78" s="21">
        <v>40</v>
      </c>
      <c r="H78" s="21">
        <v>36</v>
      </c>
      <c r="I78" s="21">
        <v>0.25</v>
      </c>
      <c r="J78" s="25">
        <v>198</v>
      </c>
      <c r="K78" s="25">
        <v>165</v>
      </c>
      <c r="L78" s="26">
        <v>0.55000000000000004</v>
      </c>
      <c r="M78" s="25">
        <v>89.1</v>
      </c>
      <c r="N78" s="25">
        <f>M78/1.2</f>
        <v>74.25</v>
      </c>
    </row>
    <row r="79" spans="1:35" s="95" customFormat="1" x14ac:dyDescent="0.25">
      <c r="A79" s="19"/>
      <c r="B79" s="32">
        <v>18201</v>
      </c>
      <c r="C79" s="21"/>
      <c r="D79" s="22" t="s">
        <v>295</v>
      </c>
      <c r="E79" s="23" t="s">
        <v>280</v>
      </c>
      <c r="F79" s="21">
        <v>252</v>
      </c>
      <c r="G79" s="21">
        <v>4</v>
      </c>
      <c r="H79" s="21">
        <v>235</v>
      </c>
      <c r="I79" s="21">
        <v>0.21</v>
      </c>
      <c r="J79" s="25">
        <v>235</v>
      </c>
      <c r="K79" s="25">
        <v>195.83333333333334</v>
      </c>
      <c r="L79" s="26">
        <v>0.55000000000000004</v>
      </c>
      <c r="M79" s="25">
        <v>105.75</v>
      </c>
      <c r="N79" s="25">
        <f>M79/1.2</f>
        <v>88.125</v>
      </c>
      <c r="O79" s="94"/>
      <c r="P79" s="94"/>
      <c r="Q79" s="94"/>
      <c r="R79" s="94"/>
      <c r="S79" s="94"/>
      <c r="T79" s="94"/>
      <c r="U79" s="94"/>
      <c r="V79" s="94"/>
      <c r="W79" s="94"/>
      <c r="X79" s="94"/>
      <c r="Y79" s="94"/>
      <c r="Z79" s="94"/>
      <c r="AA79" s="94"/>
      <c r="AB79" s="94"/>
      <c r="AC79" s="94"/>
      <c r="AD79" s="94"/>
      <c r="AE79" s="94"/>
      <c r="AF79" s="94"/>
      <c r="AG79" s="94"/>
      <c r="AH79" s="94"/>
      <c r="AI79" s="94"/>
    </row>
    <row r="80" spans="1:35" s="95" customFormat="1" x14ac:dyDescent="0.25">
      <c r="A80" s="19"/>
      <c r="B80" s="32">
        <v>1820</v>
      </c>
      <c r="C80" s="96" t="s">
        <v>61</v>
      </c>
      <c r="D80" s="97" t="s">
        <v>296</v>
      </c>
      <c r="E80" s="98" t="s">
        <v>61</v>
      </c>
      <c r="F80" s="96" t="s">
        <v>61</v>
      </c>
      <c r="G80" s="96" t="s">
        <v>61</v>
      </c>
      <c r="H80" s="96" t="s">
        <v>61</v>
      </c>
      <c r="I80" s="96" t="s">
        <v>61</v>
      </c>
      <c r="J80" s="99">
        <v>450</v>
      </c>
      <c r="K80" s="99">
        <v>375</v>
      </c>
      <c r="L80" s="26">
        <v>0.4</v>
      </c>
      <c r="M80" s="25">
        <v>270</v>
      </c>
      <c r="N80" s="25">
        <f>M80/1.2</f>
        <v>225</v>
      </c>
      <c r="O80" s="94"/>
      <c r="P80" s="94"/>
      <c r="Q80" s="94"/>
      <c r="R80" s="94"/>
      <c r="S80" s="94"/>
      <c r="T80" s="94"/>
      <c r="U80" s="94"/>
      <c r="V80" s="94"/>
      <c r="W80" s="94"/>
      <c r="X80" s="94"/>
      <c r="Y80" s="94"/>
      <c r="Z80" s="94"/>
      <c r="AA80" s="94"/>
      <c r="AB80" s="94"/>
      <c r="AC80" s="94"/>
      <c r="AD80" s="94"/>
      <c r="AE80" s="94"/>
      <c r="AF80" s="94"/>
      <c r="AG80" s="94"/>
      <c r="AH80" s="94"/>
      <c r="AI80" s="94"/>
    </row>
    <row r="81" spans="1:35" s="12" customFormat="1" x14ac:dyDescent="0.25">
      <c r="A81" s="17" t="s">
        <v>297</v>
      </c>
      <c r="B81" s="89"/>
      <c r="C81" s="17"/>
      <c r="D81" s="34"/>
      <c r="E81" s="17"/>
      <c r="F81" s="17"/>
      <c r="G81" s="17"/>
      <c r="H81" s="17"/>
      <c r="I81" s="17"/>
      <c r="J81" s="18"/>
      <c r="K81" s="18"/>
      <c r="L81" s="35"/>
      <c r="M81" s="16"/>
      <c r="N81" s="36"/>
    </row>
    <row r="82" spans="1:35" s="27" customFormat="1" ht="30" x14ac:dyDescent="0.25">
      <c r="A82" s="41"/>
      <c r="B82" s="32">
        <v>528</v>
      </c>
      <c r="C82" s="21" t="s">
        <v>13</v>
      </c>
      <c r="D82" s="22" t="s">
        <v>298</v>
      </c>
      <c r="E82" s="23" t="s">
        <v>280</v>
      </c>
      <c r="F82" s="21">
        <v>1000</v>
      </c>
      <c r="G82" s="21">
        <v>236</v>
      </c>
      <c r="H82" s="21">
        <v>20</v>
      </c>
      <c r="I82" s="21">
        <v>3.4</v>
      </c>
      <c r="J82" s="25">
        <v>1461</v>
      </c>
      <c r="K82" s="25">
        <v>1217.5</v>
      </c>
      <c r="L82" s="26">
        <v>0.55000000000000004</v>
      </c>
      <c r="M82" s="25">
        <v>657.44999999999993</v>
      </c>
      <c r="N82" s="25">
        <f>M82/1.2</f>
        <v>547.875</v>
      </c>
    </row>
    <row r="83" spans="1:35" s="27" customFormat="1" x14ac:dyDescent="0.25">
      <c r="A83" s="41"/>
      <c r="B83" s="32">
        <v>522</v>
      </c>
      <c r="C83" s="21" t="s">
        <v>21</v>
      </c>
      <c r="D83" s="22" t="s">
        <v>299</v>
      </c>
      <c r="E83" s="23" t="s">
        <v>280</v>
      </c>
      <c r="F83" s="21">
        <v>1000</v>
      </c>
      <c r="G83" s="21">
        <v>237</v>
      </c>
      <c r="H83" s="21">
        <v>22</v>
      </c>
      <c r="I83" s="21">
        <v>5.7</v>
      </c>
      <c r="J83" s="25">
        <v>2746</v>
      </c>
      <c r="K83" s="25">
        <v>2288.3333333333335</v>
      </c>
      <c r="L83" s="26">
        <v>0.5</v>
      </c>
      <c r="M83" s="25">
        <v>1373</v>
      </c>
      <c r="N83" s="25">
        <f>M83/1.2</f>
        <v>1144.1666666666667</v>
      </c>
    </row>
    <row r="84" spans="1:35" s="27" customFormat="1" collapsed="1" x14ac:dyDescent="0.25">
      <c r="A84" s="41"/>
      <c r="B84" s="32">
        <v>524</v>
      </c>
      <c r="C84" s="21" t="s">
        <v>65</v>
      </c>
      <c r="D84" s="22" t="s">
        <v>300</v>
      </c>
      <c r="E84" s="23" t="s">
        <v>280</v>
      </c>
      <c r="F84" s="21">
        <v>500</v>
      </c>
      <c r="G84" s="21">
        <v>237</v>
      </c>
      <c r="H84" s="21">
        <v>24</v>
      </c>
      <c r="I84" s="21">
        <v>5</v>
      </c>
      <c r="J84" s="25">
        <v>1611</v>
      </c>
      <c r="K84" s="25">
        <v>1342.5</v>
      </c>
      <c r="L84" s="26">
        <v>0.55000000000000004</v>
      </c>
      <c r="M84" s="25">
        <v>724.94999999999993</v>
      </c>
      <c r="N84" s="25">
        <f>M84/1.2</f>
        <v>604.125</v>
      </c>
    </row>
    <row r="85" spans="1:35" s="27" customFormat="1" x14ac:dyDescent="0.25">
      <c r="A85" s="41"/>
      <c r="B85" s="32">
        <v>527</v>
      </c>
      <c r="C85" s="21" t="s">
        <v>65</v>
      </c>
      <c r="D85" s="22" t="s">
        <v>301</v>
      </c>
      <c r="E85" s="23" t="s">
        <v>280</v>
      </c>
      <c r="F85" s="21">
        <v>500</v>
      </c>
      <c r="G85" s="21">
        <v>237</v>
      </c>
      <c r="H85" s="21">
        <v>24</v>
      </c>
      <c r="I85" s="21">
        <v>6.1</v>
      </c>
      <c r="J85" s="25">
        <v>1611</v>
      </c>
      <c r="K85" s="25">
        <v>1342.5</v>
      </c>
      <c r="L85" s="26">
        <v>0.5</v>
      </c>
      <c r="M85" s="25">
        <v>805.5</v>
      </c>
      <c r="N85" s="25">
        <f>M85/1.2</f>
        <v>671.25</v>
      </c>
    </row>
    <row r="86" spans="1:35" s="13" customFormat="1" x14ac:dyDescent="0.25">
      <c r="A86" s="17" t="s">
        <v>308</v>
      </c>
      <c r="B86" s="33"/>
      <c r="C86" s="17"/>
      <c r="D86" s="34"/>
      <c r="E86" s="17"/>
      <c r="F86" s="17"/>
      <c r="G86" s="17"/>
      <c r="H86" s="17"/>
      <c r="I86" s="17"/>
      <c r="J86" s="18"/>
      <c r="K86" s="18"/>
      <c r="L86" s="35"/>
      <c r="M86" s="16"/>
      <c r="N86" s="36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</row>
    <row r="87" spans="1:35" s="12" customFormat="1" ht="30" x14ac:dyDescent="0.25">
      <c r="A87" s="55"/>
      <c r="B87" s="20" t="s">
        <v>309</v>
      </c>
      <c r="C87" s="21" t="s">
        <v>226</v>
      </c>
      <c r="D87" s="22" t="s">
        <v>310</v>
      </c>
      <c r="E87" s="23" t="s">
        <v>311</v>
      </c>
      <c r="F87" s="21">
        <v>540</v>
      </c>
      <c r="G87" s="21">
        <v>260</v>
      </c>
      <c r="H87" s="21">
        <v>478</v>
      </c>
      <c r="I87" s="21">
        <v>3.86</v>
      </c>
      <c r="J87" s="25">
        <v>5793</v>
      </c>
      <c r="K87" s="25">
        <v>4827.5</v>
      </c>
      <c r="L87" s="26">
        <v>0.55000000000000004</v>
      </c>
      <c r="M87" s="25">
        <v>2606.85</v>
      </c>
      <c r="N87" s="25">
        <f>M87/1.2</f>
        <v>2172.375</v>
      </c>
    </row>
    <row r="88" spans="1:35" s="12" customFormat="1" x14ac:dyDescent="0.25">
      <c r="A88" s="17" t="s">
        <v>312</v>
      </c>
      <c r="B88" s="33"/>
      <c r="C88" s="17"/>
      <c r="D88" s="34"/>
      <c r="E88" s="17"/>
      <c r="F88" s="17"/>
      <c r="G88" s="17"/>
      <c r="H88" s="17"/>
      <c r="I88" s="17"/>
      <c r="J88" s="18"/>
      <c r="K88" s="18"/>
      <c r="L88" s="35"/>
      <c r="M88" s="16"/>
      <c r="N88" s="36"/>
    </row>
    <row r="89" spans="1:35" s="27" customFormat="1" x14ac:dyDescent="0.25">
      <c r="A89" s="41"/>
      <c r="B89" s="43">
        <v>525</v>
      </c>
      <c r="C89" s="21" t="s">
        <v>65</v>
      </c>
      <c r="D89" s="22" t="s">
        <v>313</v>
      </c>
      <c r="E89" s="23" t="s">
        <v>280</v>
      </c>
      <c r="F89" s="24">
        <v>500</v>
      </c>
      <c r="G89" s="21">
        <v>236</v>
      </c>
      <c r="H89" s="21">
        <v>42</v>
      </c>
      <c r="I89" s="45">
        <v>2.59</v>
      </c>
      <c r="J89" s="25">
        <v>1234</v>
      </c>
      <c r="K89" s="25">
        <v>1028.3333333333335</v>
      </c>
      <c r="L89" s="26">
        <v>0.5</v>
      </c>
      <c r="M89" s="25">
        <v>617</v>
      </c>
      <c r="N89" s="25">
        <f>M89/1.2</f>
        <v>514.16666666666674</v>
      </c>
    </row>
    <row r="90" spans="1:35" s="27" customFormat="1" x14ac:dyDescent="0.25">
      <c r="A90" s="41"/>
      <c r="B90" s="43">
        <v>526</v>
      </c>
      <c r="C90" s="21" t="s">
        <v>65</v>
      </c>
      <c r="D90" s="22" t="s">
        <v>314</v>
      </c>
      <c r="E90" s="23" t="s">
        <v>280</v>
      </c>
      <c r="F90" s="24">
        <v>500</v>
      </c>
      <c r="G90" s="21">
        <v>238</v>
      </c>
      <c r="H90" s="21">
        <v>42</v>
      </c>
      <c r="I90" s="21">
        <v>2.64</v>
      </c>
      <c r="J90" s="25">
        <v>1234</v>
      </c>
      <c r="K90" s="25">
        <v>1028.3333333333335</v>
      </c>
      <c r="L90" s="26">
        <v>0.5</v>
      </c>
      <c r="M90" s="25">
        <v>617</v>
      </c>
      <c r="N90" s="25">
        <f>M90/1.2</f>
        <v>514.16666666666674</v>
      </c>
    </row>
    <row r="91" spans="1:35" s="27" customFormat="1" x14ac:dyDescent="0.25">
      <c r="A91" s="100"/>
      <c r="B91" s="32" t="s">
        <v>315</v>
      </c>
      <c r="C91" s="21" t="s">
        <v>243</v>
      </c>
      <c r="D91" s="22" t="s">
        <v>316</v>
      </c>
      <c r="E91" s="23" t="s">
        <v>280</v>
      </c>
      <c r="F91" s="21">
        <v>500</v>
      </c>
      <c r="G91" s="21">
        <v>240</v>
      </c>
      <c r="H91" s="21">
        <v>21</v>
      </c>
      <c r="I91" s="21">
        <v>8.5</v>
      </c>
      <c r="J91" s="25">
        <v>2283</v>
      </c>
      <c r="K91" s="25">
        <v>1902.5</v>
      </c>
      <c r="L91" s="26">
        <v>0.5</v>
      </c>
      <c r="M91" s="25">
        <v>1141.5</v>
      </c>
      <c r="N91" s="25">
        <f>M91/1.2</f>
        <v>951.25</v>
      </c>
    </row>
    <row r="92" spans="1:35" s="27" customFormat="1" x14ac:dyDescent="0.25">
      <c r="A92" s="100"/>
      <c r="B92" s="32" t="s">
        <v>317</v>
      </c>
      <c r="C92" s="21" t="s">
        <v>226</v>
      </c>
      <c r="D92" s="22" t="s">
        <v>318</v>
      </c>
      <c r="E92" s="23" t="s">
        <v>280</v>
      </c>
      <c r="F92" s="21">
        <v>500</v>
      </c>
      <c r="G92" s="21">
        <v>240</v>
      </c>
      <c r="H92" s="21">
        <v>21</v>
      </c>
      <c r="I92" s="21">
        <v>9.52</v>
      </c>
      <c r="J92" s="25">
        <v>2596</v>
      </c>
      <c r="K92" s="25">
        <v>2163.3333333333335</v>
      </c>
      <c r="L92" s="26">
        <v>0.5</v>
      </c>
      <c r="M92" s="25">
        <v>1298</v>
      </c>
      <c r="N92" s="25">
        <f>M92/1.2</f>
        <v>1081.6666666666667</v>
      </c>
    </row>
    <row r="93" spans="1:35" s="103" customFormat="1" x14ac:dyDescent="0.25">
      <c r="A93" s="38" t="s">
        <v>319</v>
      </c>
      <c r="B93" s="39"/>
      <c r="C93" s="38"/>
      <c r="D93" s="40"/>
      <c r="E93" s="38"/>
      <c r="F93" s="38"/>
      <c r="G93" s="38"/>
      <c r="H93" s="38"/>
      <c r="I93" s="38"/>
      <c r="J93" s="18"/>
      <c r="K93" s="18"/>
      <c r="L93" s="35"/>
      <c r="M93" s="16"/>
      <c r="N93" s="101"/>
      <c r="O93" s="102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  <c r="AA93" s="102"/>
      <c r="AB93" s="102"/>
      <c r="AC93" s="102"/>
      <c r="AD93" s="102"/>
      <c r="AE93" s="102"/>
      <c r="AF93" s="102"/>
      <c r="AG93" s="102"/>
      <c r="AH93" s="102"/>
      <c r="AI93" s="102"/>
    </row>
    <row r="94" spans="1:35" s="13" customFormat="1" x14ac:dyDescent="0.25">
      <c r="A94" s="55"/>
      <c r="B94" s="32">
        <v>106</v>
      </c>
      <c r="C94" s="21" t="s">
        <v>61</v>
      </c>
      <c r="D94" s="22" t="s">
        <v>223</v>
      </c>
      <c r="E94" s="23" t="s">
        <v>64</v>
      </c>
      <c r="F94" s="21"/>
      <c r="G94" s="21"/>
      <c r="H94" s="21"/>
      <c r="I94" s="21"/>
      <c r="J94" s="25">
        <v>42</v>
      </c>
      <c r="K94" s="25">
        <v>35</v>
      </c>
      <c r="L94" s="26">
        <v>0.3</v>
      </c>
      <c r="M94" s="25">
        <v>29.4</v>
      </c>
      <c r="N94" s="25">
        <f>M94/1.2</f>
        <v>24.5</v>
      </c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</row>
    <row r="95" spans="1:35" s="12" customFormat="1" x14ac:dyDescent="0.25">
      <c r="A95" s="17" t="s">
        <v>320</v>
      </c>
      <c r="B95" s="90"/>
      <c r="C95" s="15"/>
      <c r="D95" s="34"/>
      <c r="E95" s="15"/>
      <c r="F95" s="15"/>
      <c r="G95" s="15"/>
      <c r="H95" s="15"/>
      <c r="I95" s="15"/>
      <c r="J95" s="16"/>
      <c r="K95" s="16"/>
      <c r="L95" s="35"/>
      <c r="M95" s="16"/>
      <c r="N95" s="36"/>
    </row>
    <row r="96" spans="1:35" s="13" customFormat="1" x14ac:dyDescent="0.25">
      <c r="A96" s="38" t="s">
        <v>324</v>
      </c>
      <c r="B96" s="39"/>
      <c r="C96" s="38"/>
      <c r="D96" s="40"/>
      <c r="E96" s="38"/>
      <c r="F96" s="38"/>
      <c r="G96" s="38"/>
      <c r="H96" s="38"/>
      <c r="I96" s="38"/>
      <c r="J96" s="18"/>
      <c r="K96" s="18"/>
      <c r="L96" s="35"/>
      <c r="M96" s="16"/>
      <c r="N96" s="36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</row>
    <row r="97" spans="1:35" s="12" customFormat="1" x14ac:dyDescent="0.25">
      <c r="A97" s="19"/>
      <c r="B97" s="32" t="s">
        <v>325</v>
      </c>
      <c r="C97" s="21" t="s">
        <v>61</v>
      </c>
      <c r="D97" s="22" t="s">
        <v>326</v>
      </c>
      <c r="E97" s="23" t="s">
        <v>47</v>
      </c>
      <c r="F97" s="21">
        <v>52</v>
      </c>
      <c r="G97" s="21">
        <v>18</v>
      </c>
      <c r="H97" s="21">
        <v>12</v>
      </c>
      <c r="I97" s="21">
        <v>0.3</v>
      </c>
      <c r="J97" s="25">
        <v>252</v>
      </c>
      <c r="K97" s="25">
        <v>210</v>
      </c>
      <c r="L97" s="26">
        <v>0.55000000000000004</v>
      </c>
      <c r="M97" s="25">
        <v>113.39999999999998</v>
      </c>
      <c r="N97" s="25">
        <f>M97/1.2</f>
        <v>94.499999999999986</v>
      </c>
    </row>
    <row r="98" spans="1:35" s="12" customFormat="1" x14ac:dyDescent="0.25">
      <c r="A98" s="19"/>
      <c r="B98" s="32">
        <v>1831</v>
      </c>
      <c r="C98" s="104" t="s">
        <v>61</v>
      </c>
      <c r="D98" s="105" t="s">
        <v>327</v>
      </c>
      <c r="E98" s="106" t="s">
        <v>61</v>
      </c>
      <c r="F98" s="104" t="s">
        <v>61</v>
      </c>
      <c r="G98" s="104" t="s">
        <v>61</v>
      </c>
      <c r="H98" s="104" t="s">
        <v>61</v>
      </c>
      <c r="I98" s="104" t="s">
        <v>61</v>
      </c>
      <c r="J98" s="99">
        <v>540</v>
      </c>
      <c r="K98" s="99">
        <v>450</v>
      </c>
      <c r="L98" s="26">
        <v>0.55000000000000004</v>
      </c>
      <c r="M98" s="25">
        <v>243</v>
      </c>
      <c r="N98" s="25">
        <f>M98/1.2</f>
        <v>202.5</v>
      </c>
    </row>
    <row r="99" spans="1:35" s="7" customFormat="1" x14ac:dyDescent="0.25">
      <c r="A99" s="17" t="s">
        <v>328</v>
      </c>
      <c r="B99" s="33"/>
      <c r="C99" s="17"/>
      <c r="D99" s="34"/>
      <c r="E99" s="17"/>
      <c r="F99" s="17"/>
      <c r="G99" s="17"/>
      <c r="H99" s="17"/>
      <c r="I99" s="17"/>
      <c r="J99" s="18"/>
      <c r="K99" s="18"/>
      <c r="L99" s="35"/>
      <c r="M99" s="16"/>
      <c r="N99" s="92"/>
    </row>
    <row r="100" spans="1:35" s="27" customFormat="1" collapsed="1" x14ac:dyDescent="0.25">
      <c r="A100" s="41"/>
      <c r="B100" s="32">
        <v>531</v>
      </c>
      <c r="C100" s="21" t="s">
        <v>13</v>
      </c>
      <c r="D100" s="22" t="s">
        <v>329</v>
      </c>
      <c r="E100" s="23" t="s">
        <v>47</v>
      </c>
      <c r="F100" s="21">
        <v>1000</v>
      </c>
      <c r="G100" s="21">
        <v>375</v>
      </c>
      <c r="H100" s="21">
        <v>25</v>
      </c>
      <c r="I100" s="21">
        <v>7.9</v>
      </c>
      <c r="J100" s="25">
        <v>3856</v>
      </c>
      <c r="K100" s="25">
        <v>3213.3333333333335</v>
      </c>
      <c r="L100" s="26">
        <v>0.55000000000000004</v>
      </c>
      <c r="M100" s="25">
        <v>1735.1999999999998</v>
      </c>
      <c r="N100" s="25">
        <f>M100/1.2</f>
        <v>1446</v>
      </c>
    </row>
    <row r="101" spans="1:35" s="27" customFormat="1" x14ac:dyDescent="0.25">
      <c r="A101" s="100"/>
      <c r="B101" s="32">
        <v>534</v>
      </c>
      <c r="C101" s="21" t="s">
        <v>65</v>
      </c>
      <c r="D101" s="22" t="s">
        <v>330</v>
      </c>
      <c r="E101" s="23" t="s">
        <v>47</v>
      </c>
      <c r="F101" s="21">
        <v>500</v>
      </c>
      <c r="G101" s="21">
        <v>358</v>
      </c>
      <c r="H101" s="21">
        <v>40</v>
      </c>
      <c r="I101" s="21">
        <v>11</v>
      </c>
      <c r="J101" s="25">
        <v>5404</v>
      </c>
      <c r="K101" s="25">
        <v>4503.3333333333339</v>
      </c>
      <c r="L101" s="26">
        <v>0.55000000000000004</v>
      </c>
      <c r="M101" s="25">
        <v>2431.7999999999997</v>
      </c>
      <c r="N101" s="25">
        <f>M101/1.2</f>
        <v>2026.4999999999998</v>
      </c>
    </row>
    <row r="102" spans="1:35" s="12" customFormat="1" x14ac:dyDescent="0.25">
      <c r="A102" s="17" t="s">
        <v>335</v>
      </c>
      <c r="B102" s="33"/>
      <c r="C102" s="17"/>
      <c r="D102" s="34"/>
      <c r="E102" s="17"/>
      <c r="F102" s="17"/>
      <c r="G102" s="17"/>
      <c r="H102" s="17"/>
      <c r="I102" s="17"/>
      <c r="J102" s="18"/>
      <c r="K102" s="18"/>
      <c r="L102" s="35"/>
      <c r="M102" s="16"/>
      <c r="N102" s="36"/>
    </row>
    <row r="103" spans="1:35" s="27" customFormat="1" x14ac:dyDescent="0.25">
      <c r="A103" s="41"/>
      <c r="B103" s="32">
        <v>535</v>
      </c>
      <c r="C103" s="21" t="s">
        <v>65</v>
      </c>
      <c r="D103" s="22" t="s">
        <v>336</v>
      </c>
      <c r="E103" s="23" t="s">
        <v>47</v>
      </c>
      <c r="F103" s="24">
        <v>500</v>
      </c>
      <c r="G103" s="21">
        <v>358</v>
      </c>
      <c r="H103" s="21">
        <v>42</v>
      </c>
      <c r="I103" s="45">
        <v>3.52</v>
      </c>
      <c r="J103" s="25">
        <v>2500</v>
      </c>
      <c r="K103" s="25">
        <v>2083.3333333333335</v>
      </c>
      <c r="L103" s="26">
        <v>0.55000000000000004</v>
      </c>
      <c r="M103" s="25">
        <v>1125</v>
      </c>
      <c r="N103" s="25">
        <f>M103/1.2</f>
        <v>937.5</v>
      </c>
    </row>
    <row r="104" spans="1:35" s="27" customFormat="1" x14ac:dyDescent="0.25">
      <c r="A104" s="41"/>
      <c r="B104" s="32">
        <v>536</v>
      </c>
      <c r="C104" s="21" t="s">
        <v>65</v>
      </c>
      <c r="D104" s="22" t="s">
        <v>337</v>
      </c>
      <c r="E104" s="23" t="s">
        <v>47</v>
      </c>
      <c r="F104" s="24">
        <v>500</v>
      </c>
      <c r="G104" s="21">
        <v>358</v>
      </c>
      <c r="H104" s="21">
        <v>42</v>
      </c>
      <c r="I104" s="21">
        <v>3.98</v>
      </c>
      <c r="J104" s="25">
        <v>2500</v>
      </c>
      <c r="K104" s="25">
        <v>2083.3333333333335</v>
      </c>
      <c r="L104" s="26">
        <v>0.55000000000000004</v>
      </c>
      <c r="M104" s="25">
        <v>1125</v>
      </c>
      <c r="N104" s="25">
        <f>M104/1.2</f>
        <v>937.5</v>
      </c>
    </row>
    <row r="105" spans="1:35" s="13" customFormat="1" x14ac:dyDescent="0.25">
      <c r="A105" s="38" t="s">
        <v>268</v>
      </c>
      <c r="B105" s="89"/>
      <c r="C105" s="38"/>
      <c r="D105" s="40"/>
      <c r="E105" s="38"/>
      <c r="F105" s="38"/>
      <c r="G105" s="38"/>
      <c r="H105" s="38"/>
      <c r="I105" s="38"/>
      <c r="J105" s="18"/>
      <c r="K105" s="18"/>
      <c r="L105" s="35"/>
      <c r="M105" s="16"/>
      <c r="N105" s="36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</row>
    <row r="106" spans="1:35" s="12" customFormat="1" x14ac:dyDescent="0.25">
      <c r="A106" s="19"/>
      <c r="B106" s="32">
        <v>106</v>
      </c>
      <c r="C106" s="21" t="s">
        <v>61</v>
      </c>
      <c r="D106" s="22" t="s">
        <v>223</v>
      </c>
      <c r="E106" s="23" t="s">
        <v>64</v>
      </c>
      <c r="F106" s="21"/>
      <c r="G106" s="21"/>
      <c r="H106" s="21"/>
      <c r="I106" s="21"/>
      <c r="J106" s="25">
        <v>42</v>
      </c>
      <c r="K106" s="25">
        <v>35</v>
      </c>
      <c r="L106" s="26">
        <v>0.3</v>
      </c>
      <c r="M106" s="25">
        <v>29.4</v>
      </c>
      <c r="N106" s="25">
        <f>M106/1.2</f>
        <v>24.5</v>
      </c>
    </row>
    <row r="107" spans="1:35" s="13" customFormat="1" x14ac:dyDescent="0.25">
      <c r="A107" s="17" t="s">
        <v>344</v>
      </c>
      <c r="B107" s="33"/>
      <c r="C107" s="17"/>
      <c r="D107" s="34"/>
      <c r="E107" s="17"/>
      <c r="F107" s="17"/>
      <c r="G107" s="17"/>
      <c r="H107" s="17"/>
      <c r="I107" s="17"/>
      <c r="J107" s="18"/>
      <c r="K107" s="18"/>
      <c r="L107" s="35"/>
      <c r="M107" s="16"/>
      <c r="N107" s="36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</row>
    <row r="108" spans="1:35" s="27" customFormat="1" x14ac:dyDescent="0.25">
      <c r="A108" s="100"/>
      <c r="B108" s="32" t="s">
        <v>345</v>
      </c>
      <c r="C108" s="21" t="s">
        <v>226</v>
      </c>
      <c r="D108" s="22" t="s">
        <v>346</v>
      </c>
      <c r="E108" s="23" t="s">
        <v>47</v>
      </c>
      <c r="F108" s="21">
        <v>500</v>
      </c>
      <c r="G108" s="21">
        <v>375</v>
      </c>
      <c r="H108" s="21">
        <v>21</v>
      </c>
      <c r="I108" s="21">
        <v>19.100000000000001</v>
      </c>
      <c r="J108" s="25">
        <v>5471</v>
      </c>
      <c r="K108" s="25">
        <v>4559.166666666667</v>
      </c>
      <c r="L108" s="26">
        <v>0.5</v>
      </c>
      <c r="M108" s="25">
        <v>2735.5</v>
      </c>
      <c r="N108" s="25">
        <f>M108/1.2</f>
        <v>2279.5833333333335</v>
      </c>
    </row>
    <row r="109" spans="1:35" s="107" customFormat="1" x14ac:dyDescent="0.25">
      <c r="A109" s="38" t="s">
        <v>347</v>
      </c>
      <c r="B109" s="39"/>
      <c r="C109" s="38"/>
      <c r="D109" s="40"/>
      <c r="E109" s="38"/>
      <c r="F109" s="38"/>
      <c r="G109" s="38"/>
      <c r="H109" s="38"/>
      <c r="I109" s="38"/>
      <c r="J109" s="18"/>
      <c r="K109" s="18"/>
      <c r="L109" s="35"/>
      <c r="M109" s="16"/>
      <c r="N109" s="36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</row>
    <row r="110" spans="1:35" s="13" customFormat="1" x14ac:dyDescent="0.25">
      <c r="A110" s="55"/>
      <c r="B110" s="32">
        <v>106</v>
      </c>
      <c r="C110" s="21" t="s">
        <v>61</v>
      </c>
      <c r="D110" s="22" t="s">
        <v>223</v>
      </c>
      <c r="E110" s="23" t="s">
        <v>64</v>
      </c>
      <c r="F110" s="21"/>
      <c r="G110" s="21"/>
      <c r="H110" s="21"/>
      <c r="I110" s="21"/>
      <c r="J110" s="25">
        <v>42</v>
      </c>
      <c r="K110" s="25">
        <v>35</v>
      </c>
      <c r="L110" s="26">
        <v>0.3</v>
      </c>
      <c r="M110" s="25">
        <v>29.4</v>
      </c>
      <c r="N110" s="25">
        <f>M110/1.2</f>
        <v>24.5</v>
      </c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</row>
    <row r="111" spans="1:35" s="12" customFormat="1" x14ac:dyDescent="0.25">
      <c r="A111" s="17" t="s">
        <v>348</v>
      </c>
      <c r="B111" s="33"/>
      <c r="C111" s="17"/>
      <c r="D111" s="34"/>
      <c r="E111" s="17"/>
      <c r="F111" s="17"/>
      <c r="G111" s="17"/>
      <c r="H111" s="17"/>
      <c r="I111" s="17"/>
      <c r="J111" s="18"/>
      <c r="K111" s="18"/>
      <c r="L111" s="35"/>
      <c r="M111" s="16"/>
      <c r="N111" s="36"/>
    </row>
    <row r="112" spans="1:35" s="12" customFormat="1" x14ac:dyDescent="0.25">
      <c r="A112" s="38" t="s">
        <v>349</v>
      </c>
      <c r="B112" s="39"/>
      <c r="C112" s="38"/>
      <c r="D112" s="40"/>
      <c r="E112" s="38"/>
      <c r="F112" s="38"/>
      <c r="G112" s="38"/>
      <c r="H112" s="38"/>
      <c r="I112" s="38"/>
      <c r="J112" s="18"/>
      <c r="K112" s="18"/>
      <c r="L112" s="35"/>
      <c r="M112" s="16"/>
      <c r="N112" s="36"/>
    </row>
    <row r="113" spans="1:35" s="27" customFormat="1" x14ac:dyDescent="0.25">
      <c r="A113" s="108"/>
      <c r="B113" s="109">
        <v>249</v>
      </c>
      <c r="C113" s="110" t="s">
        <v>65</v>
      </c>
      <c r="D113" s="111" t="s">
        <v>350</v>
      </c>
      <c r="E113" s="112" t="s">
        <v>64</v>
      </c>
      <c r="F113" s="110">
        <v>200</v>
      </c>
      <c r="G113" s="110">
        <v>200</v>
      </c>
      <c r="H113" s="110">
        <v>200</v>
      </c>
      <c r="I113" s="110">
        <v>2.1</v>
      </c>
      <c r="J113" s="113">
        <v>326</v>
      </c>
      <c r="K113" s="113">
        <v>271.66666666666669</v>
      </c>
      <c r="L113" s="114">
        <v>0.5</v>
      </c>
      <c r="M113" s="115">
        <v>163</v>
      </c>
      <c r="N113" s="115">
        <f>M113/1.2</f>
        <v>135.83333333333334</v>
      </c>
    </row>
    <row r="114" spans="1:35" s="27" customFormat="1" x14ac:dyDescent="0.25">
      <c r="A114" s="108"/>
      <c r="B114" s="109">
        <v>212</v>
      </c>
      <c r="C114" s="110" t="s">
        <v>61</v>
      </c>
      <c r="D114" s="111" t="s">
        <v>351</v>
      </c>
      <c r="E114" s="112" t="s">
        <v>64</v>
      </c>
      <c r="F114" s="110">
        <v>158.80000000000001</v>
      </c>
      <c r="G114" s="110">
        <v>2.5</v>
      </c>
      <c r="H114" s="110">
        <v>130</v>
      </c>
      <c r="I114" s="110">
        <v>0.06</v>
      </c>
      <c r="J114" s="113">
        <v>45</v>
      </c>
      <c r="K114" s="113">
        <v>37.5</v>
      </c>
      <c r="L114" s="114">
        <v>0.5</v>
      </c>
      <c r="M114" s="115">
        <v>22.5</v>
      </c>
      <c r="N114" s="115">
        <f>M114/1.2</f>
        <v>18.75</v>
      </c>
    </row>
    <row r="115" spans="1:35" s="27" customFormat="1" x14ac:dyDescent="0.25">
      <c r="A115" s="108"/>
      <c r="B115" s="116">
        <v>213</v>
      </c>
      <c r="C115" s="110" t="s">
        <v>61</v>
      </c>
      <c r="D115" s="111" t="s">
        <v>352</v>
      </c>
      <c r="E115" s="112" t="s">
        <v>64</v>
      </c>
      <c r="F115" s="110">
        <v>156</v>
      </c>
      <c r="G115" s="110">
        <v>115</v>
      </c>
      <c r="H115" s="110">
        <v>99.5</v>
      </c>
      <c r="I115" s="110">
        <v>0.106</v>
      </c>
      <c r="J115" s="113">
        <v>85</v>
      </c>
      <c r="K115" s="113">
        <v>70.833333333333343</v>
      </c>
      <c r="L115" s="114">
        <v>0.5</v>
      </c>
      <c r="M115" s="115">
        <v>42.5</v>
      </c>
      <c r="N115" s="115">
        <f>M115/1.2</f>
        <v>35.416666666666671</v>
      </c>
    </row>
    <row r="116" spans="1:35" s="12" customFormat="1" x14ac:dyDescent="0.25">
      <c r="A116" s="38" t="s">
        <v>353</v>
      </c>
      <c r="B116" s="39"/>
      <c r="C116" s="64"/>
      <c r="D116" s="40"/>
      <c r="E116" s="38"/>
      <c r="F116" s="38"/>
      <c r="G116" s="38"/>
      <c r="H116" s="38"/>
      <c r="I116" s="38"/>
      <c r="J116" s="18"/>
      <c r="K116" s="18"/>
      <c r="L116" s="35"/>
      <c r="M116" s="16"/>
      <c r="N116" s="36"/>
    </row>
    <row r="117" spans="1:35" s="27" customFormat="1" x14ac:dyDescent="0.25">
      <c r="A117" s="108"/>
      <c r="B117" s="109">
        <v>203</v>
      </c>
      <c r="C117" s="110" t="s">
        <v>13</v>
      </c>
      <c r="D117" s="111" t="s">
        <v>354</v>
      </c>
      <c r="E117" s="112" t="s">
        <v>64</v>
      </c>
      <c r="F117" s="110">
        <v>188</v>
      </c>
      <c r="G117" s="110">
        <v>188</v>
      </c>
      <c r="H117" s="110">
        <v>20</v>
      </c>
      <c r="I117" s="110">
        <v>0.19</v>
      </c>
      <c r="J117" s="113">
        <v>102</v>
      </c>
      <c r="K117" s="113">
        <v>85</v>
      </c>
      <c r="L117" s="114">
        <v>0.5</v>
      </c>
      <c r="M117" s="115">
        <v>51</v>
      </c>
      <c r="N117" s="115">
        <f>M117/1.2</f>
        <v>42.5</v>
      </c>
    </row>
    <row r="118" spans="1:35" s="12" customFormat="1" x14ac:dyDescent="0.25">
      <c r="A118" s="38" t="s">
        <v>355</v>
      </c>
      <c r="B118" s="39"/>
      <c r="C118" s="64"/>
      <c r="D118" s="40"/>
      <c r="E118" s="38"/>
      <c r="F118" s="38"/>
      <c r="G118" s="38"/>
      <c r="H118" s="38"/>
      <c r="I118" s="38"/>
      <c r="J118" s="18"/>
      <c r="K118" s="18"/>
      <c r="L118" s="35"/>
      <c r="M118" s="16"/>
      <c r="N118" s="36"/>
    </row>
    <row r="119" spans="1:35" s="27" customFormat="1" x14ac:dyDescent="0.25">
      <c r="A119" s="108"/>
      <c r="B119" s="109" t="s">
        <v>356</v>
      </c>
      <c r="C119" s="110" t="s">
        <v>65</v>
      </c>
      <c r="D119" s="111" t="s">
        <v>357</v>
      </c>
      <c r="E119" s="112" t="s">
        <v>64</v>
      </c>
      <c r="F119" s="110">
        <v>300</v>
      </c>
      <c r="G119" s="110">
        <v>300</v>
      </c>
      <c r="H119" s="110">
        <v>300</v>
      </c>
      <c r="I119" s="110">
        <v>1.5</v>
      </c>
      <c r="J119" s="113">
        <v>588</v>
      </c>
      <c r="K119" s="113">
        <v>490</v>
      </c>
      <c r="L119" s="114">
        <v>0.5</v>
      </c>
      <c r="M119" s="115">
        <v>294</v>
      </c>
      <c r="N119" s="115">
        <f>M119/1.2</f>
        <v>245</v>
      </c>
    </row>
    <row r="120" spans="1:35" s="27" customFormat="1" x14ac:dyDescent="0.25">
      <c r="A120" s="108"/>
      <c r="B120" s="109">
        <v>210</v>
      </c>
      <c r="C120" s="110" t="s">
        <v>61</v>
      </c>
      <c r="D120" s="111" t="s">
        <v>358</v>
      </c>
      <c r="E120" s="112" t="s">
        <v>64</v>
      </c>
      <c r="F120" s="110">
        <v>250</v>
      </c>
      <c r="G120" s="110">
        <v>2.5</v>
      </c>
      <c r="H120" s="110">
        <v>242</v>
      </c>
      <c r="I120" s="110">
        <v>0.16</v>
      </c>
      <c r="J120" s="113">
        <v>86</v>
      </c>
      <c r="K120" s="113">
        <v>71.666666666666671</v>
      </c>
      <c r="L120" s="114">
        <v>0.5</v>
      </c>
      <c r="M120" s="115">
        <v>43</v>
      </c>
      <c r="N120" s="115">
        <f>M120/1.2</f>
        <v>35.833333333333336</v>
      </c>
    </row>
    <row r="121" spans="1:35" s="27" customFormat="1" x14ac:dyDescent="0.25">
      <c r="A121" s="108"/>
      <c r="B121" s="116">
        <v>215</v>
      </c>
      <c r="C121" s="110" t="s">
        <v>61</v>
      </c>
      <c r="D121" s="111" t="s">
        <v>359</v>
      </c>
      <c r="E121" s="112" t="s">
        <v>64</v>
      </c>
      <c r="F121" s="110">
        <v>245</v>
      </c>
      <c r="G121" s="110">
        <v>158</v>
      </c>
      <c r="H121" s="110">
        <v>157</v>
      </c>
      <c r="I121" s="110">
        <v>0.26</v>
      </c>
      <c r="J121" s="113">
        <v>134</v>
      </c>
      <c r="K121" s="113">
        <v>111.66666666666667</v>
      </c>
      <c r="L121" s="114">
        <v>0.5</v>
      </c>
      <c r="M121" s="115">
        <v>67</v>
      </c>
      <c r="N121" s="115">
        <f>M121/1.2</f>
        <v>55.833333333333336</v>
      </c>
    </row>
    <row r="122" spans="1:35" s="12" customFormat="1" x14ac:dyDescent="0.25">
      <c r="A122" s="17" t="s">
        <v>207</v>
      </c>
      <c r="B122" s="33"/>
      <c r="C122" s="64"/>
      <c r="D122" s="86"/>
      <c r="E122" s="17"/>
      <c r="F122" s="17"/>
      <c r="G122" s="17"/>
      <c r="H122" s="17"/>
      <c r="I122" s="17"/>
      <c r="J122" s="18"/>
      <c r="K122" s="18"/>
      <c r="L122" s="35"/>
      <c r="M122" s="16"/>
      <c r="N122" s="36"/>
    </row>
    <row r="123" spans="1:35" s="13" customFormat="1" ht="30" x14ac:dyDescent="0.25">
      <c r="A123" s="77" t="s">
        <v>191</v>
      </c>
      <c r="B123" s="78" t="s">
        <v>208</v>
      </c>
      <c r="C123" s="79" t="s">
        <v>13</v>
      </c>
      <c r="D123" s="85" t="s">
        <v>209</v>
      </c>
      <c r="E123" s="81" t="s">
        <v>15</v>
      </c>
      <c r="F123" s="79">
        <v>500</v>
      </c>
      <c r="G123" s="79">
        <v>160</v>
      </c>
      <c r="H123" s="79">
        <v>424</v>
      </c>
      <c r="I123" s="79" t="s">
        <v>210</v>
      </c>
      <c r="J123" s="82">
        <v>2803</v>
      </c>
      <c r="K123" s="82">
        <v>2335.8333333333335</v>
      </c>
      <c r="L123" s="83">
        <v>0</v>
      </c>
      <c r="M123" s="82">
        <v>2803</v>
      </c>
      <c r="N123" s="82">
        <f>M123/1.2</f>
        <v>2335.8333333333335</v>
      </c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</row>
    <row r="124" spans="1:35" s="12" customFormat="1" x14ac:dyDescent="0.25">
      <c r="A124" s="38" t="s">
        <v>211</v>
      </c>
      <c r="B124" s="39"/>
      <c r="C124" s="38"/>
      <c r="D124" s="40"/>
      <c r="E124" s="38"/>
      <c r="F124" s="38"/>
      <c r="G124" s="38"/>
      <c r="H124" s="38"/>
      <c r="I124" s="38"/>
      <c r="J124" s="18"/>
      <c r="K124" s="18"/>
      <c r="L124" s="35"/>
      <c r="M124" s="16"/>
      <c r="N124" s="36"/>
    </row>
    <row r="125" spans="1:35" s="13" customFormat="1" x14ac:dyDescent="0.25">
      <c r="A125" s="77" t="s">
        <v>191</v>
      </c>
      <c r="B125" s="78" t="s">
        <v>212</v>
      </c>
      <c r="C125" s="87"/>
      <c r="D125" s="88" t="s">
        <v>213</v>
      </c>
      <c r="E125" s="81" t="s">
        <v>15</v>
      </c>
      <c r="F125" s="79">
        <v>119</v>
      </c>
      <c r="G125" s="79">
        <v>28</v>
      </c>
      <c r="H125" s="79">
        <v>14</v>
      </c>
      <c r="I125" s="79">
        <v>0.02</v>
      </c>
      <c r="J125" s="82">
        <v>89</v>
      </c>
      <c r="K125" s="82">
        <v>74.166666666666671</v>
      </c>
      <c r="L125" s="83">
        <v>0</v>
      </c>
      <c r="M125" s="82">
        <v>89</v>
      </c>
      <c r="N125" s="82">
        <f>M125/1.2</f>
        <v>74.166666666666671</v>
      </c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</row>
    <row r="126" spans="1:35" s="12" customFormat="1" x14ac:dyDescent="0.25">
      <c r="A126" s="38" t="s">
        <v>360</v>
      </c>
      <c r="B126" s="39"/>
      <c r="C126" s="64"/>
      <c r="D126" s="40"/>
      <c r="E126" s="38"/>
      <c r="F126" s="38"/>
      <c r="G126" s="38"/>
      <c r="H126" s="38"/>
      <c r="I126" s="38"/>
      <c r="J126" s="18"/>
      <c r="K126" s="18"/>
      <c r="L126" s="35"/>
      <c r="M126" s="16"/>
      <c r="N126" s="36"/>
    </row>
    <row r="127" spans="1:35" s="27" customFormat="1" x14ac:dyDescent="0.25">
      <c r="A127" s="108"/>
      <c r="B127" s="109">
        <v>200</v>
      </c>
      <c r="C127" s="110" t="s">
        <v>13</v>
      </c>
      <c r="D127" s="111" t="s">
        <v>361</v>
      </c>
      <c r="E127" s="112" t="s">
        <v>64</v>
      </c>
      <c r="F127" s="110">
        <v>285</v>
      </c>
      <c r="G127" s="110">
        <v>285</v>
      </c>
      <c r="H127" s="110">
        <v>21</v>
      </c>
      <c r="I127" s="110">
        <v>0.75</v>
      </c>
      <c r="J127" s="113">
        <v>506</v>
      </c>
      <c r="K127" s="113">
        <v>421.66666666666669</v>
      </c>
      <c r="L127" s="114">
        <v>0.55000000000000004</v>
      </c>
      <c r="M127" s="115">
        <v>227.7</v>
      </c>
      <c r="N127" s="115">
        <f>M127/1.2</f>
        <v>189.75</v>
      </c>
    </row>
    <row r="128" spans="1:35" s="27" customFormat="1" x14ac:dyDescent="0.25">
      <c r="A128" s="108"/>
      <c r="B128" s="116">
        <v>205</v>
      </c>
      <c r="C128" s="110" t="s">
        <v>65</v>
      </c>
      <c r="D128" s="111" t="s">
        <v>362</v>
      </c>
      <c r="E128" s="112" t="s">
        <v>64</v>
      </c>
      <c r="F128" s="110">
        <v>285</v>
      </c>
      <c r="G128" s="110">
        <v>285</v>
      </c>
      <c r="H128" s="110">
        <v>21</v>
      </c>
      <c r="I128" s="110">
        <v>3.2</v>
      </c>
      <c r="J128" s="113">
        <v>963</v>
      </c>
      <c r="K128" s="113">
        <v>802.5</v>
      </c>
      <c r="L128" s="114">
        <v>0.5</v>
      </c>
      <c r="M128" s="115">
        <v>481.5</v>
      </c>
      <c r="N128" s="115">
        <f>M128/1.2</f>
        <v>401.25</v>
      </c>
    </row>
    <row r="129" spans="1:35" s="27" customFormat="1" x14ac:dyDescent="0.25">
      <c r="A129" s="117"/>
      <c r="B129" s="118" t="s">
        <v>363</v>
      </c>
      <c r="C129" s="110" t="s">
        <v>364</v>
      </c>
      <c r="D129" s="119" t="s">
        <v>362</v>
      </c>
      <c r="E129" s="112" t="s">
        <v>64</v>
      </c>
      <c r="F129" s="120">
        <v>285</v>
      </c>
      <c r="G129" s="120">
        <v>285</v>
      </c>
      <c r="H129" s="120">
        <v>21</v>
      </c>
      <c r="I129" s="120">
        <v>3.2</v>
      </c>
      <c r="J129" s="121">
        <v>914.85</v>
      </c>
      <c r="K129" s="121">
        <v>762.375</v>
      </c>
      <c r="L129" s="114">
        <v>0.5</v>
      </c>
      <c r="M129" s="115">
        <v>457.42500000000001</v>
      </c>
      <c r="N129" s="115">
        <f>M129/1.2</f>
        <v>381.1875</v>
      </c>
    </row>
    <row r="130" spans="1:35" s="27" customFormat="1" x14ac:dyDescent="0.25">
      <c r="A130" s="108"/>
      <c r="B130" s="109">
        <v>206</v>
      </c>
      <c r="C130" s="110" t="s">
        <v>21</v>
      </c>
      <c r="D130" s="111" t="s">
        <v>365</v>
      </c>
      <c r="E130" s="112" t="s">
        <v>64</v>
      </c>
      <c r="F130" s="110">
        <v>285</v>
      </c>
      <c r="G130" s="110">
        <v>285</v>
      </c>
      <c r="H130" s="110">
        <v>21</v>
      </c>
      <c r="I130" s="110">
        <v>1.7</v>
      </c>
      <c r="J130" s="113">
        <v>967</v>
      </c>
      <c r="K130" s="113">
        <v>805.83333333333337</v>
      </c>
      <c r="L130" s="114">
        <v>0.5</v>
      </c>
      <c r="M130" s="115">
        <v>483.5</v>
      </c>
      <c r="N130" s="115">
        <f>M130/1.2</f>
        <v>402.91666666666669</v>
      </c>
    </row>
    <row r="131" spans="1:35" s="27" customFormat="1" x14ac:dyDescent="0.25">
      <c r="A131" s="108"/>
      <c r="B131" s="122">
        <v>208</v>
      </c>
      <c r="C131" s="110" t="s">
        <v>13</v>
      </c>
      <c r="D131" s="111" t="s">
        <v>366</v>
      </c>
      <c r="E131" s="112" t="s">
        <v>64</v>
      </c>
      <c r="F131" s="123">
        <v>285</v>
      </c>
      <c r="G131" s="110">
        <v>285</v>
      </c>
      <c r="H131" s="110">
        <v>21</v>
      </c>
      <c r="I131" s="110">
        <v>0.5</v>
      </c>
      <c r="J131" s="113">
        <v>273</v>
      </c>
      <c r="K131" s="113">
        <v>227.5</v>
      </c>
      <c r="L131" s="114">
        <v>0.55000000000000004</v>
      </c>
      <c r="M131" s="115">
        <v>122.85</v>
      </c>
      <c r="N131" s="115">
        <f>M131/1.2</f>
        <v>102.375</v>
      </c>
    </row>
    <row r="132" spans="1:35" s="12" customFormat="1" x14ac:dyDescent="0.25">
      <c r="A132" s="38" t="s">
        <v>367</v>
      </c>
      <c r="B132" s="39"/>
      <c r="C132" s="64"/>
      <c r="D132" s="40"/>
      <c r="E132" s="38"/>
      <c r="F132" s="38"/>
      <c r="G132" s="38"/>
      <c r="H132" s="38"/>
      <c r="I132" s="38"/>
      <c r="J132" s="18"/>
      <c r="K132" s="18"/>
      <c r="L132" s="35"/>
      <c r="M132" s="16"/>
      <c r="N132" s="36"/>
    </row>
    <row r="133" spans="1:35" s="27" customFormat="1" x14ac:dyDescent="0.25">
      <c r="A133" s="124"/>
      <c r="B133" s="116">
        <v>239</v>
      </c>
      <c r="C133" s="110" t="s">
        <v>65</v>
      </c>
      <c r="D133" s="111" t="s">
        <v>368</v>
      </c>
      <c r="E133" s="112" t="s">
        <v>64</v>
      </c>
      <c r="F133" s="110">
        <v>400</v>
      </c>
      <c r="G133" s="110">
        <v>400</v>
      </c>
      <c r="H133" s="110">
        <v>400</v>
      </c>
      <c r="I133" s="110">
        <v>4.21</v>
      </c>
      <c r="J133" s="113">
        <v>1634</v>
      </c>
      <c r="K133" s="113">
        <v>1361.6666666666667</v>
      </c>
      <c r="L133" s="114">
        <v>0.55000000000000004</v>
      </c>
      <c r="M133" s="115">
        <v>735.3</v>
      </c>
      <c r="N133" s="115">
        <f>M133/1.2</f>
        <v>612.75</v>
      </c>
    </row>
    <row r="134" spans="1:35" s="27" customFormat="1" x14ac:dyDescent="0.25">
      <c r="A134" s="124"/>
      <c r="B134" s="116">
        <v>211</v>
      </c>
      <c r="C134" s="110" t="s">
        <v>61</v>
      </c>
      <c r="D134" s="111" t="s">
        <v>369</v>
      </c>
      <c r="E134" s="112" t="s">
        <v>64</v>
      </c>
      <c r="F134" s="110">
        <v>353.5</v>
      </c>
      <c r="G134" s="110">
        <v>2.5</v>
      </c>
      <c r="H134" s="110">
        <v>289.5</v>
      </c>
      <c r="I134" s="110">
        <v>0.28999999999999998</v>
      </c>
      <c r="J134" s="113">
        <v>187</v>
      </c>
      <c r="K134" s="113">
        <v>155.83333333333334</v>
      </c>
      <c r="L134" s="114">
        <v>0.55000000000000004</v>
      </c>
      <c r="M134" s="115">
        <v>84.149999999999991</v>
      </c>
      <c r="N134" s="115">
        <f>M134/1.2</f>
        <v>70.125</v>
      </c>
    </row>
    <row r="135" spans="1:35" s="27" customFormat="1" x14ac:dyDescent="0.25">
      <c r="A135" s="124"/>
      <c r="B135" s="109">
        <v>214</v>
      </c>
      <c r="C135" s="110" t="s">
        <v>61</v>
      </c>
      <c r="D135" s="111" t="s">
        <v>370</v>
      </c>
      <c r="E135" s="112" t="s">
        <v>64</v>
      </c>
      <c r="F135" s="110">
        <v>350</v>
      </c>
      <c r="G135" s="110">
        <v>262</v>
      </c>
      <c r="H135" s="110">
        <v>150</v>
      </c>
      <c r="I135" s="110">
        <v>0.48</v>
      </c>
      <c r="J135" s="113">
        <v>385</v>
      </c>
      <c r="K135" s="113">
        <v>320.83333333333337</v>
      </c>
      <c r="L135" s="114">
        <v>0.55000000000000004</v>
      </c>
      <c r="M135" s="115">
        <v>173.24999999999997</v>
      </c>
      <c r="N135" s="115">
        <f>M135/1.2</f>
        <v>144.37499999999997</v>
      </c>
    </row>
    <row r="136" spans="1:35" s="12" customFormat="1" x14ac:dyDescent="0.25">
      <c r="A136" s="38" t="s">
        <v>371</v>
      </c>
      <c r="B136" s="39"/>
      <c r="C136" s="64"/>
      <c r="D136" s="40"/>
      <c r="E136" s="38"/>
      <c r="F136" s="38"/>
      <c r="G136" s="38"/>
      <c r="H136" s="38"/>
      <c r="I136" s="38"/>
      <c r="J136" s="18"/>
      <c r="K136" s="18"/>
      <c r="L136" s="35"/>
      <c r="M136" s="16"/>
      <c r="N136" s="36"/>
    </row>
    <row r="137" spans="1:35" s="27" customFormat="1" collapsed="1" x14ac:dyDescent="0.25">
      <c r="A137" s="124"/>
      <c r="B137" s="116">
        <v>207</v>
      </c>
      <c r="C137" s="110" t="s">
        <v>13</v>
      </c>
      <c r="D137" s="111" t="s">
        <v>372</v>
      </c>
      <c r="E137" s="112" t="s">
        <v>64</v>
      </c>
      <c r="F137" s="110">
        <v>390</v>
      </c>
      <c r="G137" s="110">
        <v>390</v>
      </c>
      <c r="H137" s="110">
        <v>35</v>
      </c>
      <c r="I137" s="110">
        <v>1.41</v>
      </c>
      <c r="J137" s="113">
        <v>1122</v>
      </c>
      <c r="K137" s="113">
        <v>935</v>
      </c>
      <c r="L137" s="114">
        <v>0.55000000000000004</v>
      </c>
      <c r="M137" s="115">
        <v>504.9</v>
      </c>
      <c r="N137" s="115">
        <f>M137/1.2</f>
        <v>420.75</v>
      </c>
    </row>
    <row r="138" spans="1:35" s="27" customFormat="1" x14ac:dyDescent="0.25">
      <c r="A138" s="124"/>
      <c r="B138" s="125">
        <v>209</v>
      </c>
      <c r="C138" s="110"/>
      <c r="D138" s="111" t="s">
        <v>373</v>
      </c>
      <c r="E138" s="126" t="s">
        <v>64</v>
      </c>
      <c r="F138" s="127">
        <v>390</v>
      </c>
      <c r="G138" s="127">
        <v>390</v>
      </c>
      <c r="H138" s="127">
        <v>35</v>
      </c>
      <c r="I138" s="127">
        <v>1.48</v>
      </c>
      <c r="J138" s="113">
        <v>1485</v>
      </c>
      <c r="K138" s="113">
        <v>1237.5</v>
      </c>
      <c r="L138" s="114">
        <v>0.55000000000000004</v>
      </c>
      <c r="M138" s="115">
        <v>668.24999999999989</v>
      </c>
      <c r="N138" s="115">
        <f>M138/1.2</f>
        <v>556.87499999999989</v>
      </c>
    </row>
    <row r="139" spans="1:35" s="107" customFormat="1" x14ac:dyDescent="0.25">
      <c r="A139" s="38" t="s">
        <v>374</v>
      </c>
      <c r="B139" s="39"/>
      <c r="C139" s="64"/>
      <c r="D139" s="40"/>
      <c r="E139" s="38"/>
      <c r="F139" s="38"/>
      <c r="G139" s="38"/>
      <c r="H139" s="38"/>
      <c r="I139" s="38"/>
      <c r="J139" s="18"/>
      <c r="K139" s="18"/>
      <c r="L139" s="35"/>
      <c r="M139" s="16"/>
      <c r="N139" s="36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</row>
    <row r="140" spans="1:35" s="13" customFormat="1" x14ac:dyDescent="0.25">
      <c r="A140" s="128"/>
      <c r="B140" s="116">
        <v>28135</v>
      </c>
      <c r="C140" s="110"/>
      <c r="D140" s="111" t="s">
        <v>375</v>
      </c>
      <c r="E140" s="112" t="s">
        <v>64</v>
      </c>
      <c r="F140" s="110">
        <v>300</v>
      </c>
      <c r="G140" s="110">
        <v>166</v>
      </c>
      <c r="H140" s="110">
        <v>200</v>
      </c>
      <c r="I140" s="110">
        <v>0.9</v>
      </c>
      <c r="J140" s="113">
        <v>481</v>
      </c>
      <c r="K140" s="113">
        <v>400.83333333333337</v>
      </c>
      <c r="L140" s="114">
        <v>0.55000000000000004</v>
      </c>
      <c r="M140" s="115">
        <v>216.45</v>
      </c>
      <c r="N140" s="115">
        <f>M140/1.2</f>
        <v>180.375</v>
      </c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</row>
    <row r="141" spans="1:35" s="12" customFormat="1" x14ac:dyDescent="0.25">
      <c r="A141" s="17" t="s">
        <v>376</v>
      </c>
      <c r="B141" s="33"/>
      <c r="C141" s="64"/>
      <c r="D141" s="34"/>
      <c r="E141" s="17"/>
      <c r="F141" s="17"/>
      <c r="G141" s="17"/>
      <c r="H141" s="17"/>
      <c r="I141" s="17"/>
      <c r="J141" s="18"/>
      <c r="K141" s="18"/>
      <c r="L141" s="35"/>
      <c r="M141" s="16"/>
      <c r="N141" s="36"/>
    </row>
    <row r="142" spans="1:35" s="12" customFormat="1" x14ac:dyDescent="0.25">
      <c r="A142" s="17" t="s">
        <v>377</v>
      </c>
      <c r="B142" s="33"/>
      <c r="C142" s="64"/>
      <c r="D142" s="34"/>
      <c r="E142" s="17"/>
      <c r="F142" s="17"/>
      <c r="G142" s="17"/>
      <c r="H142" s="17"/>
      <c r="I142" s="17"/>
      <c r="J142" s="18"/>
      <c r="K142" s="18"/>
      <c r="L142" s="35"/>
      <c r="M142" s="16"/>
      <c r="N142" s="36"/>
    </row>
    <row r="143" spans="1:35" s="13" customFormat="1" x14ac:dyDescent="0.25">
      <c r="A143" s="129"/>
      <c r="B143" s="116" t="s">
        <v>378</v>
      </c>
      <c r="C143" s="110" t="s">
        <v>13</v>
      </c>
      <c r="D143" s="111" t="s">
        <v>379</v>
      </c>
      <c r="E143" s="112" t="s">
        <v>64</v>
      </c>
      <c r="F143" s="110">
        <v>750</v>
      </c>
      <c r="G143" s="110">
        <v>750</v>
      </c>
      <c r="H143" s="110">
        <v>80</v>
      </c>
      <c r="I143" s="110">
        <v>9.1999999999999993</v>
      </c>
      <c r="J143" s="113">
        <v>2777</v>
      </c>
      <c r="K143" s="113">
        <v>2314.166666666667</v>
      </c>
      <c r="L143" s="114">
        <v>0.45</v>
      </c>
      <c r="M143" s="115">
        <v>1527.35</v>
      </c>
      <c r="N143" s="115">
        <f>M143/1.2</f>
        <v>1272.7916666666667</v>
      </c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</row>
    <row r="144" spans="1:35" s="12" customFormat="1" x14ac:dyDescent="0.25">
      <c r="A144" s="129"/>
      <c r="B144" s="116" t="s">
        <v>380</v>
      </c>
      <c r="C144" s="110" t="s">
        <v>13</v>
      </c>
      <c r="D144" s="111" t="s">
        <v>381</v>
      </c>
      <c r="E144" s="112" t="s">
        <v>64</v>
      </c>
      <c r="F144" s="110">
        <v>750</v>
      </c>
      <c r="G144" s="110">
        <v>750</v>
      </c>
      <c r="H144" s="110">
        <v>80</v>
      </c>
      <c r="I144" s="110">
        <v>9.1999999999999993</v>
      </c>
      <c r="J144" s="113">
        <v>2777</v>
      </c>
      <c r="K144" s="113">
        <v>2314.166666666667</v>
      </c>
      <c r="L144" s="114">
        <v>0.45</v>
      </c>
      <c r="M144" s="115">
        <v>1527.35</v>
      </c>
      <c r="N144" s="115">
        <f>M144/1.2</f>
        <v>1272.7916666666667</v>
      </c>
    </row>
    <row r="145" spans="1:35" s="12" customFormat="1" x14ac:dyDescent="0.25">
      <c r="A145" s="17" t="s">
        <v>382</v>
      </c>
      <c r="B145" s="33"/>
      <c r="C145" s="64"/>
      <c r="D145" s="34"/>
      <c r="E145" s="17"/>
      <c r="F145" s="17"/>
      <c r="G145" s="17"/>
      <c r="H145" s="17"/>
      <c r="I145" s="17"/>
      <c r="J145" s="18"/>
      <c r="K145" s="18"/>
      <c r="L145" s="35"/>
      <c r="M145" s="16"/>
      <c r="N145" s="36"/>
    </row>
    <row r="146" spans="1:35" s="13" customFormat="1" x14ac:dyDescent="0.25">
      <c r="A146" s="56"/>
      <c r="B146" s="109">
        <v>217</v>
      </c>
      <c r="C146" s="110" t="s">
        <v>65</v>
      </c>
      <c r="D146" s="111" t="s">
        <v>383</v>
      </c>
      <c r="E146" s="112" t="s">
        <v>64</v>
      </c>
      <c r="F146" s="110">
        <v>840</v>
      </c>
      <c r="G146" s="110">
        <v>840</v>
      </c>
      <c r="H146" s="110">
        <v>110</v>
      </c>
      <c r="I146" s="110">
        <v>113</v>
      </c>
      <c r="J146" s="113">
        <v>9621</v>
      </c>
      <c r="K146" s="113">
        <v>8017.5</v>
      </c>
      <c r="L146" s="114">
        <v>0</v>
      </c>
      <c r="M146" s="115">
        <v>9621</v>
      </c>
      <c r="N146" s="115">
        <f>M146/1.2</f>
        <v>8017.5</v>
      </c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</row>
    <row r="147" spans="1:35" s="12" customFormat="1" x14ac:dyDescent="0.25">
      <c r="A147" s="56"/>
      <c r="B147" s="109">
        <v>218</v>
      </c>
      <c r="C147" s="110" t="s">
        <v>13</v>
      </c>
      <c r="D147" s="111" t="s">
        <v>384</v>
      </c>
      <c r="E147" s="112" t="s">
        <v>64</v>
      </c>
      <c r="F147" s="110">
        <v>745</v>
      </c>
      <c r="G147" s="110">
        <v>745</v>
      </c>
      <c r="H147" s="110">
        <v>65</v>
      </c>
      <c r="I147" s="110">
        <v>55</v>
      </c>
      <c r="J147" s="113">
        <v>6377</v>
      </c>
      <c r="K147" s="113">
        <v>5314.166666666667</v>
      </c>
      <c r="L147" s="114">
        <v>0</v>
      </c>
      <c r="M147" s="115">
        <v>6377</v>
      </c>
      <c r="N147" s="115">
        <f>M147/1.2</f>
        <v>5314.166666666667</v>
      </c>
    </row>
    <row r="148" spans="1:35" s="12" customFormat="1" x14ac:dyDescent="0.25">
      <c r="A148" s="17" t="s">
        <v>385</v>
      </c>
      <c r="B148" s="33"/>
      <c r="C148" s="64"/>
      <c r="D148" s="34"/>
      <c r="E148" s="17"/>
      <c r="F148" s="17"/>
      <c r="G148" s="17"/>
      <c r="H148" s="17"/>
      <c r="I148" s="17"/>
      <c r="J148" s="18"/>
      <c r="K148" s="18"/>
      <c r="L148" s="35"/>
      <c r="M148" s="16"/>
      <c r="N148" s="36"/>
    </row>
    <row r="149" spans="1:35" s="13" customFormat="1" x14ac:dyDescent="0.25">
      <c r="A149" s="56"/>
      <c r="B149" s="109">
        <v>219</v>
      </c>
      <c r="C149" s="110" t="s">
        <v>65</v>
      </c>
      <c r="D149" s="111" t="s">
        <v>386</v>
      </c>
      <c r="E149" s="112" t="s">
        <v>64</v>
      </c>
      <c r="F149" s="110">
        <v>990</v>
      </c>
      <c r="G149" s="110">
        <v>500</v>
      </c>
      <c r="H149" s="110">
        <v>90</v>
      </c>
      <c r="I149" s="110">
        <v>105</v>
      </c>
      <c r="J149" s="113">
        <v>13648</v>
      </c>
      <c r="K149" s="113">
        <v>11373.333333333334</v>
      </c>
      <c r="L149" s="114">
        <v>0.1</v>
      </c>
      <c r="M149" s="115">
        <v>12283.2</v>
      </c>
      <c r="N149" s="115">
        <f>M149/1.2</f>
        <v>10236.000000000002</v>
      </c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</row>
    <row r="150" spans="1:35" s="12" customFormat="1" x14ac:dyDescent="0.25">
      <c r="A150" s="56"/>
      <c r="B150" s="109">
        <v>220</v>
      </c>
      <c r="C150" s="110" t="s">
        <v>65</v>
      </c>
      <c r="D150" s="111" t="s">
        <v>387</v>
      </c>
      <c r="E150" s="112" t="s">
        <v>64</v>
      </c>
      <c r="F150" s="110">
        <v>840</v>
      </c>
      <c r="G150" s="110">
        <v>840</v>
      </c>
      <c r="H150" s="110">
        <v>100</v>
      </c>
      <c r="I150" s="110">
        <v>109</v>
      </c>
      <c r="J150" s="113">
        <v>10739</v>
      </c>
      <c r="K150" s="113">
        <v>8949.1666666666679</v>
      </c>
      <c r="L150" s="114">
        <v>0</v>
      </c>
      <c r="M150" s="115">
        <v>10739</v>
      </c>
      <c r="N150" s="115">
        <f>M150/1.2</f>
        <v>8949.1666666666679</v>
      </c>
    </row>
    <row r="151" spans="1:35" s="12" customFormat="1" x14ac:dyDescent="0.25">
      <c r="A151" s="17" t="s">
        <v>388</v>
      </c>
      <c r="B151" s="33"/>
      <c r="C151" s="17"/>
      <c r="D151" s="34"/>
      <c r="E151" s="17"/>
      <c r="F151" s="17"/>
      <c r="G151" s="17"/>
      <c r="H151" s="17"/>
      <c r="I151" s="17"/>
      <c r="J151" s="18"/>
      <c r="K151" s="18"/>
      <c r="L151" s="35"/>
      <c r="M151" s="16"/>
      <c r="N151" s="36"/>
    </row>
    <row r="152" spans="1:35" s="27" customFormat="1" x14ac:dyDescent="0.25">
      <c r="A152" s="100"/>
      <c r="B152" s="116" t="s">
        <v>389</v>
      </c>
      <c r="C152" s="110" t="s">
        <v>243</v>
      </c>
      <c r="D152" s="111" t="s">
        <v>390</v>
      </c>
      <c r="E152" s="112" t="s">
        <v>64</v>
      </c>
      <c r="F152" s="110">
        <v>750</v>
      </c>
      <c r="G152" s="110">
        <v>200</v>
      </c>
      <c r="H152" s="110">
        <v>27</v>
      </c>
      <c r="I152" s="110">
        <v>13.7</v>
      </c>
      <c r="J152" s="113">
        <v>3748</v>
      </c>
      <c r="K152" s="113">
        <v>3123.3333333333335</v>
      </c>
      <c r="L152" s="114">
        <v>0.45</v>
      </c>
      <c r="M152" s="115">
        <v>2061.3999999999996</v>
      </c>
      <c r="N152" s="115">
        <f t="shared" ref="N152:N157" si="1">M152/1.2</f>
        <v>1717.833333333333</v>
      </c>
    </row>
    <row r="153" spans="1:35" s="27" customFormat="1" x14ac:dyDescent="0.25">
      <c r="A153" s="100"/>
      <c r="B153" s="116" t="s">
        <v>391</v>
      </c>
      <c r="C153" s="110" t="s">
        <v>243</v>
      </c>
      <c r="D153" s="111" t="s">
        <v>392</v>
      </c>
      <c r="E153" s="112" t="s">
        <v>64</v>
      </c>
      <c r="F153" s="110">
        <v>750</v>
      </c>
      <c r="G153" s="110">
        <v>250</v>
      </c>
      <c r="H153" s="110">
        <v>27</v>
      </c>
      <c r="I153" s="110">
        <v>19.5</v>
      </c>
      <c r="J153" s="113">
        <v>5325</v>
      </c>
      <c r="K153" s="113">
        <v>4437.5</v>
      </c>
      <c r="L153" s="114">
        <v>0.45</v>
      </c>
      <c r="M153" s="115">
        <v>2928.75</v>
      </c>
      <c r="N153" s="115">
        <f t="shared" si="1"/>
        <v>2440.625</v>
      </c>
    </row>
    <row r="154" spans="1:35" s="27" customFormat="1" x14ac:dyDescent="0.25">
      <c r="A154" s="100"/>
      <c r="B154" s="116" t="s">
        <v>393</v>
      </c>
      <c r="C154" s="110" t="s">
        <v>243</v>
      </c>
      <c r="D154" s="111" t="s">
        <v>394</v>
      </c>
      <c r="E154" s="112" t="s">
        <v>64</v>
      </c>
      <c r="F154" s="110">
        <v>750</v>
      </c>
      <c r="G154" s="110">
        <v>300</v>
      </c>
      <c r="H154" s="110">
        <v>27</v>
      </c>
      <c r="I154" s="110">
        <v>24.7</v>
      </c>
      <c r="J154" s="113">
        <v>6768</v>
      </c>
      <c r="K154" s="113">
        <v>5640</v>
      </c>
      <c r="L154" s="114">
        <v>0.45</v>
      </c>
      <c r="M154" s="115">
        <v>3722.4</v>
      </c>
      <c r="N154" s="115">
        <f t="shared" si="1"/>
        <v>3102</v>
      </c>
    </row>
    <row r="155" spans="1:35" s="27" customFormat="1" x14ac:dyDescent="0.25">
      <c r="A155" s="100"/>
      <c r="B155" s="116" t="s">
        <v>395</v>
      </c>
      <c r="C155" s="110" t="s">
        <v>243</v>
      </c>
      <c r="D155" s="111" t="s">
        <v>396</v>
      </c>
      <c r="E155" s="112" t="s">
        <v>64</v>
      </c>
      <c r="F155" s="110">
        <v>750</v>
      </c>
      <c r="G155" s="110">
        <v>350</v>
      </c>
      <c r="H155" s="110">
        <v>27</v>
      </c>
      <c r="I155" s="110">
        <v>27.3</v>
      </c>
      <c r="J155" s="113">
        <v>7501</v>
      </c>
      <c r="K155" s="113">
        <v>6250.8333333333339</v>
      </c>
      <c r="L155" s="114">
        <v>0.45</v>
      </c>
      <c r="M155" s="115">
        <v>4125.5499999999993</v>
      </c>
      <c r="N155" s="115">
        <f t="shared" si="1"/>
        <v>3437.958333333333</v>
      </c>
    </row>
    <row r="156" spans="1:35" s="27" customFormat="1" x14ac:dyDescent="0.25">
      <c r="A156" s="100"/>
      <c r="B156" s="116" t="s">
        <v>397</v>
      </c>
      <c r="C156" s="110" t="s">
        <v>243</v>
      </c>
      <c r="D156" s="111" t="s">
        <v>398</v>
      </c>
      <c r="E156" s="112" t="s">
        <v>64</v>
      </c>
      <c r="F156" s="110">
        <v>750</v>
      </c>
      <c r="G156" s="110">
        <v>400</v>
      </c>
      <c r="H156" s="110">
        <v>27</v>
      </c>
      <c r="I156" s="110">
        <v>35</v>
      </c>
      <c r="J156" s="113">
        <v>9475</v>
      </c>
      <c r="K156" s="113">
        <v>7895.8333333333339</v>
      </c>
      <c r="L156" s="114">
        <v>0.45</v>
      </c>
      <c r="M156" s="115">
        <v>5211.25</v>
      </c>
      <c r="N156" s="115">
        <f t="shared" si="1"/>
        <v>4342.7083333333339</v>
      </c>
    </row>
    <row r="157" spans="1:35" s="27" customFormat="1" x14ac:dyDescent="0.25">
      <c r="A157" s="100"/>
      <c r="B157" s="116" t="s">
        <v>399</v>
      </c>
      <c r="C157" s="110" t="s">
        <v>243</v>
      </c>
      <c r="D157" s="111" t="s">
        <v>400</v>
      </c>
      <c r="E157" s="112" t="s">
        <v>64</v>
      </c>
      <c r="F157" s="110">
        <v>750</v>
      </c>
      <c r="G157" s="110">
        <v>500</v>
      </c>
      <c r="H157" s="110">
        <v>27</v>
      </c>
      <c r="I157" s="110">
        <v>44</v>
      </c>
      <c r="J157" s="113">
        <v>12026</v>
      </c>
      <c r="K157" s="113">
        <v>10021.666666666668</v>
      </c>
      <c r="L157" s="114">
        <v>0.45</v>
      </c>
      <c r="M157" s="115">
        <v>6614.3</v>
      </c>
      <c r="N157" s="115">
        <f t="shared" si="1"/>
        <v>5511.916666666667</v>
      </c>
    </row>
    <row r="158" spans="1:35" s="13" customFormat="1" x14ac:dyDescent="0.25">
      <c r="A158" s="17" t="s">
        <v>401</v>
      </c>
      <c r="B158" s="33"/>
      <c r="C158" s="17"/>
      <c r="D158" s="34"/>
      <c r="E158" s="17"/>
      <c r="F158" s="17"/>
      <c r="G158" s="17"/>
      <c r="H158" s="17"/>
      <c r="I158" s="17"/>
      <c r="J158" s="18"/>
      <c r="K158" s="18"/>
      <c r="L158" s="35"/>
      <c r="M158" s="16"/>
      <c r="N158" s="36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</row>
    <row r="159" spans="1:35" s="12" customFormat="1" x14ac:dyDescent="0.25">
      <c r="A159" s="17" t="s">
        <v>402</v>
      </c>
      <c r="B159" s="33"/>
      <c r="C159" s="17"/>
      <c r="D159" s="34"/>
      <c r="E159" s="17"/>
      <c r="F159" s="17"/>
      <c r="G159" s="17"/>
      <c r="H159" s="17"/>
      <c r="I159" s="17"/>
      <c r="J159" s="18"/>
      <c r="K159" s="18"/>
      <c r="L159" s="35"/>
      <c r="M159" s="16"/>
      <c r="N159" s="36"/>
    </row>
    <row r="160" spans="1:35" s="12" customFormat="1" x14ac:dyDescent="0.25">
      <c r="A160" s="19"/>
      <c r="B160" s="130">
        <v>609</v>
      </c>
      <c r="C160" s="131" t="s">
        <v>65</v>
      </c>
      <c r="D160" s="132" t="s">
        <v>403</v>
      </c>
      <c r="E160" s="133" t="s">
        <v>64</v>
      </c>
      <c r="F160" s="131">
        <v>530</v>
      </c>
      <c r="G160" s="134">
        <v>430</v>
      </c>
      <c r="H160" s="134">
        <v>33</v>
      </c>
      <c r="I160" s="134">
        <v>0.8</v>
      </c>
      <c r="J160" s="135">
        <v>171</v>
      </c>
      <c r="K160" s="135">
        <v>142.5</v>
      </c>
      <c r="L160" s="136">
        <v>0</v>
      </c>
      <c r="M160" s="135">
        <v>171</v>
      </c>
      <c r="N160" s="135">
        <f>M160/1.2</f>
        <v>142.5</v>
      </c>
    </row>
    <row r="161" spans="1:35" s="12" customFormat="1" x14ac:dyDescent="0.25">
      <c r="A161" s="19"/>
      <c r="B161" s="130">
        <v>610</v>
      </c>
      <c r="C161" s="131" t="s">
        <v>65</v>
      </c>
      <c r="D161" s="132" t="s">
        <v>404</v>
      </c>
      <c r="E161" s="133" t="s">
        <v>64</v>
      </c>
      <c r="F161" s="131">
        <v>530</v>
      </c>
      <c r="G161" s="134">
        <v>430</v>
      </c>
      <c r="H161" s="134">
        <v>33</v>
      </c>
      <c r="I161" s="134">
        <v>0.8</v>
      </c>
      <c r="J161" s="135">
        <v>171</v>
      </c>
      <c r="K161" s="135">
        <v>142.5</v>
      </c>
      <c r="L161" s="136">
        <v>0.3</v>
      </c>
      <c r="M161" s="135">
        <v>119.7</v>
      </c>
      <c r="N161" s="135">
        <f>M161/1.2</f>
        <v>99.75</v>
      </c>
    </row>
    <row r="162" spans="1:35" s="12" customFormat="1" x14ac:dyDescent="0.25">
      <c r="A162" s="17" t="s">
        <v>405</v>
      </c>
      <c r="B162" s="33"/>
      <c r="C162" s="137"/>
      <c r="D162" s="34"/>
      <c r="E162" s="17"/>
      <c r="F162" s="17"/>
      <c r="G162" s="17"/>
      <c r="H162" s="17"/>
      <c r="I162" s="17"/>
      <c r="J162" s="18"/>
      <c r="K162" s="18"/>
      <c r="L162" s="35"/>
      <c r="M162" s="16"/>
      <c r="N162" s="36"/>
    </row>
    <row r="163" spans="1:35" s="12" customFormat="1" x14ac:dyDescent="0.25">
      <c r="A163" s="19"/>
      <c r="B163" s="130">
        <v>607</v>
      </c>
      <c r="C163" s="131" t="s">
        <v>65</v>
      </c>
      <c r="D163" s="132" t="s">
        <v>406</v>
      </c>
      <c r="E163" s="133" t="s">
        <v>64</v>
      </c>
      <c r="F163" s="131">
        <v>700</v>
      </c>
      <c r="G163" s="134">
        <v>400</v>
      </c>
      <c r="H163" s="134">
        <v>32.799999999999997</v>
      </c>
      <c r="I163" s="134">
        <v>1.1000000000000001</v>
      </c>
      <c r="J163" s="135">
        <v>214</v>
      </c>
      <c r="K163" s="135">
        <v>178.33333333333334</v>
      </c>
      <c r="L163" s="136">
        <v>0.3</v>
      </c>
      <c r="M163" s="135">
        <v>149.80000000000001</v>
      </c>
      <c r="N163" s="135">
        <f>M163/1.2</f>
        <v>124.83333333333334</v>
      </c>
    </row>
    <row r="164" spans="1:35" s="12" customFormat="1" x14ac:dyDescent="0.25">
      <c r="A164" s="19"/>
      <c r="B164" s="130">
        <v>608</v>
      </c>
      <c r="C164" s="131" t="s">
        <v>65</v>
      </c>
      <c r="D164" s="132" t="s">
        <v>407</v>
      </c>
      <c r="E164" s="133" t="s">
        <v>64</v>
      </c>
      <c r="F164" s="131">
        <v>700</v>
      </c>
      <c r="G164" s="134">
        <v>400</v>
      </c>
      <c r="H164" s="134">
        <v>32.799999999999997</v>
      </c>
      <c r="I164" s="134">
        <v>1.1000000000000001</v>
      </c>
      <c r="J164" s="135">
        <v>214</v>
      </c>
      <c r="K164" s="135">
        <v>178.33333333333334</v>
      </c>
      <c r="L164" s="136">
        <v>0.3</v>
      </c>
      <c r="M164" s="135">
        <v>149.80000000000001</v>
      </c>
      <c r="N164" s="135">
        <f>M164/1.2</f>
        <v>124.83333333333334</v>
      </c>
    </row>
    <row r="165" spans="1:35" s="12" customFormat="1" x14ac:dyDescent="0.25">
      <c r="A165" s="19"/>
      <c r="B165" s="130">
        <v>605</v>
      </c>
      <c r="C165" s="131" t="s">
        <v>65</v>
      </c>
      <c r="D165" s="132" t="s">
        <v>408</v>
      </c>
      <c r="E165" s="133" t="s">
        <v>64</v>
      </c>
      <c r="F165" s="131">
        <v>600</v>
      </c>
      <c r="G165" s="134">
        <v>600</v>
      </c>
      <c r="H165" s="134">
        <v>40</v>
      </c>
      <c r="I165" s="134">
        <v>1.6</v>
      </c>
      <c r="J165" s="135">
        <v>315</v>
      </c>
      <c r="K165" s="135">
        <v>262.5</v>
      </c>
      <c r="L165" s="136">
        <v>0.3</v>
      </c>
      <c r="M165" s="135">
        <v>220.5</v>
      </c>
      <c r="N165" s="135">
        <f>M165/1.2</f>
        <v>183.75</v>
      </c>
    </row>
    <row r="166" spans="1:35" s="13" customFormat="1" x14ac:dyDescent="0.25">
      <c r="A166" s="19"/>
      <c r="B166" s="130">
        <v>606</v>
      </c>
      <c r="C166" s="131" t="s">
        <v>65</v>
      </c>
      <c r="D166" s="132" t="s">
        <v>409</v>
      </c>
      <c r="E166" s="133" t="s">
        <v>64</v>
      </c>
      <c r="F166" s="131">
        <v>600</v>
      </c>
      <c r="G166" s="134">
        <v>600</v>
      </c>
      <c r="H166" s="134">
        <v>40</v>
      </c>
      <c r="I166" s="134">
        <v>1.6</v>
      </c>
      <c r="J166" s="135">
        <v>315</v>
      </c>
      <c r="K166" s="135">
        <v>262.5</v>
      </c>
      <c r="L166" s="136">
        <v>0.3</v>
      </c>
      <c r="M166" s="135">
        <v>220.5</v>
      </c>
      <c r="N166" s="135">
        <f>M166/1.2</f>
        <v>183.75</v>
      </c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</row>
    <row r="167" spans="1:35" s="12" customFormat="1" x14ac:dyDescent="0.25">
      <c r="A167" s="17" t="s">
        <v>410</v>
      </c>
      <c r="B167" s="33"/>
      <c r="C167" s="17"/>
      <c r="D167" s="34"/>
      <c r="E167" s="17"/>
      <c r="F167" s="17"/>
      <c r="G167" s="17"/>
      <c r="H167" s="17"/>
      <c r="I167" s="17"/>
      <c r="J167" s="18"/>
      <c r="K167" s="18"/>
      <c r="L167" s="35"/>
      <c r="M167" s="16"/>
      <c r="N167" s="36"/>
    </row>
    <row r="168" spans="1:35" s="12" customFormat="1" x14ac:dyDescent="0.25">
      <c r="A168" s="19"/>
      <c r="B168" s="130">
        <v>601</v>
      </c>
      <c r="C168" s="134" t="s">
        <v>243</v>
      </c>
      <c r="D168" s="132" t="s">
        <v>411</v>
      </c>
      <c r="E168" s="133" t="s">
        <v>64</v>
      </c>
      <c r="F168" s="131">
        <v>600</v>
      </c>
      <c r="G168" s="134">
        <v>400</v>
      </c>
      <c r="H168" s="134">
        <v>64</v>
      </c>
      <c r="I168" s="134">
        <v>2.02</v>
      </c>
      <c r="J168" s="135">
        <v>401</v>
      </c>
      <c r="K168" s="135">
        <v>334.16666666666669</v>
      </c>
      <c r="L168" s="136">
        <v>0.3</v>
      </c>
      <c r="M168" s="135">
        <v>280.7</v>
      </c>
      <c r="N168" s="135">
        <f>M168/1.2</f>
        <v>233.91666666666666</v>
      </c>
    </row>
    <row r="169" spans="1:35" s="12" customFormat="1" x14ac:dyDescent="0.25">
      <c r="A169" s="19"/>
      <c r="B169" s="130">
        <v>602</v>
      </c>
      <c r="C169" s="134" t="s">
        <v>243</v>
      </c>
      <c r="D169" s="132" t="s">
        <v>412</v>
      </c>
      <c r="E169" s="133" t="s">
        <v>64</v>
      </c>
      <c r="F169" s="131">
        <v>600</v>
      </c>
      <c r="G169" s="134">
        <v>400</v>
      </c>
      <c r="H169" s="134">
        <v>64</v>
      </c>
      <c r="I169" s="134">
        <v>2.02</v>
      </c>
      <c r="J169" s="135">
        <v>401</v>
      </c>
      <c r="K169" s="135">
        <v>334.16666666666669</v>
      </c>
      <c r="L169" s="136">
        <v>0.3</v>
      </c>
      <c r="M169" s="135">
        <v>280.7</v>
      </c>
      <c r="N169" s="135">
        <f>M169/1.2</f>
        <v>233.91666666666666</v>
      </c>
    </row>
    <row r="170" spans="1:35" s="12" customFormat="1" x14ac:dyDescent="0.25">
      <c r="A170" s="17" t="s">
        <v>413</v>
      </c>
      <c r="B170" s="33"/>
      <c r="C170" s="17"/>
      <c r="D170" s="34"/>
      <c r="E170" s="17"/>
      <c r="F170" s="17"/>
      <c r="G170" s="17"/>
      <c r="H170" s="17"/>
      <c r="I170" s="17"/>
      <c r="J170" s="18"/>
      <c r="K170" s="18"/>
      <c r="L170" s="35"/>
      <c r="M170" s="16"/>
      <c r="N170" s="36"/>
    </row>
    <row r="171" spans="1:35" s="12" customFormat="1" x14ac:dyDescent="0.25">
      <c r="A171" s="56"/>
      <c r="B171" s="130">
        <v>7310</v>
      </c>
      <c r="C171" s="134" t="s">
        <v>61</v>
      </c>
      <c r="D171" s="138" t="s">
        <v>414</v>
      </c>
      <c r="E171" s="133" t="s">
        <v>64</v>
      </c>
      <c r="F171" s="131">
        <v>1000</v>
      </c>
      <c r="G171" s="134">
        <v>80</v>
      </c>
      <c r="H171" s="134">
        <v>45</v>
      </c>
      <c r="I171" s="134">
        <v>0.54</v>
      </c>
      <c r="J171" s="135">
        <v>246</v>
      </c>
      <c r="K171" s="135">
        <v>205</v>
      </c>
      <c r="L171" s="136">
        <v>0.45</v>
      </c>
      <c r="M171" s="135">
        <v>135.30000000000001</v>
      </c>
      <c r="N171" s="135">
        <f>M171/1.2</f>
        <v>112.75000000000001</v>
      </c>
    </row>
    <row r="172" spans="1:35" s="12" customFormat="1" x14ac:dyDescent="0.25">
      <c r="A172" s="56"/>
      <c r="B172" s="130">
        <v>7312</v>
      </c>
      <c r="C172" s="134" t="s">
        <v>61</v>
      </c>
      <c r="D172" s="138" t="s">
        <v>415</v>
      </c>
      <c r="E172" s="133" t="s">
        <v>64</v>
      </c>
      <c r="F172" s="131">
        <v>3000</v>
      </c>
      <c r="G172" s="134">
        <v>85</v>
      </c>
      <c r="H172" s="134">
        <v>45</v>
      </c>
      <c r="I172" s="131">
        <v>1.32</v>
      </c>
      <c r="J172" s="135">
        <v>1047</v>
      </c>
      <c r="K172" s="135">
        <v>872.5</v>
      </c>
      <c r="L172" s="136">
        <v>0.45</v>
      </c>
      <c r="M172" s="135">
        <v>575.84999999999991</v>
      </c>
      <c r="N172" s="135">
        <f>M172/1.2</f>
        <v>479.87499999999994</v>
      </c>
    </row>
    <row r="173" spans="1:35" s="12" customFormat="1" x14ac:dyDescent="0.25">
      <c r="A173" s="19"/>
      <c r="B173" s="130">
        <v>7315</v>
      </c>
      <c r="C173" s="134" t="s">
        <v>61</v>
      </c>
      <c r="D173" s="132" t="s">
        <v>416</v>
      </c>
      <c r="E173" s="133" t="s">
        <v>64</v>
      </c>
      <c r="F173" s="131">
        <v>24</v>
      </c>
      <c r="G173" s="134">
        <v>24</v>
      </c>
      <c r="H173" s="134">
        <v>252</v>
      </c>
      <c r="I173" s="134">
        <v>0.03</v>
      </c>
      <c r="J173" s="135">
        <v>36</v>
      </c>
      <c r="K173" s="135">
        <v>30</v>
      </c>
      <c r="L173" s="136">
        <v>0.45</v>
      </c>
      <c r="M173" s="135">
        <v>19.8</v>
      </c>
      <c r="N173" s="135">
        <f>M173/1.2</f>
        <v>16.5</v>
      </c>
    </row>
    <row r="174" spans="1:35" s="12" customFormat="1" x14ac:dyDescent="0.25">
      <c r="A174" s="17" t="s">
        <v>417</v>
      </c>
      <c r="B174" s="33"/>
      <c r="C174" s="17"/>
      <c r="D174" s="34"/>
      <c r="E174" s="17"/>
      <c r="F174" s="17"/>
      <c r="G174" s="17"/>
      <c r="H174" s="17"/>
      <c r="I174" s="17"/>
      <c r="J174" s="18"/>
      <c r="K174" s="18"/>
      <c r="L174" s="35"/>
      <c r="M174" s="16"/>
      <c r="N174" s="36"/>
    </row>
    <row r="175" spans="1:35" s="12" customFormat="1" x14ac:dyDescent="0.25">
      <c r="A175" s="56"/>
      <c r="B175" s="130">
        <v>7305</v>
      </c>
      <c r="C175" s="134" t="s">
        <v>61</v>
      </c>
      <c r="D175" s="138" t="s">
        <v>418</v>
      </c>
      <c r="E175" s="133" t="s">
        <v>64</v>
      </c>
      <c r="F175" s="131">
        <v>10000</v>
      </c>
      <c r="G175" s="134">
        <v>20</v>
      </c>
      <c r="H175" s="134">
        <v>110</v>
      </c>
      <c r="I175" s="134">
        <v>2</v>
      </c>
      <c r="J175" s="135">
        <v>1600</v>
      </c>
      <c r="K175" s="135">
        <v>1333.3333333333335</v>
      </c>
      <c r="L175" s="136">
        <v>0.45</v>
      </c>
      <c r="M175" s="135">
        <v>880</v>
      </c>
      <c r="N175" s="135">
        <f>M175/1.2</f>
        <v>733.33333333333337</v>
      </c>
    </row>
    <row r="176" spans="1:35" s="107" customFormat="1" x14ac:dyDescent="0.25">
      <c r="A176" s="17" t="s">
        <v>419</v>
      </c>
      <c r="B176" s="33"/>
      <c r="C176" s="17"/>
      <c r="D176" s="34"/>
      <c r="E176" s="17"/>
      <c r="F176" s="17"/>
      <c r="G176" s="17"/>
      <c r="H176" s="17"/>
      <c r="I176" s="17"/>
      <c r="J176" s="18"/>
      <c r="K176" s="18"/>
      <c r="L176" s="35"/>
      <c r="M176" s="16"/>
      <c r="N176" s="36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  <c r="AF176" s="12"/>
      <c r="AG176" s="12"/>
      <c r="AH176" s="12"/>
      <c r="AI176" s="12"/>
    </row>
    <row r="177" spans="1:35" s="13" customFormat="1" x14ac:dyDescent="0.25">
      <c r="A177" s="17" t="s">
        <v>420</v>
      </c>
      <c r="B177" s="33"/>
      <c r="C177" s="17"/>
      <c r="D177" s="34"/>
      <c r="E177" s="17"/>
      <c r="F177" s="17"/>
      <c r="G177" s="17"/>
      <c r="H177" s="17"/>
      <c r="I177" s="17"/>
      <c r="J177" s="18"/>
      <c r="K177" s="18"/>
      <c r="L177" s="35"/>
      <c r="M177" s="16"/>
      <c r="N177" s="36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  <c r="AG177" s="12"/>
      <c r="AH177" s="12"/>
      <c r="AI177" s="12"/>
    </row>
    <row r="178" spans="1:35" s="27" customFormat="1" x14ac:dyDescent="0.25">
      <c r="A178" s="41"/>
      <c r="B178" s="139">
        <v>315</v>
      </c>
      <c r="C178" s="140" t="s">
        <v>13</v>
      </c>
      <c r="D178" s="141" t="s">
        <v>421</v>
      </c>
      <c r="E178" s="142" t="s">
        <v>64</v>
      </c>
      <c r="F178" s="140">
        <v>600</v>
      </c>
      <c r="G178" s="140">
        <v>400</v>
      </c>
      <c r="H178" s="140">
        <v>64</v>
      </c>
      <c r="I178" s="140">
        <v>1.2</v>
      </c>
      <c r="J178" s="143">
        <v>1175</v>
      </c>
      <c r="K178" s="143">
        <v>979.16666666666674</v>
      </c>
      <c r="L178" s="144">
        <v>0.55000000000000004</v>
      </c>
      <c r="M178" s="143">
        <v>528.75</v>
      </c>
      <c r="N178" s="143">
        <f>M178/1.2</f>
        <v>440.625</v>
      </c>
    </row>
    <row r="179" spans="1:35" s="13" customFormat="1" x14ac:dyDescent="0.25">
      <c r="A179" s="17" t="s">
        <v>422</v>
      </c>
      <c r="B179" s="33"/>
      <c r="C179" s="64"/>
      <c r="D179" s="34"/>
      <c r="E179" s="17"/>
      <c r="F179" s="17"/>
      <c r="G179" s="17"/>
      <c r="H179" s="17"/>
      <c r="I179" s="17"/>
      <c r="J179" s="18"/>
      <c r="K179" s="18"/>
      <c r="L179" s="35"/>
      <c r="M179" s="16"/>
      <c r="N179" s="36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  <c r="AF179" s="12"/>
      <c r="AG179" s="12"/>
      <c r="AH179" s="12"/>
      <c r="AI179" s="12"/>
    </row>
    <row r="180" spans="1:35" s="12" customFormat="1" x14ac:dyDescent="0.25">
      <c r="A180" s="19"/>
      <c r="B180" s="139">
        <v>301</v>
      </c>
      <c r="C180" s="140" t="s">
        <v>13</v>
      </c>
      <c r="D180" s="141" t="s">
        <v>423</v>
      </c>
      <c r="E180" s="142" t="s">
        <v>64</v>
      </c>
      <c r="F180" s="140">
        <v>590</v>
      </c>
      <c r="G180" s="140">
        <v>390</v>
      </c>
      <c r="H180" s="140">
        <v>20</v>
      </c>
      <c r="I180" s="140">
        <v>5</v>
      </c>
      <c r="J180" s="143">
        <v>3140</v>
      </c>
      <c r="K180" s="143">
        <v>2616.666666666667</v>
      </c>
      <c r="L180" s="144">
        <v>0.5</v>
      </c>
      <c r="M180" s="143">
        <v>1570</v>
      </c>
      <c r="N180" s="143">
        <f>M180/1.2</f>
        <v>1308.3333333333335</v>
      </c>
    </row>
    <row r="181" spans="1:35" s="12" customFormat="1" x14ac:dyDescent="0.25">
      <c r="A181" s="19"/>
      <c r="B181" s="139">
        <v>302</v>
      </c>
      <c r="C181" s="140" t="s">
        <v>13</v>
      </c>
      <c r="D181" s="141" t="s">
        <v>424</v>
      </c>
      <c r="E181" s="142" t="s">
        <v>64</v>
      </c>
      <c r="F181" s="140">
        <v>990</v>
      </c>
      <c r="G181" s="140">
        <v>490</v>
      </c>
      <c r="H181" s="140">
        <v>20</v>
      </c>
      <c r="I181" s="140">
        <v>15</v>
      </c>
      <c r="J181" s="143">
        <v>3954</v>
      </c>
      <c r="K181" s="143">
        <v>3295</v>
      </c>
      <c r="L181" s="144">
        <v>0.35</v>
      </c>
      <c r="M181" s="143">
        <v>2570.1000000000004</v>
      </c>
      <c r="N181" s="143">
        <f>M181/1.2</f>
        <v>2141.7500000000005</v>
      </c>
    </row>
    <row r="182" spans="1:35" s="152" customFormat="1" x14ac:dyDescent="0.25">
      <c r="A182" s="145" t="s">
        <v>425</v>
      </c>
      <c r="B182" s="146"/>
      <c r="C182" s="64"/>
      <c r="D182" s="147"/>
      <c r="E182" s="145"/>
      <c r="F182" s="145"/>
      <c r="G182" s="145"/>
      <c r="H182" s="145"/>
      <c r="I182" s="145"/>
      <c r="J182" s="148"/>
      <c r="K182" s="148"/>
      <c r="L182" s="35"/>
      <c r="M182" s="16"/>
      <c r="N182" s="149"/>
      <c r="O182" s="150"/>
      <c r="P182" s="150"/>
      <c r="Q182" s="150"/>
      <c r="R182" s="150"/>
      <c r="S182" s="150"/>
      <c r="T182" s="150"/>
      <c r="U182" s="150"/>
      <c r="V182" s="150"/>
      <c r="W182" s="150"/>
      <c r="X182" s="150"/>
      <c r="Y182" s="150"/>
      <c r="Z182" s="150"/>
      <c r="AA182" s="150"/>
      <c r="AB182" s="151"/>
    </row>
    <row r="183" spans="1:35" s="152" customFormat="1" x14ac:dyDescent="0.25">
      <c r="A183" s="153"/>
      <c r="B183" s="154">
        <v>3000</v>
      </c>
      <c r="C183" s="140" t="s">
        <v>13</v>
      </c>
      <c r="D183" s="141" t="s">
        <v>426</v>
      </c>
      <c r="E183" s="155" t="s">
        <v>64</v>
      </c>
      <c r="F183" s="156">
        <v>368.5</v>
      </c>
      <c r="G183" s="156">
        <v>46</v>
      </c>
      <c r="H183" s="156">
        <v>14</v>
      </c>
      <c r="I183" s="156">
        <v>0.1</v>
      </c>
      <c r="J183" s="143">
        <v>70</v>
      </c>
      <c r="K183" s="143">
        <v>58.333333333333336</v>
      </c>
      <c r="L183" s="144">
        <v>0</v>
      </c>
      <c r="M183" s="143">
        <v>70</v>
      </c>
      <c r="N183" s="143">
        <f>M183/1.2</f>
        <v>58.333333333333336</v>
      </c>
      <c r="O183" s="150"/>
      <c r="P183" s="150"/>
      <c r="Q183" s="150"/>
      <c r="R183" s="150"/>
      <c r="S183" s="150"/>
      <c r="T183" s="150"/>
      <c r="U183" s="150"/>
      <c r="V183" s="150"/>
      <c r="W183" s="150"/>
      <c r="X183" s="150"/>
      <c r="Y183" s="150"/>
      <c r="Z183" s="150"/>
      <c r="AA183" s="150"/>
      <c r="AB183" s="151"/>
    </row>
    <row r="184" spans="1:35" s="13" customFormat="1" x14ac:dyDescent="0.25">
      <c r="A184" s="17" t="s">
        <v>427</v>
      </c>
      <c r="B184" s="33"/>
      <c r="C184" s="64"/>
      <c r="D184" s="34"/>
      <c r="E184" s="17"/>
      <c r="F184" s="17"/>
      <c r="G184" s="17"/>
      <c r="H184" s="17"/>
      <c r="I184" s="17"/>
      <c r="J184" s="18"/>
      <c r="K184" s="18"/>
      <c r="L184" s="35"/>
      <c r="M184" s="16"/>
      <c r="N184" s="36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  <c r="AF184" s="12"/>
      <c r="AG184" s="12"/>
      <c r="AH184" s="12"/>
      <c r="AI184" s="12"/>
    </row>
    <row r="185" spans="1:35" s="12" customFormat="1" x14ac:dyDescent="0.25">
      <c r="A185" s="19"/>
      <c r="B185" s="139">
        <v>30001</v>
      </c>
      <c r="C185" s="140" t="s">
        <v>13</v>
      </c>
      <c r="D185" s="141" t="s">
        <v>428</v>
      </c>
      <c r="E185" s="142" t="s">
        <v>64</v>
      </c>
      <c r="F185" s="140">
        <v>390</v>
      </c>
      <c r="G185" s="140">
        <v>590</v>
      </c>
      <c r="H185" s="140">
        <v>20</v>
      </c>
      <c r="I185" s="140">
        <v>3.5</v>
      </c>
      <c r="J185" s="143">
        <v>3520</v>
      </c>
      <c r="K185" s="143">
        <v>2933.3333333333335</v>
      </c>
      <c r="L185" s="144">
        <v>0.4</v>
      </c>
      <c r="M185" s="143">
        <v>2112</v>
      </c>
      <c r="N185" s="143">
        <f t="shared" ref="N185:N198" si="2">M185/1.2</f>
        <v>1760</v>
      </c>
    </row>
    <row r="186" spans="1:35" s="12" customFormat="1" x14ac:dyDescent="0.25">
      <c r="A186" s="19"/>
      <c r="B186" s="139">
        <v>30002</v>
      </c>
      <c r="C186" s="140" t="s">
        <v>13</v>
      </c>
      <c r="D186" s="141" t="s">
        <v>429</v>
      </c>
      <c r="E186" s="142" t="s">
        <v>64</v>
      </c>
      <c r="F186" s="140">
        <v>390</v>
      </c>
      <c r="G186" s="140">
        <v>590</v>
      </c>
      <c r="H186" s="140">
        <v>20</v>
      </c>
      <c r="I186" s="140">
        <v>2.2999999999999998</v>
      </c>
      <c r="J186" s="143">
        <v>3520</v>
      </c>
      <c r="K186" s="143">
        <v>2933.3333333333335</v>
      </c>
      <c r="L186" s="144">
        <v>0.4</v>
      </c>
      <c r="M186" s="143">
        <v>2112</v>
      </c>
      <c r="N186" s="143">
        <f t="shared" si="2"/>
        <v>1760</v>
      </c>
    </row>
    <row r="187" spans="1:35" s="12" customFormat="1" x14ac:dyDescent="0.25">
      <c r="A187" s="19"/>
      <c r="B187" s="139">
        <v>30003</v>
      </c>
      <c r="C187" s="140" t="s">
        <v>13</v>
      </c>
      <c r="D187" s="141" t="s">
        <v>430</v>
      </c>
      <c r="E187" s="142" t="s">
        <v>64</v>
      </c>
      <c r="F187" s="140">
        <v>390</v>
      </c>
      <c r="G187" s="140">
        <v>590</v>
      </c>
      <c r="H187" s="140">
        <v>23</v>
      </c>
      <c r="I187" s="140">
        <v>3.2</v>
      </c>
      <c r="J187" s="143">
        <v>6350</v>
      </c>
      <c r="K187" s="143">
        <v>5291.666666666667</v>
      </c>
      <c r="L187" s="144">
        <v>0.35</v>
      </c>
      <c r="M187" s="143">
        <v>4127.5</v>
      </c>
      <c r="N187" s="143">
        <f t="shared" si="2"/>
        <v>3439.5833333333335</v>
      </c>
    </row>
    <row r="188" spans="1:35" s="12" customFormat="1" x14ac:dyDescent="0.25">
      <c r="A188" s="19"/>
      <c r="B188" s="139">
        <v>30012</v>
      </c>
      <c r="C188" s="140" t="s">
        <v>13</v>
      </c>
      <c r="D188" s="141" t="s">
        <v>431</v>
      </c>
      <c r="E188" s="142" t="s">
        <v>64</v>
      </c>
      <c r="F188" s="140">
        <v>390</v>
      </c>
      <c r="G188" s="140">
        <v>590</v>
      </c>
      <c r="H188" s="140">
        <v>20</v>
      </c>
      <c r="I188" s="140">
        <v>2.85</v>
      </c>
      <c r="J188" s="143">
        <v>3520</v>
      </c>
      <c r="K188" s="143">
        <v>2933.3333333333335</v>
      </c>
      <c r="L188" s="144">
        <v>0.4</v>
      </c>
      <c r="M188" s="143">
        <v>2112</v>
      </c>
      <c r="N188" s="143">
        <f t="shared" si="2"/>
        <v>1760</v>
      </c>
    </row>
    <row r="189" spans="1:35" s="12" customFormat="1" x14ac:dyDescent="0.25">
      <c r="A189" s="19"/>
      <c r="B189" s="139">
        <v>30013</v>
      </c>
      <c r="C189" s="140" t="s">
        <v>13</v>
      </c>
      <c r="D189" s="141" t="s">
        <v>432</v>
      </c>
      <c r="E189" s="142" t="s">
        <v>64</v>
      </c>
      <c r="F189" s="140">
        <v>390</v>
      </c>
      <c r="G189" s="140">
        <v>590</v>
      </c>
      <c r="H189" s="140">
        <v>23</v>
      </c>
      <c r="I189" s="140">
        <v>3.39</v>
      </c>
      <c r="J189" s="143">
        <v>5365</v>
      </c>
      <c r="K189" s="143">
        <v>4470.8333333333339</v>
      </c>
      <c r="L189" s="144">
        <v>0.4</v>
      </c>
      <c r="M189" s="143">
        <v>3219</v>
      </c>
      <c r="N189" s="143">
        <f t="shared" si="2"/>
        <v>2682.5</v>
      </c>
    </row>
    <row r="190" spans="1:35" s="12" customFormat="1" x14ac:dyDescent="0.25">
      <c r="A190" s="19"/>
      <c r="B190" s="139">
        <v>30023</v>
      </c>
      <c r="C190" s="140" t="s">
        <v>13</v>
      </c>
      <c r="D190" s="141" t="s">
        <v>433</v>
      </c>
      <c r="E190" s="142" t="s">
        <v>64</v>
      </c>
      <c r="F190" s="140">
        <v>390</v>
      </c>
      <c r="G190" s="140">
        <v>590</v>
      </c>
      <c r="H190" s="140">
        <v>23</v>
      </c>
      <c r="I190" s="140">
        <v>2.89</v>
      </c>
      <c r="J190" s="143">
        <v>5300</v>
      </c>
      <c r="K190" s="143">
        <v>4416.666666666667</v>
      </c>
      <c r="L190" s="144">
        <v>0.4</v>
      </c>
      <c r="M190" s="143">
        <v>3180</v>
      </c>
      <c r="N190" s="143">
        <f t="shared" si="2"/>
        <v>2650</v>
      </c>
    </row>
    <row r="191" spans="1:35" s="12" customFormat="1" x14ac:dyDescent="0.25">
      <c r="A191" s="19"/>
      <c r="B191" s="139">
        <v>30123</v>
      </c>
      <c r="C191" s="140" t="s">
        <v>13</v>
      </c>
      <c r="D191" s="141" t="s">
        <v>434</v>
      </c>
      <c r="E191" s="142" t="s">
        <v>64</v>
      </c>
      <c r="F191" s="140">
        <v>390</v>
      </c>
      <c r="G191" s="140">
        <v>590</v>
      </c>
      <c r="H191" s="140">
        <v>23</v>
      </c>
      <c r="I191" s="140">
        <v>3.12</v>
      </c>
      <c r="J191" s="143">
        <v>4550</v>
      </c>
      <c r="K191" s="143">
        <v>3791.666666666667</v>
      </c>
      <c r="L191" s="144">
        <v>0.4</v>
      </c>
      <c r="M191" s="143">
        <v>2730</v>
      </c>
      <c r="N191" s="143">
        <f t="shared" si="2"/>
        <v>2275</v>
      </c>
    </row>
    <row r="192" spans="1:35" s="12" customFormat="1" x14ac:dyDescent="0.25">
      <c r="A192" s="19"/>
      <c r="B192" s="139">
        <v>30014</v>
      </c>
      <c r="C192" s="140" t="s">
        <v>13</v>
      </c>
      <c r="D192" s="141" t="s">
        <v>435</v>
      </c>
      <c r="E192" s="142" t="s">
        <v>64</v>
      </c>
      <c r="F192" s="140">
        <v>390</v>
      </c>
      <c r="G192" s="140">
        <v>590</v>
      </c>
      <c r="H192" s="140">
        <v>22</v>
      </c>
      <c r="I192" s="140">
        <v>4.24</v>
      </c>
      <c r="J192" s="143">
        <v>3520</v>
      </c>
      <c r="K192" s="143">
        <v>2933.3333333333335</v>
      </c>
      <c r="L192" s="144">
        <v>0.35</v>
      </c>
      <c r="M192" s="143">
        <v>2288</v>
      </c>
      <c r="N192" s="143">
        <f t="shared" si="2"/>
        <v>1906.6666666666667</v>
      </c>
    </row>
    <row r="193" spans="1:14" s="12" customFormat="1" x14ac:dyDescent="0.25">
      <c r="A193" s="19"/>
      <c r="B193" s="139">
        <v>30024</v>
      </c>
      <c r="C193" s="140" t="s">
        <v>13</v>
      </c>
      <c r="D193" s="141" t="s">
        <v>436</v>
      </c>
      <c r="E193" s="142" t="s">
        <v>64</v>
      </c>
      <c r="F193" s="140">
        <v>390</v>
      </c>
      <c r="G193" s="140">
        <v>590</v>
      </c>
      <c r="H193" s="140">
        <v>22</v>
      </c>
      <c r="I193" s="140">
        <v>3.47</v>
      </c>
      <c r="J193" s="143">
        <v>3520</v>
      </c>
      <c r="K193" s="143">
        <v>2933.3333333333335</v>
      </c>
      <c r="L193" s="144">
        <v>0.35</v>
      </c>
      <c r="M193" s="143">
        <v>2288</v>
      </c>
      <c r="N193" s="143">
        <f t="shared" si="2"/>
        <v>1906.6666666666667</v>
      </c>
    </row>
    <row r="194" spans="1:14" s="12" customFormat="1" x14ac:dyDescent="0.25">
      <c r="A194" s="19"/>
      <c r="B194" s="139">
        <v>30034</v>
      </c>
      <c r="C194" s="140" t="s">
        <v>13</v>
      </c>
      <c r="D194" s="141" t="s">
        <v>437</v>
      </c>
      <c r="E194" s="142" t="s">
        <v>64</v>
      </c>
      <c r="F194" s="140">
        <v>390</v>
      </c>
      <c r="G194" s="140">
        <v>590</v>
      </c>
      <c r="H194" s="140">
        <v>23</v>
      </c>
      <c r="I194" s="140">
        <v>3.94</v>
      </c>
      <c r="J194" s="143">
        <v>6995</v>
      </c>
      <c r="K194" s="143">
        <v>5829.166666666667</v>
      </c>
      <c r="L194" s="144">
        <v>0.45</v>
      </c>
      <c r="M194" s="143">
        <v>3847.25</v>
      </c>
      <c r="N194" s="143">
        <f t="shared" si="2"/>
        <v>3206.041666666667</v>
      </c>
    </row>
    <row r="195" spans="1:14" s="12" customFormat="1" x14ac:dyDescent="0.25">
      <c r="A195" s="19"/>
      <c r="B195" s="139">
        <v>30124</v>
      </c>
      <c r="C195" s="140" t="s">
        <v>13</v>
      </c>
      <c r="D195" s="141" t="s">
        <v>438</v>
      </c>
      <c r="E195" s="142" t="s">
        <v>64</v>
      </c>
      <c r="F195" s="140">
        <v>390</v>
      </c>
      <c r="G195" s="140">
        <v>590</v>
      </c>
      <c r="H195" s="140">
        <v>22</v>
      </c>
      <c r="I195" s="140">
        <v>3.85</v>
      </c>
      <c r="J195" s="143">
        <v>3520</v>
      </c>
      <c r="K195" s="143">
        <v>2933.3333333333335</v>
      </c>
      <c r="L195" s="144">
        <v>0.35</v>
      </c>
      <c r="M195" s="143">
        <v>2288</v>
      </c>
      <c r="N195" s="143">
        <f t="shared" si="2"/>
        <v>1906.6666666666667</v>
      </c>
    </row>
    <row r="196" spans="1:14" s="12" customFormat="1" x14ac:dyDescent="0.25">
      <c r="A196" s="19"/>
      <c r="B196" s="139">
        <v>30134</v>
      </c>
      <c r="C196" s="140" t="s">
        <v>13</v>
      </c>
      <c r="D196" s="141" t="s">
        <v>439</v>
      </c>
      <c r="E196" s="142" t="s">
        <v>64</v>
      </c>
      <c r="F196" s="140">
        <v>390</v>
      </c>
      <c r="G196" s="140">
        <v>590</v>
      </c>
      <c r="H196" s="140">
        <v>23</v>
      </c>
      <c r="I196" s="140">
        <v>4.09</v>
      </c>
      <c r="J196" s="143">
        <v>5050</v>
      </c>
      <c r="K196" s="143">
        <v>4208.3333333333339</v>
      </c>
      <c r="L196" s="144">
        <v>0.4</v>
      </c>
      <c r="M196" s="143">
        <v>3030</v>
      </c>
      <c r="N196" s="143">
        <f t="shared" si="2"/>
        <v>2525</v>
      </c>
    </row>
    <row r="197" spans="1:14" s="12" customFormat="1" x14ac:dyDescent="0.25">
      <c r="A197" s="19"/>
      <c r="B197" s="139">
        <v>30234</v>
      </c>
      <c r="C197" s="140" t="s">
        <v>13</v>
      </c>
      <c r="D197" s="141" t="s">
        <v>440</v>
      </c>
      <c r="E197" s="142" t="s">
        <v>64</v>
      </c>
      <c r="F197" s="140">
        <v>390</v>
      </c>
      <c r="G197" s="140">
        <v>590</v>
      </c>
      <c r="H197" s="140">
        <v>23</v>
      </c>
      <c r="I197" s="140">
        <v>3.7</v>
      </c>
      <c r="J197" s="143">
        <v>4965</v>
      </c>
      <c r="K197" s="143">
        <v>4137.5</v>
      </c>
      <c r="L197" s="144">
        <v>0.35</v>
      </c>
      <c r="M197" s="143">
        <v>3227.25</v>
      </c>
      <c r="N197" s="143">
        <f t="shared" si="2"/>
        <v>2689.375</v>
      </c>
    </row>
    <row r="198" spans="1:14" s="12" customFormat="1" x14ac:dyDescent="0.25">
      <c r="A198" s="19"/>
      <c r="B198" s="139">
        <v>301234</v>
      </c>
      <c r="C198" s="140" t="s">
        <v>13</v>
      </c>
      <c r="D198" s="141" t="s">
        <v>441</v>
      </c>
      <c r="E198" s="142" t="s">
        <v>64</v>
      </c>
      <c r="F198" s="140">
        <v>390</v>
      </c>
      <c r="G198" s="140">
        <v>590</v>
      </c>
      <c r="H198" s="140">
        <v>23</v>
      </c>
      <c r="I198" s="140">
        <v>3.88</v>
      </c>
      <c r="J198" s="143">
        <v>4945</v>
      </c>
      <c r="K198" s="143">
        <v>4120.8333333333339</v>
      </c>
      <c r="L198" s="144">
        <v>0.45</v>
      </c>
      <c r="M198" s="143">
        <v>2719.75</v>
      </c>
      <c r="N198" s="143">
        <f t="shared" si="2"/>
        <v>2266.4583333333335</v>
      </c>
    </row>
    <row r="199" spans="1:14" s="7" customFormat="1" x14ac:dyDescent="0.25">
      <c r="A199" s="17" t="s">
        <v>442</v>
      </c>
      <c r="B199" s="70"/>
      <c r="C199" s="64"/>
      <c r="D199" s="34"/>
      <c r="E199" s="157"/>
      <c r="F199" s="157"/>
      <c r="G199" s="157"/>
      <c r="H199" s="157"/>
      <c r="I199" s="157"/>
      <c r="J199" s="18"/>
      <c r="K199" s="18"/>
      <c r="L199" s="35"/>
      <c r="M199" s="16"/>
      <c r="N199" s="92"/>
    </row>
    <row r="200" spans="1:14" s="7" customFormat="1" x14ac:dyDescent="0.25">
      <c r="A200" s="55"/>
      <c r="B200" s="154" t="s">
        <v>443</v>
      </c>
      <c r="C200" s="140" t="s">
        <v>13</v>
      </c>
      <c r="D200" s="141" t="s">
        <v>444</v>
      </c>
      <c r="E200" s="155" t="s">
        <v>445</v>
      </c>
      <c r="F200" s="156" t="s">
        <v>446</v>
      </c>
      <c r="G200" s="156" t="s">
        <v>446</v>
      </c>
      <c r="H200" s="140">
        <v>20</v>
      </c>
      <c r="I200" s="156">
        <v>15.55</v>
      </c>
      <c r="J200" s="143">
        <v>14680</v>
      </c>
      <c r="K200" s="143">
        <v>12233.333333333334</v>
      </c>
      <c r="L200" s="144">
        <v>0.4</v>
      </c>
      <c r="M200" s="143">
        <v>8808</v>
      </c>
      <c r="N200" s="143">
        <f t="shared" ref="N200:N213" si="3">M200/1.2</f>
        <v>7340</v>
      </c>
    </row>
    <row r="201" spans="1:14" s="7" customFormat="1" x14ac:dyDescent="0.25">
      <c r="A201" s="55"/>
      <c r="B201" s="154" t="s">
        <v>447</v>
      </c>
      <c r="C201" s="140" t="s">
        <v>13</v>
      </c>
      <c r="D201" s="141" t="s">
        <v>448</v>
      </c>
      <c r="E201" s="155" t="s">
        <v>445</v>
      </c>
      <c r="F201" s="156" t="s">
        <v>446</v>
      </c>
      <c r="G201" s="156" t="s">
        <v>446</v>
      </c>
      <c r="H201" s="140">
        <v>20</v>
      </c>
      <c r="I201" s="156">
        <v>11.26</v>
      </c>
      <c r="J201" s="143">
        <v>14680</v>
      </c>
      <c r="K201" s="143">
        <v>12233.333333333334</v>
      </c>
      <c r="L201" s="144">
        <v>0.4</v>
      </c>
      <c r="M201" s="143">
        <v>8808</v>
      </c>
      <c r="N201" s="143">
        <f t="shared" si="3"/>
        <v>7340</v>
      </c>
    </row>
    <row r="202" spans="1:14" s="12" customFormat="1" x14ac:dyDescent="0.25">
      <c r="A202" s="55"/>
      <c r="B202" s="154" t="s">
        <v>449</v>
      </c>
      <c r="C202" s="140" t="s">
        <v>13</v>
      </c>
      <c r="D202" s="141" t="s">
        <v>450</v>
      </c>
      <c r="E202" s="155" t="s">
        <v>445</v>
      </c>
      <c r="F202" s="156" t="s">
        <v>446</v>
      </c>
      <c r="G202" s="156" t="s">
        <v>446</v>
      </c>
      <c r="H202" s="140">
        <v>23</v>
      </c>
      <c r="I202" s="156">
        <v>13.91</v>
      </c>
      <c r="J202" s="143">
        <v>28360</v>
      </c>
      <c r="K202" s="143">
        <v>23633.333333333336</v>
      </c>
      <c r="L202" s="144">
        <v>0.4</v>
      </c>
      <c r="M202" s="143">
        <v>17016</v>
      </c>
      <c r="N202" s="143">
        <f t="shared" si="3"/>
        <v>14180</v>
      </c>
    </row>
    <row r="203" spans="1:14" s="12" customFormat="1" x14ac:dyDescent="0.25">
      <c r="A203" s="55"/>
      <c r="B203" s="154" t="s">
        <v>451</v>
      </c>
      <c r="C203" s="140" t="s">
        <v>13</v>
      </c>
      <c r="D203" s="141" t="s">
        <v>452</v>
      </c>
      <c r="E203" s="155" t="s">
        <v>445</v>
      </c>
      <c r="F203" s="156" t="s">
        <v>446</v>
      </c>
      <c r="G203" s="156" t="s">
        <v>446</v>
      </c>
      <c r="H203" s="140">
        <v>20</v>
      </c>
      <c r="I203" s="156">
        <v>12.39</v>
      </c>
      <c r="J203" s="143">
        <v>14680</v>
      </c>
      <c r="K203" s="143">
        <v>12233.333333333334</v>
      </c>
      <c r="L203" s="144">
        <v>0.4</v>
      </c>
      <c r="M203" s="143">
        <v>8808</v>
      </c>
      <c r="N203" s="143">
        <f t="shared" si="3"/>
        <v>7340</v>
      </c>
    </row>
    <row r="204" spans="1:14" s="12" customFormat="1" x14ac:dyDescent="0.25">
      <c r="A204" s="55"/>
      <c r="B204" s="154" t="s">
        <v>453</v>
      </c>
      <c r="C204" s="140" t="s">
        <v>13</v>
      </c>
      <c r="D204" s="141" t="s">
        <v>454</v>
      </c>
      <c r="E204" s="155" t="s">
        <v>445</v>
      </c>
      <c r="F204" s="156" t="s">
        <v>446</v>
      </c>
      <c r="G204" s="156" t="s">
        <v>446</v>
      </c>
      <c r="H204" s="140">
        <v>23</v>
      </c>
      <c r="I204" s="156">
        <v>14.75</v>
      </c>
      <c r="J204" s="143">
        <v>22350</v>
      </c>
      <c r="K204" s="143">
        <v>18625</v>
      </c>
      <c r="L204" s="144">
        <v>0.4</v>
      </c>
      <c r="M204" s="143">
        <v>13410</v>
      </c>
      <c r="N204" s="143">
        <f t="shared" si="3"/>
        <v>11175</v>
      </c>
    </row>
    <row r="205" spans="1:14" s="12" customFormat="1" x14ac:dyDescent="0.25">
      <c r="A205" s="55"/>
      <c r="B205" s="154" t="s">
        <v>455</v>
      </c>
      <c r="C205" s="140" t="s">
        <v>13</v>
      </c>
      <c r="D205" s="141" t="s">
        <v>456</v>
      </c>
      <c r="E205" s="155" t="s">
        <v>445</v>
      </c>
      <c r="F205" s="156" t="s">
        <v>446</v>
      </c>
      <c r="G205" s="156" t="s">
        <v>446</v>
      </c>
      <c r="H205" s="140">
        <v>23</v>
      </c>
      <c r="I205" s="156">
        <v>12.54</v>
      </c>
      <c r="J205" s="143">
        <v>22080</v>
      </c>
      <c r="K205" s="143">
        <v>18400</v>
      </c>
      <c r="L205" s="144">
        <v>0.4</v>
      </c>
      <c r="M205" s="143">
        <v>13248</v>
      </c>
      <c r="N205" s="143">
        <f t="shared" si="3"/>
        <v>11040</v>
      </c>
    </row>
    <row r="206" spans="1:14" s="12" customFormat="1" x14ac:dyDescent="0.25">
      <c r="A206" s="55"/>
      <c r="B206" s="154" t="s">
        <v>457</v>
      </c>
      <c r="C206" s="140" t="s">
        <v>13</v>
      </c>
      <c r="D206" s="141" t="s">
        <v>458</v>
      </c>
      <c r="E206" s="155" t="s">
        <v>445</v>
      </c>
      <c r="F206" s="156" t="s">
        <v>446</v>
      </c>
      <c r="G206" s="156" t="s">
        <v>446</v>
      </c>
      <c r="H206" s="140">
        <v>23</v>
      </c>
      <c r="I206" s="156">
        <v>13.57</v>
      </c>
      <c r="J206" s="143">
        <v>18970</v>
      </c>
      <c r="K206" s="143">
        <v>15808.333333333334</v>
      </c>
      <c r="L206" s="144">
        <v>0.4</v>
      </c>
      <c r="M206" s="143">
        <v>11382</v>
      </c>
      <c r="N206" s="143">
        <f t="shared" si="3"/>
        <v>9485</v>
      </c>
    </row>
    <row r="207" spans="1:14" s="12" customFormat="1" x14ac:dyDescent="0.25">
      <c r="A207" s="55"/>
      <c r="B207" s="154" t="s">
        <v>459</v>
      </c>
      <c r="C207" s="140" t="s">
        <v>13</v>
      </c>
      <c r="D207" s="141" t="s">
        <v>460</v>
      </c>
      <c r="E207" s="155" t="s">
        <v>445</v>
      </c>
      <c r="F207" s="156" t="s">
        <v>446</v>
      </c>
      <c r="G207" s="156" t="s">
        <v>446</v>
      </c>
      <c r="H207" s="140">
        <v>22</v>
      </c>
      <c r="I207" s="156">
        <v>18.45</v>
      </c>
      <c r="J207" s="143">
        <v>15860</v>
      </c>
      <c r="K207" s="143">
        <v>13216.666666666668</v>
      </c>
      <c r="L207" s="144">
        <v>0.4</v>
      </c>
      <c r="M207" s="143">
        <v>9516</v>
      </c>
      <c r="N207" s="143">
        <f t="shared" si="3"/>
        <v>7930</v>
      </c>
    </row>
    <row r="208" spans="1:14" s="12" customFormat="1" x14ac:dyDescent="0.25">
      <c r="A208" s="55"/>
      <c r="B208" s="154" t="s">
        <v>461</v>
      </c>
      <c r="C208" s="140" t="s">
        <v>13</v>
      </c>
      <c r="D208" s="141" t="s">
        <v>462</v>
      </c>
      <c r="E208" s="155" t="s">
        <v>445</v>
      </c>
      <c r="F208" s="156" t="s">
        <v>446</v>
      </c>
      <c r="G208" s="156" t="s">
        <v>446</v>
      </c>
      <c r="H208" s="140">
        <v>22</v>
      </c>
      <c r="I208" s="156">
        <v>15.07</v>
      </c>
      <c r="J208" s="143">
        <v>14680</v>
      </c>
      <c r="K208" s="143">
        <v>12233.333333333334</v>
      </c>
      <c r="L208" s="144">
        <v>0.4</v>
      </c>
      <c r="M208" s="143">
        <v>8808</v>
      </c>
      <c r="N208" s="143">
        <f t="shared" si="3"/>
        <v>7340</v>
      </c>
    </row>
    <row r="209" spans="1:14" s="12" customFormat="1" x14ac:dyDescent="0.25">
      <c r="A209" s="55"/>
      <c r="B209" s="154" t="s">
        <v>463</v>
      </c>
      <c r="C209" s="140" t="s">
        <v>13</v>
      </c>
      <c r="D209" s="141" t="s">
        <v>464</v>
      </c>
      <c r="E209" s="155" t="s">
        <v>445</v>
      </c>
      <c r="F209" s="156" t="s">
        <v>446</v>
      </c>
      <c r="G209" s="156" t="s">
        <v>446</v>
      </c>
      <c r="H209" s="140">
        <v>23</v>
      </c>
      <c r="I209" s="156">
        <v>17.149999999999999</v>
      </c>
      <c r="J209" s="143">
        <v>29130</v>
      </c>
      <c r="K209" s="143">
        <v>24275</v>
      </c>
      <c r="L209" s="144">
        <v>0.45</v>
      </c>
      <c r="M209" s="143">
        <v>16021.5</v>
      </c>
      <c r="N209" s="143">
        <f t="shared" si="3"/>
        <v>13351.25</v>
      </c>
    </row>
    <row r="210" spans="1:14" s="12" customFormat="1" x14ac:dyDescent="0.25">
      <c r="A210" s="55"/>
      <c r="B210" s="154" t="s">
        <v>465</v>
      </c>
      <c r="C210" s="140" t="s">
        <v>13</v>
      </c>
      <c r="D210" s="141" t="s">
        <v>466</v>
      </c>
      <c r="E210" s="155" t="s">
        <v>445</v>
      </c>
      <c r="F210" s="156" t="s">
        <v>446</v>
      </c>
      <c r="G210" s="156" t="s">
        <v>446</v>
      </c>
      <c r="H210" s="140">
        <v>22</v>
      </c>
      <c r="I210" s="156">
        <v>16.760000000000002</v>
      </c>
      <c r="J210" s="143">
        <v>15860</v>
      </c>
      <c r="K210" s="143">
        <v>13216.666666666668</v>
      </c>
      <c r="L210" s="144">
        <v>0.4</v>
      </c>
      <c r="M210" s="143">
        <v>9516</v>
      </c>
      <c r="N210" s="143">
        <f t="shared" si="3"/>
        <v>7930</v>
      </c>
    </row>
    <row r="211" spans="1:14" s="12" customFormat="1" x14ac:dyDescent="0.25">
      <c r="A211" s="55"/>
      <c r="B211" s="154" t="s">
        <v>467</v>
      </c>
      <c r="C211" s="140" t="s">
        <v>13</v>
      </c>
      <c r="D211" s="141" t="s">
        <v>468</v>
      </c>
      <c r="E211" s="155" t="s">
        <v>445</v>
      </c>
      <c r="F211" s="156" t="s">
        <v>446</v>
      </c>
      <c r="G211" s="156" t="s">
        <v>446</v>
      </c>
      <c r="H211" s="140">
        <v>23</v>
      </c>
      <c r="I211" s="156">
        <v>17.8</v>
      </c>
      <c r="J211" s="143">
        <v>21050</v>
      </c>
      <c r="K211" s="143">
        <v>17541.666666666668</v>
      </c>
      <c r="L211" s="144">
        <v>0.4</v>
      </c>
      <c r="M211" s="143">
        <v>12630</v>
      </c>
      <c r="N211" s="143">
        <f t="shared" si="3"/>
        <v>10525</v>
      </c>
    </row>
    <row r="212" spans="1:14" s="12" customFormat="1" x14ac:dyDescent="0.25">
      <c r="A212" s="55"/>
      <c r="B212" s="154" t="s">
        <v>469</v>
      </c>
      <c r="C212" s="140" t="s">
        <v>13</v>
      </c>
      <c r="D212" s="141" t="s">
        <v>470</v>
      </c>
      <c r="E212" s="155" t="s">
        <v>445</v>
      </c>
      <c r="F212" s="156" t="s">
        <v>446</v>
      </c>
      <c r="G212" s="156" t="s">
        <v>446</v>
      </c>
      <c r="H212" s="140">
        <v>23</v>
      </c>
      <c r="I212" s="156">
        <v>16.11</v>
      </c>
      <c r="J212" s="143">
        <v>20670</v>
      </c>
      <c r="K212" s="143">
        <v>17225</v>
      </c>
      <c r="L212" s="144">
        <v>0.4</v>
      </c>
      <c r="M212" s="143">
        <v>12402</v>
      </c>
      <c r="N212" s="143">
        <f t="shared" si="3"/>
        <v>10335</v>
      </c>
    </row>
    <row r="213" spans="1:14" s="12" customFormat="1" x14ac:dyDescent="0.25">
      <c r="A213" s="55"/>
      <c r="B213" s="154" t="s">
        <v>471</v>
      </c>
      <c r="C213" s="140" t="s">
        <v>13</v>
      </c>
      <c r="D213" s="141" t="s">
        <v>472</v>
      </c>
      <c r="E213" s="155" t="s">
        <v>445</v>
      </c>
      <c r="F213" s="156" t="s">
        <v>446</v>
      </c>
      <c r="G213" s="156" t="s">
        <v>446</v>
      </c>
      <c r="H213" s="140">
        <v>23</v>
      </c>
      <c r="I213" s="156">
        <v>16.88</v>
      </c>
      <c r="J213" s="143">
        <v>20615</v>
      </c>
      <c r="K213" s="143">
        <v>17179.166666666668</v>
      </c>
      <c r="L213" s="144">
        <v>0.45</v>
      </c>
      <c r="M213" s="143">
        <v>11338.25</v>
      </c>
      <c r="N213" s="143">
        <f t="shared" si="3"/>
        <v>9448.5416666666679</v>
      </c>
    </row>
    <row r="214" spans="1:14" s="12" customFormat="1" x14ac:dyDescent="0.25">
      <c r="A214" s="14" t="s">
        <v>473</v>
      </c>
      <c r="B214" s="70"/>
      <c r="C214" s="157"/>
      <c r="D214" s="34"/>
      <c r="E214" s="157"/>
      <c r="F214" s="157"/>
      <c r="G214" s="157"/>
      <c r="H214" s="157"/>
      <c r="I214" s="157"/>
      <c r="J214" s="18"/>
      <c r="K214" s="18"/>
      <c r="L214" s="35"/>
      <c r="M214" s="16"/>
      <c r="N214" s="36"/>
    </row>
    <row r="215" spans="1:14" s="12" customFormat="1" x14ac:dyDescent="0.25">
      <c r="A215" s="55"/>
      <c r="B215" s="154">
        <v>90018696</v>
      </c>
      <c r="C215" s="156"/>
      <c r="D215" s="141" t="s">
        <v>474</v>
      </c>
      <c r="E215" s="142" t="s">
        <v>64</v>
      </c>
      <c r="F215" s="140">
        <v>27</v>
      </c>
      <c r="G215" s="140">
        <v>17</v>
      </c>
      <c r="H215" s="140">
        <v>13</v>
      </c>
      <c r="I215" s="140">
        <v>2E-3</v>
      </c>
      <c r="J215" s="143">
        <v>11</v>
      </c>
      <c r="K215" s="143">
        <v>9.1666666666666679</v>
      </c>
      <c r="L215" s="144">
        <v>0</v>
      </c>
      <c r="M215" s="143">
        <v>11</v>
      </c>
      <c r="N215" s="143">
        <f>M215/1.2</f>
        <v>9.1666666666666679</v>
      </c>
    </row>
    <row r="216" spans="1:14" s="7" customFormat="1" x14ac:dyDescent="0.25">
      <c r="A216" s="55"/>
      <c r="B216" s="154">
        <v>90019626</v>
      </c>
      <c r="C216" s="156"/>
      <c r="D216" s="141" t="s">
        <v>475</v>
      </c>
      <c r="E216" s="142" t="s">
        <v>476</v>
      </c>
      <c r="F216" s="140">
        <v>1000</v>
      </c>
      <c r="G216" s="140">
        <v>4.5999999999999996</v>
      </c>
      <c r="H216" s="140">
        <v>4.2</v>
      </c>
      <c r="I216" s="140">
        <v>0.03</v>
      </c>
      <c r="J216" s="143">
        <v>20</v>
      </c>
      <c r="K216" s="143">
        <v>16.666666666666668</v>
      </c>
      <c r="L216" s="144">
        <v>0</v>
      </c>
      <c r="M216" s="143">
        <v>20</v>
      </c>
      <c r="N216" s="143">
        <f>M216/1.2</f>
        <v>16.666666666666668</v>
      </c>
    </row>
    <row r="217" spans="1:14" s="158" customFormat="1" x14ac:dyDescent="0.25">
      <c r="A217" s="55"/>
      <c r="B217" s="154">
        <v>90020816</v>
      </c>
      <c r="C217" s="156"/>
      <c r="D217" s="141" t="s">
        <v>477</v>
      </c>
      <c r="E217" s="155" t="s">
        <v>478</v>
      </c>
      <c r="F217" s="156"/>
      <c r="G217" s="156"/>
      <c r="H217" s="156"/>
      <c r="I217" s="156"/>
      <c r="J217" s="143">
        <v>720</v>
      </c>
      <c r="K217" s="143">
        <v>600</v>
      </c>
      <c r="L217" s="144">
        <v>0.4</v>
      </c>
      <c r="M217" s="143">
        <v>432</v>
      </c>
      <c r="N217" s="143">
        <f>M217/1.2</f>
        <v>360</v>
      </c>
    </row>
    <row r="221" spans="1:14" s="12" customFormat="1" x14ac:dyDescent="0.25">
      <c r="A221" s="17" t="s">
        <v>220</v>
      </c>
      <c r="B221" s="89"/>
      <c r="C221" s="17"/>
      <c r="D221" s="34"/>
      <c r="E221" s="17"/>
      <c r="F221" s="17"/>
      <c r="G221" s="17"/>
      <c r="H221" s="17"/>
      <c r="I221" s="17"/>
      <c r="J221" s="18"/>
      <c r="K221" s="18"/>
      <c r="L221" s="35"/>
      <c r="M221" s="16"/>
      <c r="N221" s="36"/>
    </row>
    <row r="222" spans="1:14" s="27" customFormat="1" x14ac:dyDescent="0.25">
      <c r="A222" s="41"/>
      <c r="B222" s="32">
        <v>509</v>
      </c>
      <c r="C222" s="21" t="s">
        <v>65</v>
      </c>
      <c r="D222" s="22" t="s">
        <v>221</v>
      </c>
      <c r="E222" s="23" t="s">
        <v>15</v>
      </c>
      <c r="F222" s="21">
        <v>500</v>
      </c>
      <c r="G222" s="21">
        <v>138</v>
      </c>
      <c r="H222" s="21">
        <v>21</v>
      </c>
      <c r="I222" s="21">
        <v>1.24</v>
      </c>
      <c r="J222" s="25">
        <v>577</v>
      </c>
      <c r="K222" s="25">
        <v>480.83333333333337</v>
      </c>
      <c r="L222" s="26">
        <v>0.55000000000000004</v>
      </c>
      <c r="M222" s="25">
        <v>259.64999999999998</v>
      </c>
      <c r="N222" s="25">
        <f>M222/1.2</f>
        <v>216.375</v>
      </c>
    </row>
    <row r="223" spans="1:14" s="12" customFormat="1" x14ac:dyDescent="0.25">
      <c r="A223" s="38" t="s">
        <v>222</v>
      </c>
      <c r="B223" s="89"/>
      <c r="C223" s="38"/>
      <c r="D223" s="40"/>
      <c r="E223" s="38"/>
      <c r="F223" s="38"/>
      <c r="G223" s="38"/>
      <c r="H223" s="38"/>
      <c r="I223" s="38"/>
      <c r="J223" s="18"/>
      <c r="K223" s="18"/>
      <c r="L223" s="35"/>
      <c r="M223" s="16"/>
      <c r="N223" s="36"/>
    </row>
    <row r="224" spans="1:14" s="12" customFormat="1" x14ac:dyDescent="0.25">
      <c r="A224" s="19"/>
      <c r="B224" s="32">
        <v>106</v>
      </c>
      <c r="C224" s="21" t="s">
        <v>61</v>
      </c>
      <c r="D224" s="22" t="s">
        <v>223</v>
      </c>
      <c r="E224" s="23" t="s">
        <v>64</v>
      </c>
      <c r="F224" s="21"/>
      <c r="G224" s="21"/>
      <c r="H224" s="21"/>
      <c r="I224" s="21"/>
      <c r="J224" s="25">
        <v>42</v>
      </c>
      <c r="K224" s="25">
        <v>35</v>
      </c>
      <c r="L224" s="26">
        <v>0.3</v>
      </c>
      <c r="M224" s="25">
        <v>29.4</v>
      </c>
      <c r="N224" s="25">
        <f>M224/1.2</f>
        <v>24.5</v>
      </c>
    </row>
    <row r="225" spans="1:14" s="12" customFormat="1" x14ac:dyDescent="0.25">
      <c r="A225" s="17" t="s">
        <v>224</v>
      </c>
      <c r="B225" s="33"/>
      <c r="C225" s="17"/>
      <c r="D225" s="34"/>
      <c r="E225" s="17"/>
      <c r="F225" s="17"/>
      <c r="G225" s="17"/>
      <c r="H225" s="17"/>
      <c r="I225" s="17"/>
      <c r="J225" s="18"/>
      <c r="K225" s="18"/>
      <c r="L225" s="35"/>
      <c r="M225" s="16"/>
      <c r="N225" s="36"/>
    </row>
  </sheetData>
  <conditionalFormatting sqref="A1:A2 A38:A48 A50:A67 A72:A121 A126:A128">
    <cfRule type="cellIs" dxfId="28" priority="28" operator="equal">
      <formula>"новинка!"</formula>
    </cfRule>
    <cfRule type="cellIs" dxfId="27" priority="29" operator="equal">
      <formula>"новинка!"</formula>
    </cfRule>
  </conditionalFormatting>
  <conditionalFormatting sqref="A3:A7">
    <cfRule type="cellIs" dxfId="26" priority="26" operator="equal">
      <formula>"новинка!"</formula>
    </cfRule>
    <cfRule type="cellIs" dxfId="25" priority="27" operator="equal">
      <formula>"новинка!"</formula>
    </cfRule>
  </conditionalFormatting>
  <conditionalFormatting sqref="A8:A15">
    <cfRule type="cellIs" dxfId="24" priority="24" operator="equal">
      <formula>"новинка!"</formula>
    </cfRule>
    <cfRule type="cellIs" dxfId="23" priority="25" operator="equal">
      <formula>"новинка!"</formula>
    </cfRule>
  </conditionalFormatting>
  <conditionalFormatting sqref="A32:A33 A30">
    <cfRule type="cellIs" dxfId="22" priority="23" operator="equal">
      <formula>"новинка!"</formula>
    </cfRule>
  </conditionalFormatting>
  <conditionalFormatting sqref="A32:A33 A30">
    <cfRule type="cellIs" dxfId="21" priority="21" operator="equal">
      <formula>"новинка!"</formula>
    </cfRule>
    <cfRule type="cellIs" dxfId="20" priority="22" operator="equal">
      <formula>"новинка!"</formula>
    </cfRule>
  </conditionalFormatting>
  <conditionalFormatting sqref="A31">
    <cfRule type="cellIs" dxfId="19" priority="20" operator="equal">
      <formula>"новинка!"</formula>
    </cfRule>
  </conditionalFormatting>
  <conditionalFormatting sqref="A31">
    <cfRule type="cellIs" dxfId="18" priority="18" operator="equal">
      <formula>"новинка!"</formula>
    </cfRule>
    <cfRule type="cellIs" dxfId="17" priority="19" operator="equal">
      <formula>"новинка!"</formula>
    </cfRule>
  </conditionalFormatting>
  <conditionalFormatting sqref="A34:A37">
    <cfRule type="cellIs" dxfId="16" priority="15" operator="equal">
      <formula>"новинка!"</formula>
    </cfRule>
    <cfRule type="cellIs" dxfId="15" priority="16" operator="equal">
      <formula>"новинка!"</formula>
    </cfRule>
  </conditionalFormatting>
  <conditionalFormatting sqref="A34:A37">
    <cfRule type="cellIs" dxfId="14" priority="17" operator="equal">
      <formula>"новинка!"</formula>
    </cfRule>
  </conditionalFormatting>
  <conditionalFormatting sqref="A130:A217">
    <cfRule type="cellIs" dxfId="13" priority="13" operator="equal">
      <formula>"новинка!"</formula>
    </cfRule>
    <cfRule type="cellIs" dxfId="12" priority="14" operator="equal">
      <formula>"новинка!"</formula>
    </cfRule>
  </conditionalFormatting>
  <conditionalFormatting sqref="A49">
    <cfRule type="cellIs" dxfId="11" priority="11" operator="equal">
      <formula>"новинка!"</formula>
    </cfRule>
    <cfRule type="cellIs" dxfId="10" priority="12" operator="equal">
      <formula>"новинка!"</formula>
    </cfRule>
  </conditionalFormatting>
  <conditionalFormatting sqref="A129">
    <cfRule type="cellIs" dxfId="9" priority="9" operator="equal">
      <formula>"новинка!"</formula>
    </cfRule>
    <cfRule type="cellIs" dxfId="8" priority="10" operator="equal">
      <formula>"новинка!"</formula>
    </cfRule>
  </conditionalFormatting>
  <conditionalFormatting sqref="A16:A29">
    <cfRule type="cellIs" dxfId="7" priority="7" operator="equal">
      <formula>"новинка!"</formula>
    </cfRule>
    <cfRule type="cellIs" dxfId="6" priority="8" operator="equal">
      <formula>"новинка!"</formula>
    </cfRule>
  </conditionalFormatting>
  <conditionalFormatting sqref="A68">
    <cfRule type="cellIs" dxfId="5" priority="5" operator="equal">
      <formula>"новинка!"</formula>
    </cfRule>
    <cfRule type="cellIs" dxfId="4" priority="6" operator="equal">
      <formula>"новинка!"</formula>
    </cfRule>
  </conditionalFormatting>
  <conditionalFormatting sqref="A122:A125">
    <cfRule type="cellIs" dxfId="3" priority="3" operator="equal">
      <formula>"новинка!"</formula>
    </cfRule>
    <cfRule type="cellIs" dxfId="2" priority="4" operator="equal">
      <formula>"новинка!"</formula>
    </cfRule>
  </conditionalFormatting>
  <conditionalFormatting sqref="A221:A225">
    <cfRule type="cellIs" dxfId="1" priority="1" operator="equal">
      <formula>"новинка!"</formula>
    </cfRule>
    <cfRule type="cellIs" dxfId="0" priority="2" operator="equal">
      <formula>"новинка!"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2021-02-24T14:20:27Z</dcterms:modified>
</cp:coreProperties>
</file>